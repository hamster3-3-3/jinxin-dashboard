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60.248.120.128\廠務部\生產\【生產回給食研所】晉欣日報表數值分析\115年06月\寄出給食研所\"/>
    </mc:Choice>
  </mc:AlternateContent>
  <xr:revisionPtr revIDLastSave="0" documentId="13_ncr:1_{1E697807-567C-468D-A6A3-59ECDF19B494}" xr6:coauthVersionLast="47" xr6:coauthVersionMax="47" xr10:uidLastSave="{00000000-0000-0000-0000-000000000000}"/>
  <bookViews>
    <workbookView xWindow="-108" yWindow="-108" windowWidth="23256" windowHeight="12456" tabRatio="881" firstSheet="18" activeTab="21" xr2:uid="{00000000-000D-0000-FFFF-FFFF00000000}"/>
  </bookViews>
  <sheets>
    <sheet name="0601" sheetId="298" r:id="rId1"/>
    <sheet name="晉欣18度C0601" sheetId="300" r:id="rId2"/>
    <sheet name="晉欣4度C0601" sheetId="299" r:id="rId3"/>
    <sheet name="0602" sheetId="301" r:id="rId4"/>
    <sheet name="晉欣18度C0602" sheetId="305" r:id="rId5"/>
    <sheet name="晉欣4度C0602" sheetId="303" r:id="rId6"/>
    <sheet name="0603" sheetId="302" r:id="rId7"/>
    <sheet name="晉欣18度C0603" sheetId="306" r:id="rId8"/>
    <sheet name="晉欣4度C0603" sheetId="304" r:id="rId9"/>
    <sheet name="0604" sheetId="307" r:id="rId10"/>
    <sheet name="晉欣18度C0604" sheetId="308" r:id="rId11"/>
    <sheet name="晉欣4度C0604" sheetId="309" r:id="rId12"/>
    <sheet name="0605" sheetId="310" r:id="rId13"/>
    <sheet name="晉欣18度C0605" sheetId="316" r:id="rId14"/>
    <sheet name="晉欣4度C0605" sheetId="313" r:id="rId15"/>
    <sheet name="0606" sheetId="311" r:id="rId16"/>
    <sheet name="晉欣18度C0606" sheetId="317" r:id="rId17"/>
    <sheet name="晉欣4度C0606" sheetId="314" r:id="rId18"/>
    <sheet name="0607" sheetId="312" r:id="rId19"/>
    <sheet name="晉欣18度C0607" sheetId="318" r:id="rId20"/>
    <sheet name="晉欣4度C0607" sheetId="315" r:id="rId21"/>
    <sheet name="0608" sheetId="319" r:id="rId22"/>
    <sheet name="晉欣18度C0608" sheetId="321" r:id="rId23"/>
    <sheet name="晉欣4度C0608" sheetId="320" r:id="rId24"/>
  </sheets>
  <definedNames>
    <definedName name="_xlnm._FilterDatabase" localSheetId="0" hidden="1">'0601'!$B$10:$Q$25</definedName>
    <definedName name="_xlnm._FilterDatabase" localSheetId="3" hidden="1">'0602'!$B$10:$Q$25</definedName>
    <definedName name="_xlnm._FilterDatabase" localSheetId="6" hidden="1">'0603'!$B$10:$Q$25</definedName>
    <definedName name="_xlnm._FilterDatabase" localSheetId="9" hidden="1">'0604'!$B$10:$Q$25</definedName>
    <definedName name="_xlnm._FilterDatabase" localSheetId="12" hidden="1">'0605'!$B$10:$Q$25</definedName>
    <definedName name="_xlnm._FilterDatabase" localSheetId="15" hidden="1">'0606'!$B$10:$Q$25</definedName>
    <definedName name="_xlnm._FilterDatabase" localSheetId="18" hidden="1">'0607'!$B$10:$Q$25</definedName>
    <definedName name="_xlnm._FilterDatabase" localSheetId="21" hidden="1">'0608'!$B$10:$Q$25</definedName>
    <definedName name="_xlnm._FilterDatabase" localSheetId="1" hidden="1">晉欣18度C0601!$A$4:$R$124</definedName>
    <definedName name="_xlnm._FilterDatabase" localSheetId="4" hidden="1">晉欣18度C0602!$A$4:$R$124</definedName>
    <definedName name="_xlnm._FilterDatabase" localSheetId="7" hidden="1">晉欣18度C0603!$A$4:$R$124</definedName>
    <definedName name="_xlnm._FilterDatabase" localSheetId="10" hidden="1">晉欣18度C0604!$A$4:$R$124</definedName>
    <definedName name="_xlnm._FilterDatabase" localSheetId="13" hidden="1">晉欣18度C0605!$A$4:$R$124</definedName>
    <definedName name="_xlnm._FilterDatabase" localSheetId="16" hidden="1">晉欣18度C0606!$A$4:$R$124</definedName>
    <definedName name="_xlnm._FilterDatabase" localSheetId="19" hidden="1">晉欣18度C0607!$A$4:$R$124</definedName>
    <definedName name="_xlnm._FilterDatabase" localSheetId="22" hidden="1">晉欣18度C0608!$A$4:$R$124</definedName>
    <definedName name="_xlnm._FilterDatabase" localSheetId="2" hidden="1">晉欣4度C0601!$A$4:$AJ$173</definedName>
    <definedName name="_xlnm._FilterDatabase" localSheetId="5" hidden="1">晉欣4度C0602!$A$4:$AJ$173</definedName>
    <definedName name="_xlnm._FilterDatabase" localSheetId="8" hidden="1">晉欣4度C0603!$A$4:$AJ$173</definedName>
    <definedName name="_xlnm._FilterDatabase" localSheetId="11" hidden="1">晉欣4度C0604!$A$4:$AJ$173</definedName>
    <definedName name="_xlnm._FilterDatabase" localSheetId="14" hidden="1">晉欣4度C0605!$A$4:$AJ$173</definedName>
    <definedName name="_xlnm._FilterDatabase" localSheetId="17" hidden="1">晉欣4度C0606!$A$4:$AJ$173</definedName>
    <definedName name="_xlnm._FilterDatabase" localSheetId="20" hidden="1">晉欣4度C0607!$A$4:$AJ$173</definedName>
    <definedName name="_xlnm._FilterDatabase" localSheetId="23" hidden="1">晉欣4度C0608!$A$4:$AJ$173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4" i="321" l="1"/>
  <c r="P118" i="321"/>
  <c r="K118" i="321"/>
  <c r="P117" i="321"/>
  <c r="K117" i="321"/>
  <c r="P116" i="321"/>
  <c r="K116" i="321"/>
  <c r="P115" i="321"/>
  <c r="K115" i="321"/>
  <c r="P114" i="321"/>
  <c r="K114" i="321"/>
  <c r="P113" i="321"/>
  <c r="K113" i="321"/>
  <c r="P112" i="321"/>
  <c r="K112" i="321"/>
  <c r="J111" i="321"/>
  <c r="P105" i="321"/>
  <c r="K105" i="321"/>
  <c r="P104" i="321"/>
  <c r="K104" i="321"/>
  <c r="P103" i="321"/>
  <c r="K103" i="321"/>
  <c r="P102" i="321"/>
  <c r="K102" i="321"/>
  <c r="P101" i="321"/>
  <c r="K101" i="321"/>
  <c r="J100" i="321"/>
  <c r="P93" i="321"/>
  <c r="K93" i="321"/>
  <c r="P92" i="321"/>
  <c r="K92" i="321"/>
  <c r="K91" i="321"/>
  <c r="J91" i="321"/>
  <c r="P82" i="321"/>
  <c r="K82" i="321"/>
  <c r="L81" i="321"/>
  <c r="K81" i="321"/>
  <c r="J81" i="321"/>
  <c r="J75" i="321"/>
  <c r="P72" i="321"/>
  <c r="K72" i="321"/>
  <c r="P71" i="321"/>
  <c r="K71" i="321"/>
  <c r="P70" i="321"/>
  <c r="K70" i="321"/>
  <c r="P69" i="321"/>
  <c r="K69" i="321"/>
  <c r="P68" i="321"/>
  <c r="K68" i="321"/>
  <c r="P67" i="321"/>
  <c r="K67" i="321"/>
  <c r="P66" i="321"/>
  <c r="K66" i="321"/>
  <c r="P65" i="321"/>
  <c r="K65" i="321"/>
  <c r="J64" i="321"/>
  <c r="P57" i="321"/>
  <c r="K57" i="321"/>
  <c r="P56" i="321"/>
  <c r="K56" i="321"/>
  <c r="P55" i="321"/>
  <c r="K55" i="321"/>
  <c r="P54" i="321"/>
  <c r="K54" i="321"/>
  <c r="P53" i="321"/>
  <c r="K53" i="321"/>
  <c r="P52" i="321"/>
  <c r="K52" i="321"/>
  <c r="H47" i="321"/>
  <c r="J38" i="321"/>
  <c r="P28" i="321"/>
  <c r="K28" i="321"/>
  <c r="P27" i="321"/>
  <c r="K27" i="321"/>
  <c r="P26" i="321"/>
  <c r="K26" i="321"/>
  <c r="P25" i="321"/>
  <c r="K25" i="321"/>
  <c r="J24" i="321"/>
  <c r="P17" i="321"/>
  <c r="J16" i="321"/>
  <c r="P10" i="321"/>
  <c r="P9" i="321"/>
  <c r="K9" i="321"/>
  <c r="P8" i="321"/>
  <c r="K8" i="321"/>
  <c r="P7" i="321"/>
  <c r="K7" i="321"/>
  <c r="P6" i="321"/>
  <c r="K6" i="321"/>
  <c r="P5" i="321"/>
  <c r="K5" i="321"/>
  <c r="I2" i="321"/>
  <c r="I1" i="321"/>
  <c r="E1" i="321"/>
  <c r="AE173" i="320"/>
  <c r="AD173" i="320"/>
  <c r="AA173" i="320"/>
  <c r="Z173" i="320"/>
  <c r="M173" i="320"/>
  <c r="W172" i="320"/>
  <c r="W171" i="320"/>
  <c r="AG170" i="320"/>
  <c r="AF170" i="320"/>
  <c r="W170" i="320"/>
  <c r="AG169" i="320"/>
  <c r="AF169" i="320"/>
  <c r="W169" i="320"/>
  <c r="AG168" i="320"/>
  <c r="AF168" i="320"/>
  <c r="W168" i="320"/>
  <c r="AG167" i="320"/>
  <c r="AF167" i="320"/>
  <c r="W167" i="320"/>
  <c r="W166" i="320"/>
  <c r="N166" i="320"/>
  <c r="W165" i="320"/>
  <c r="N165" i="320"/>
  <c r="W164" i="320"/>
  <c r="N164" i="320"/>
  <c r="W163" i="320"/>
  <c r="N163" i="320"/>
  <c r="W162" i="320"/>
  <c r="N162" i="320"/>
  <c r="W161" i="320"/>
  <c r="N161" i="320"/>
  <c r="AE160" i="320"/>
  <c r="AD160" i="320"/>
  <c r="AA160" i="320"/>
  <c r="Z160" i="320"/>
  <c r="M160" i="320"/>
  <c r="W159" i="320"/>
  <c r="W158" i="320"/>
  <c r="W157" i="320"/>
  <c r="W156" i="320"/>
  <c r="W155" i="320"/>
  <c r="AG154" i="320"/>
  <c r="AF154" i="320"/>
  <c r="W154" i="320"/>
  <c r="W153" i="320"/>
  <c r="N153" i="320"/>
  <c r="W152" i="320"/>
  <c r="N152" i="320"/>
  <c r="W151" i="320"/>
  <c r="N151" i="320"/>
  <c r="W150" i="320"/>
  <c r="N150" i="320"/>
  <c r="W149" i="320"/>
  <c r="O149" i="320"/>
  <c r="N149" i="320"/>
  <c r="W148" i="320"/>
  <c r="N148" i="320"/>
  <c r="AE147" i="320"/>
  <c r="AD147" i="320"/>
  <c r="AA147" i="320"/>
  <c r="Z147" i="320"/>
  <c r="W147" i="320"/>
  <c r="M147" i="320"/>
  <c r="W146" i="320"/>
  <c r="AG145" i="320"/>
  <c r="AF145" i="320"/>
  <c r="W145" i="320"/>
  <c r="AG144" i="320"/>
  <c r="AF144" i="320"/>
  <c r="W144" i="320"/>
  <c r="W143" i="320"/>
  <c r="P143" i="320"/>
  <c r="N143" i="320"/>
  <c r="W142" i="320"/>
  <c r="N142" i="320"/>
  <c r="W141" i="320"/>
  <c r="N141" i="320"/>
  <c r="W140" i="320"/>
  <c r="N140" i="320"/>
  <c r="W139" i="320"/>
  <c r="N139" i="320"/>
  <c r="W138" i="320"/>
  <c r="N138" i="320"/>
  <c r="W137" i="320"/>
  <c r="N137" i="320"/>
  <c r="W136" i="320"/>
  <c r="N136" i="320"/>
  <c r="W135" i="320"/>
  <c r="N135" i="320"/>
  <c r="AE134" i="320"/>
  <c r="AD134" i="320"/>
  <c r="AA134" i="320"/>
  <c r="Z134" i="320"/>
  <c r="M134" i="320"/>
  <c r="W133" i="320"/>
  <c r="W132" i="320"/>
  <c r="AG131" i="320"/>
  <c r="AF131" i="320"/>
  <c r="W131" i="320"/>
  <c r="AG130" i="320"/>
  <c r="AF130" i="320"/>
  <c r="W130" i="320"/>
  <c r="AG129" i="320"/>
  <c r="AF129" i="320"/>
  <c r="W129" i="320"/>
  <c r="W128" i="320"/>
  <c r="N128" i="320"/>
  <c r="W127" i="320"/>
  <c r="N127" i="320"/>
  <c r="W126" i="320"/>
  <c r="N126" i="320"/>
  <c r="AF125" i="320"/>
  <c r="W125" i="320"/>
  <c r="N125" i="320"/>
  <c r="W124" i="320"/>
  <c r="N124" i="320"/>
  <c r="W123" i="320"/>
  <c r="N123" i="320"/>
  <c r="W122" i="320"/>
  <c r="O122" i="320"/>
  <c r="N122" i="320"/>
  <c r="AE121" i="320"/>
  <c r="AD121" i="320"/>
  <c r="AA121" i="320"/>
  <c r="Z121" i="320"/>
  <c r="W121" i="320"/>
  <c r="N121" i="320"/>
  <c r="M121" i="320"/>
  <c r="AG120" i="320"/>
  <c r="AF120" i="320"/>
  <c r="W120" i="320"/>
  <c r="AG119" i="320"/>
  <c r="AF119" i="320"/>
  <c r="W119" i="320"/>
  <c r="AG118" i="320"/>
  <c r="AF118" i="320"/>
  <c r="W118" i="320"/>
  <c r="AG117" i="320"/>
  <c r="AF117" i="320"/>
  <c r="W117" i="320"/>
  <c r="AG116" i="320"/>
  <c r="W116" i="320"/>
  <c r="N116" i="320"/>
  <c r="W115" i="320"/>
  <c r="N115" i="320"/>
  <c r="W114" i="320"/>
  <c r="N114" i="320"/>
  <c r="W113" i="320"/>
  <c r="N113" i="320"/>
  <c r="W112" i="320"/>
  <c r="N112" i="320"/>
  <c r="W111" i="320"/>
  <c r="N111" i="320"/>
  <c r="W110" i="320"/>
  <c r="N110" i="320"/>
  <c r="W109" i="320"/>
  <c r="N109" i="320"/>
  <c r="AE108" i="320"/>
  <c r="AD108" i="320"/>
  <c r="AA108" i="320"/>
  <c r="Z108" i="320"/>
  <c r="W108" i="320"/>
  <c r="M108" i="320"/>
  <c r="W107" i="320"/>
  <c r="W106" i="320"/>
  <c r="N106" i="320"/>
  <c r="W105" i="320"/>
  <c r="N105" i="320"/>
  <c r="W104" i="320"/>
  <c r="N104" i="320"/>
  <c r="W103" i="320"/>
  <c r="N103" i="320"/>
  <c r="W102" i="320"/>
  <c r="N102" i="320"/>
  <c r="W101" i="320"/>
  <c r="N101" i="320"/>
  <c r="W100" i="320"/>
  <c r="N100" i="320"/>
  <c r="W99" i="320"/>
  <c r="W98" i="320"/>
  <c r="N98" i="320"/>
  <c r="W97" i="320"/>
  <c r="N97" i="320"/>
  <c r="W96" i="320"/>
  <c r="N96" i="320"/>
  <c r="AE95" i="320"/>
  <c r="AD95" i="320"/>
  <c r="AA95" i="320"/>
  <c r="Z95" i="320"/>
  <c r="N95" i="320"/>
  <c r="M95" i="320"/>
  <c r="AG94" i="320"/>
  <c r="AF94" i="320"/>
  <c r="W94" i="320"/>
  <c r="AG93" i="320"/>
  <c r="AF93" i="320"/>
  <c r="W93" i="320"/>
  <c r="AG92" i="320"/>
  <c r="AF92" i="320"/>
  <c r="W92" i="320"/>
  <c r="AG91" i="320"/>
  <c r="AF91" i="320"/>
  <c r="W91" i="320"/>
  <c r="W90" i="320"/>
  <c r="N90" i="320"/>
  <c r="W89" i="320"/>
  <c r="N89" i="320"/>
  <c r="W88" i="320"/>
  <c r="N88" i="320"/>
  <c r="W87" i="320"/>
  <c r="N87" i="320"/>
  <c r="W86" i="320"/>
  <c r="N86" i="320"/>
  <c r="W85" i="320"/>
  <c r="N85" i="320"/>
  <c r="W84" i="320"/>
  <c r="N84" i="320"/>
  <c r="W83" i="320"/>
  <c r="N83" i="320"/>
  <c r="AE82" i="320"/>
  <c r="AD82" i="320"/>
  <c r="AA82" i="320"/>
  <c r="Z82" i="320"/>
  <c r="M82" i="320"/>
  <c r="W81" i="320"/>
  <c r="AG80" i="320"/>
  <c r="AF80" i="320"/>
  <c r="W80" i="320"/>
  <c r="H80" i="320"/>
  <c r="AG79" i="320"/>
  <c r="AF79" i="320"/>
  <c r="W79" i="320"/>
  <c r="AG78" i="320"/>
  <c r="AF78" i="320"/>
  <c r="W78" i="320"/>
  <c r="AG77" i="320"/>
  <c r="AF77" i="320"/>
  <c r="W77" i="320"/>
  <c r="AG76" i="320"/>
  <c r="AF76" i="320"/>
  <c r="W76" i="320"/>
  <c r="W75" i="320"/>
  <c r="N75" i="320"/>
  <c r="W74" i="320"/>
  <c r="N74" i="320"/>
  <c r="W73" i="320"/>
  <c r="N73" i="320"/>
  <c r="W72" i="320"/>
  <c r="N72" i="320"/>
  <c r="W71" i="320"/>
  <c r="N71" i="320"/>
  <c r="W70" i="320"/>
  <c r="N70" i="320"/>
  <c r="AE69" i="320"/>
  <c r="AD69" i="320"/>
  <c r="AA69" i="320"/>
  <c r="Z69" i="320"/>
  <c r="W69" i="320"/>
  <c r="M69" i="320"/>
  <c r="W68" i="320"/>
  <c r="AG67" i="320"/>
  <c r="AF67" i="320"/>
  <c r="W67" i="320"/>
  <c r="AG66" i="320"/>
  <c r="AF66" i="320"/>
  <c r="W66" i="320"/>
  <c r="AG65" i="320"/>
  <c r="AF65" i="320"/>
  <c r="W65" i="320"/>
  <c r="AG64" i="320"/>
  <c r="AF64" i="320"/>
  <c r="W64" i="320"/>
  <c r="AG63" i="320"/>
  <c r="AF63" i="320"/>
  <c r="W63" i="320"/>
  <c r="W62" i="320"/>
  <c r="N62" i="320"/>
  <c r="W61" i="320"/>
  <c r="N61" i="320"/>
  <c r="W60" i="320"/>
  <c r="N60" i="320"/>
  <c r="W59" i="320"/>
  <c r="N59" i="320"/>
  <c r="W58" i="320"/>
  <c r="N58" i="320"/>
  <c r="W57" i="320"/>
  <c r="N57" i="320"/>
  <c r="AE56" i="320"/>
  <c r="AD56" i="320"/>
  <c r="AA56" i="320"/>
  <c r="Z56" i="320"/>
  <c r="W56" i="320"/>
  <c r="M56" i="320"/>
  <c r="W55" i="320"/>
  <c r="AG54" i="320"/>
  <c r="AF54" i="320"/>
  <c r="W54" i="320"/>
  <c r="AG53" i="320"/>
  <c r="AF53" i="320"/>
  <c r="W53" i="320"/>
  <c r="AG52" i="320"/>
  <c r="AF52" i="320"/>
  <c r="W52" i="320"/>
  <c r="W51" i="320"/>
  <c r="N51" i="320"/>
  <c r="W50" i="320"/>
  <c r="N50" i="320"/>
  <c r="W49" i="320"/>
  <c r="N49" i="320"/>
  <c r="W48" i="320"/>
  <c r="N48" i="320"/>
  <c r="W47" i="320"/>
  <c r="N47" i="320"/>
  <c r="W46" i="320"/>
  <c r="N46" i="320"/>
  <c r="W45" i="320"/>
  <c r="N45" i="320"/>
  <c r="W44" i="320"/>
  <c r="N44" i="320"/>
  <c r="AE43" i="320"/>
  <c r="AD43" i="320"/>
  <c r="AA43" i="320"/>
  <c r="Z43" i="320"/>
  <c r="M43" i="320"/>
  <c r="W42" i="320"/>
  <c r="W41" i="320"/>
  <c r="AG40" i="320"/>
  <c r="AF40" i="320"/>
  <c r="W40" i="320"/>
  <c r="AG39" i="320"/>
  <c r="AF39" i="320"/>
  <c r="W39" i="320"/>
  <c r="AG38" i="320"/>
  <c r="AF38" i="320"/>
  <c r="W38" i="320"/>
  <c r="W37" i="320"/>
  <c r="N37" i="320"/>
  <c r="W36" i="320"/>
  <c r="N36" i="320"/>
  <c r="W35" i="320"/>
  <c r="N35" i="320"/>
  <c r="W34" i="320"/>
  <c r="N34" i="320"/>
  <c r="W33" i="320"/>
  <c r="N33" i="320"/>
  <c r="W32" i="320"/>
  <c r="N32" i="320"/>
  <c r="W31" i="320"/>
  <c r="N31" i="320"/>
  <c r="AE30" i="320"/>
  <c r="AD30" i="320"/>
  <c r="AA30" i="320"/>
  <c r="Z30" i="320"/>
  <c r="M30" i="320"/>
  <c r="AF29" i="320"/>
  <c r="W29" i="320"/>
  <c r="AG28" i="320"/>
  <c r="AF28" i="320"/>
  <c r="W28" i="320"/>
  <c r="P28" i="320"/>
  <c r="AG27" i="320"/>
  <c r="AF27" i="320"/>
  <c r="W27" i="320"/>
  <c r="P27" i="320"/>
  <c r="AG26" i="320"/>
  <c r="AF26" i="320"/>
  <c r="W26" i="320"/>
  <c r="P26" i="320"/>
  <c r="AG25" i="320"/>
  <c r="AF25" i="320"/>
  <c r="W25" i="320"/>
  <c r="P25" i="320"/>
  <c r="AG24" i="320"/>
  <c r="AF24" i="320"/>
  <c r="W24" i="320"/>
  <c r="W23" i="320"/>
  <c r="N23" i="320"/>
  <c r="W22" i="320"/>
  <c r="N22" i="320"/>
  <c r="W21" i="320"/>
  <c r="N21" i="320"/>
  <c r="W20" i="320"/>
  <c r="N20" i="320"/>
  <c r="W19" i="320"/>
  <c r="N19" i="320"/>
  <c r="W18" i="320"/>
  <c r="N18" i="320"/>
  <c r="AE17" i="320"/>
  <c r="AD17" i="320"/>
  <c r="AA17" i="320"/>
  <c r="Z17" i="320"/>
  <c r="W17" i="320"/>
  <c r="M17" i="320"/>
  <c r="AG16" i="320"/>
  <c r="W16" i="320"/>
  <c r="AG15" i="320"/>
  <c r="W15" i="320"/>
  <c r="AG14" i="320"/>
  <c r="W14" i="320"/>
  <c r="AG13" i="320"/>
  <c r="AF13" i="320"/>
  <c r="W13" i="320"/>
  <c r="W12" i="320"/>
  <c r="N12" i="320"/>
  <c r="W11" i="320"/>
  <c r="N11" i="320"/>
  <c r="W10" i="320"/>
  <c r="N10" i="320"/>
  <c r="W9" i="320"/>
  <c r="N9" i="320"/>
  <c r="W8" i="320"/>
  <c r="N8" i="320"/>
  <c r="W7" i="320"/>
  <c r="N7" i="320"/>
  <c r="W6" i="320"/>
  <c r="N6" i="320"/>
  <c r="W5" i="320"/>
  <c r="N5" i="320"/>
  <c r="I2" i="320"/>
  <c r="E1" i="320"/>
  <c r="M32" i="319"/>
  <c r="L32" i="319"/>
  <c r="K32" i="319"/>
  <c r="J32" i="319"/>
  <c r="I32" i="319"/>
  <c r="H32" i="319"/>
  <c r="G32" i="319"/>
  <c r="F32" i="319"/>
  <c r="E32" i="319"/>
  <c r="D32" i="319"/>
  <c r="Q15" i="319"/>
  <c r="P15" i="319"/>
  <c r="O15" i="319"/>
  <c r="N15" i="319"/>
  <c r="M15" i="319"/>
  <c r="L15" i="319"/>
  <c r="K15" i="319"/>
  <c r="J15" i="319"/>
  <c r="I15" i="319"/>
  <c r="H15" i="319"/>
  <c r="G15" i="319"/>
  <c r="F15" i="319"/>
  <c r="E15" i="319"/>
  <c r="D15" i="319"/>
  <c r="L8" i="319"/>
  <c r="J8" i="319"/>
  <c r="H8" i="319"/>
  <c r="F8" i="319"/>
  <c r="L7" i="319"/>
  <c r="J7" i="319"/>
  <c r="H7" i="319"/>
  <c r="F7" i="319"/>
  <c r="L6" i="319"/>
  <c r="J6" i="319"/>
  <c r="H6" i="319"/>
  <c r="F6" i="319"/>
  <c r="J124" i="318"/>
  <c r="H123" i="318"/>
  <c r="H122" i="318"/>
  <c r="H121" i="318"/>
  <c r="H120" i="318"/>
  <c r="H119" i="318"/>
  <c r="P118" i="318"/>
  <c r="K118" i="318" s="1"/>
  <c r="L118" i="318" s="1"/>
  <c r="H118" i="318"/>
  <c r="P117" i="318"/>
  <c r="K117" i="318"/>
  <c r="L117" i="318" s="1"/>
  <c r="H117" i="318"/>
  <c r="P116" i="318"/>
  <c r="K116" i="318" s="1"/>
  <c r="L116" i="318" s="1"/>
  <c r="H116" i="318"/>
  <c r="P115" i="318"/>
  <c r="H115" i="318"/>
  <c r="P114" i="318"/>
  <c r="K114" i="318" s="1"/>
  <c r="L114" i="318" s="1"/>
  <c r="H114" i="318"/>
  <c r="P113" i="318"/>
  <c r="K113" i="318"/>
  <c r="L113" i="318" s="1"/>
  <c r="H113" i="318"/>
  <c r="P112" i="318"/>
  <c r="K112" i="318" s="1"/>
  <c r="H112" i="318"/>
  <c r="J111" i="318"/>
  <c r="H110" i="318"/>
  <c r="H109" i="318"/>
  <c r="H108" i="318"/>
  <c r="H107" i="318"/>
  <c r="H106" i="318"/>
  <c r="P105" i="318"/>
  <c r="K105" i="318" s="1"/>
  <c r="L105" i="318" s="1"/>
  <c r="H105" i="318"/>
  <c r="P104" i="318"/>
  <c r="K104" i="318"/>
  <c r="L104" i="318" s="1"/>
  <c r="H104" i="318"/>
  <c r="P103" i="318"/>
  <c r="K103" i="318" s="1"/>
  <c r="L103" i="318" s="1"/>
  <c r="H103" i="318"/>
  <c r="P102" i="318"/>
  <c r="K102" i="318"/>
  <c r="L102" i="318" s="1"/>
  <c r="H102" i="318"/>
  <c r="P101" i="318"/>
  <c r="K101" i="318" s="1"/>
  <c r="H101" i="318"/>
  <c r="J100" i="318"/>
  <c r="H99" i="318"/>
  <c r="H98" i="318"/>
  <c r="H97" i="318"/>
  <c r="H96" i="318"/>
  <c r="H95" i="318"/>
  <c r="H94" i="318"/>
  <c r="P93" i="318"/>
  <c r="K93" i="318" s="1"/>
  <c r="L93" i="318" s="1"/>
  <c r="H93" i="318"/>
  <c r="P92" i="318"/>
  <c r="K92" i="318"/>
  <c r="K100" i="318" s="1"/>
  <c r="H92" i="318"/>
  <c r="J91" i="318"/>
  <c r="H90" i="318"/>
  <c r="H89" i="318"/>
  <c r="H88" i="318"/>
  <c r="H87" i="318"/>
  <c r="H86" i="318"/>
  <c r="H85" i="318"/>
  <c r="H84" i="318"/>
  <c r="H83" i="318"/>
  <c r="P82" i="318"/>
  <c r="K82" i="318" s="1"/>
  <c r="H82" i="318"/>
  <c r="L81" i="318"/>
  <c r="K81" i="318"/>
  <c r="J81" i="318"/>
  <c r="H80" i="318"/>
  <c r="H79" i="318"/>
  <c r="H78" i="318"/>
  <c r="H77" i="318"/>
  <c r="H76" i="318"/>
  <c r="J75" i="318"/>
  <c r="H74" i="318"/>
  <c r="H73" i="318"/>
  <c r="P72" i="318"/>
  <c r="K72" i="318"/>
  <c r="H72" i="318"/>
  <c r="P71" i="318"/>
  <c r="K71" i="318" s="1"/>
  <c r="L71" i="318" s="1"/>
  <c r="H71" i="318"/>
  <c r="P70" i="318"/>
  <c r="K70" i="318"/>
  <c r="H70" i="318"/>
  <c r="P69" i="318"/>
  <c r="K69" i="318" s="1"/>
  <c r="L69" i="318" s="1"/>
  <c r="H69" i="318"/>
  <c r="P68" i="318"/>
  <c r="H68" i="318"/>
  <c r="P67" i="318"/>
  <c r="K67" i="318" s="1"/>
  <c r="L67" i="318" s="1"/>
  <c r="H67" i="318"/>
  <c r="P66" i="318"/>
  <c r="H66" i="318"/>
  <c r="P65" i="318"/>
  <c r="K65" i="318" s="1"/>
  <c r="H65" i="318"/>
  <c r="J64" i="318"/>
  <c r="H63" i="318"/>
  <c r="H62" i="318"/>
  <c r="H61" i="318"/>
  <c r="H60" i="318"/>
  <c r="H59" i="318"/>
  <c r="H58" i="318"/>
  <c r="P57" i="318"/>
  <c r="K57" i="318" s="1"/>
  <c r="L57" i="318" s="1"/>
  <c r="H57" i="318"/>
  <c r="P56" i="318"/>
  <c r="L56" i="318"/>
  <c r="K56" i="318"/>
  <c r="H56" i="318"/>
  <c r="P55" i="318"/>
  <c r="K55" i="318" s="1"/>
  <c r="L55" i="318" s="1"/>
  <c r="H55" i="318"/>
  <c r="P54" i="318"/>
  <c r="K54" i="318"/>
  <c r="H54" i="318"/>
  <c r="P53" i="318"/>
  <c r="K53" i="318" s="1"/>
  <c r="L53" i="318" s="1"/>
  <c r="H53" i="318"/>
  <c r="P52" i="318"/>
  <c r="K52" i="318"/>
  <c r="H52" i="318"/>
  <c r="H50" i="318"/>
  <c r="H49" i="318"/>
  <c r="H47" i="318"/>
  <c r="H46" i="318"/>
  <c r="H45" i="318"/>
  <c r="H44" i="318"/>
  <c r="H43" i="318"/>
  <c r="H42" i="318"/>
  <c r="H41" i="318"/>
  <c r="H40" i="318"/>
  <c r="H39" i="318"/>
  <c r="J38" i="318"/>
  <c r="H37" i="318"/>
  <c r="H36" i="318"/>
  <c r="H35" i="318"/>
  <c r="H34" i="318"/>
  <c r="H33" i="318"/>
  <c r="H32" i="318"/>
  <c r="H31" i="318"/>
  <c r="H30" i="318"/>
  <c r="H29" i="318"/>
  <c r="P28" i="318"/>
  <c r="K28" i="318" s="1"/>
  <c r="L28" i="318" s="1"/>
  <c r="H28" i="318"/>
  <c r="P27" i="318"/>
  <c r="H27" i="318"/>
  <c r="P26" i="318"/>
  <c r="K26" i="318" s="1"/>
  <c r="L26" i="318" s="1"/>
  <c r="H26" i="318"/>
  <c r="P25" i="318"/>
  <c r="H25" i="318"/>
  <c r="J24" i="318"/>
  <c r="H23" i="318"/>
  <c r="H22" i="318"/>
  <c r="H21" i="318"/>
  <c r="H20" i="318"/>
  <c r="H19" i="318"/>
  <c r="H18" i="318"/>
  <c r="P17" i="318"/>
  <c r="K17" i="318"/>
  <c r="K24" i="318" s="1"/>
  <c r="H17" i="318"/>
  <c r="J16" i="318"/>
  <c r="H15" i="318"/>
  <c r="H14" i="318"/>
  <c r="H13" i="318"/>
  <c r="H12" i="318"/>
  <c r="H11" i="318"/>
  <c r="P10" i="318"/>
  <c r="H10" i="318"/>
  <c r="P9" i="318"/>
  <c r="K9" i="318" s="1"/>
  <c r="L9" i="318" s="1"/>
  <c r="H9" i="318"/>
  <c r="P8" i="318"/>
  <c r="K8" i="318"/>
  <c r="H8" i="318"/>
  <c r="P7" i="318"/>
  <c r="K7" i="318" s="1"/>
  <c r="L7" i="318" s="1"/>
  <c r="H7" i="318"/>
  <c r="P6" i="318"/>
  <c r="K6" i="318"/>
  <c r="H6" i="318"/>
  <c r="P5" i="318"/>
  <c r="K5" i="318" s="1"/>
  <c r="H5" i="318"/>
  <c r="I2" i="318"/>
  <c r="I1" i="318"/>
  <c r="E1" i="318"/>
  <c r="J124" i="317"/>
  <c r="H123" i="317"/>
  <c r="H122" i="317"/>
  <c r="H121" i="317"/>
  <c r="H120" i="317"/>
  <c r="H119" i="317"/>
  <c r="P118" i="317"/>
  <c r="K118" i="317" s="1"/>
  <c r="L118" i="317" s="1"/>
  <c r="H118" i="317"/>
  <c r="P117" i="317"/>
  <c r="K117" i="317"/>
  <c r="L117" i="317" s="1"/>
  <c r="H117" i="317"/>
  <c r="P116" i="317"/>
  <c r="K116" i="317" s="1"/>
  <c r="L116" i="317" s="1"/>
  <c r="H116" i="317"/>
  <c r="P115" i="317"/>
  <c r="H115" i="317"/>
  <c r="P114" i="317"/>
  <c r="K114" i="317" s="1"/>
  <c r="L114" i="317" s="1"/>
  <c r="H114" i="317"/>
  <c r="P113" i="317"/>
  <c r="K113" i="317"/>
  <c r="L113" i="317" s="1"/>
  <c r="H113" i="317"/>
  <c r="P112" i="317"/>
  <c r="K112" i="317" s="1"/>
  <c r="H112" i="317"/>
  <c r="J111" i="317"/>
  <c r="H110" i="317"/>
  <c r="H109" i="317"/>
  <c r="H108" i="317"/>
  <c r="H107" i="317"/>
  <c r="H106" i="317"/>
  <c r="P105" i="317"/>
  <c r="K105" i="317" s="1"/>
  <c r="L105" i="317" s="1"/>
  <c r="H105" i="317"/>
  <c r="P104" i="317"/>
  <c r="K104" i="317"/>
  <c r="H104" i="317"/>
  <c r="P103" i="317"/>
  <c r="K103" i="317" s="1"/>
  <c r="L103" i="317" s="1"/>
  <c r="H103" i="317"/>
  <c r="P102" i="317"/>
  <c r="K102" i="317"/>
  <c r="H102" i="317"/>
  <c r="P101" i="317"/>
  <c r="K101" i="317" s="1"/>
  <c r="H101" i="317"/>
  <c r="J100" i="317"/>
  <c r="H99" i="317"/>
  <c r="H98" i="317"/>
  <c r="H97" i="317"/>
  <c r="H96" i="317"/>
  <c r="H95" i="317"/>
  <c r="H94" i="317"/>
  <c r="P93" i="317"/>
  <c r="K93" i="317" s="1"/>
  <c r="L93" i="317" s="1"/>
  <c r="H93" i="317"/>
  <c r="P92" i="317"/>
  <c r="K92" i="317"/>
  <c r="H92" i="317"/>
  <c r="J91" i="317"/>
  <c r="H90" i="317"/>
  <c r="H89" i="317"/>
  <c r="H88" i="317"/>
  <c r="H87" i="317"/>
  <c r="H86" i="317"/>
  <c r="H85" i="317"/>
  <c r="H84" i="317"/>
  <c r="H83" i="317"/>
  <c r="P82" i="317"/>
  <c r="K82" i="317" s="1"/>
  <c r="H82" i="317"/>
  <c r="L81" i="317"/>
  <c r="K81" i="317"/>
  <c r="J81" i="317"/>
  <c r="H80" i="317"/>
  <c r="H79" i="317"/>
  <c r="H78" i="317"/>
  <c r="H77" i="317"/>
  <c r="H76" i="317"/>
  <c r="J75" i="317"/>
  <c r="H74" i="317"/>
  <c r="H73" i="317"/>
  <c r="P72" i="317"/>
  <c r="K72" i="317"/>
  <c r="H72" i="317"/>
  <c r="P71" i="317"/>
  <c r="K71" i="317" s="1"/>
  <c r="L71" i="317" s="1"/>
  <c r="H71" i="317"/>
  <c r="P70" i="317"/>
  <c r="H70" i="317"/>
  <c r="P69" i="317"/>
  <c r="K69" i="317" s="1"/>
  <c r="L69" i="317" s="1"/>
  <c r="H69" i="317"/>
  <c r="P68" i="317"/>
  <c r="H68" i="317"/>
  <c r="P67" i="317"/>
  <c r="K67" i="317" s="1"/>
  <c r="L67" i="317" s="1"/>
  <c r="H67" i="317"/>
  <c r="P66" i="317"/>
  <c r="H66" i="317"/>
  <c r="P65" i="317"/>
  <c r="K65" i="317" s="1"/>
  <c r="H65" i="317"/>
  <c r="J64" i="317"/>
  <c r="H63" i="317"/>
  <c r="H62" i="317"/>
  <c r="H61" i="317"/>
  <c r="H60" i="317"/>
  <c r="H59" i="317"/>
  <c r="H58" i="317"/>
  <c r="P57" i="317"/>
  <c r="K57" i="317" s="1"/>
  <c r="H57" i="317"/>
  <c r="P56" i="317"/>
  <c r="K56" i="317"/>
  <c r="H56" i="317"/>
  <c r="P55" i="317"/>
  <c r="K55" i="317" s="1"/>
  <c r="L55" i="317" s="1"/>
  <c r="H55" i="317"/>
  <c r="P54" i="317"/>
  <c r="H54" i="317"/>
  <c r="P53" i="317"/>
  <c r="K53" i="317" s="1"/>
  <c r="L53" i="317" s="1"/>
  <c r="H53" i="317"/>
  <c r="P52" i="317"/>
  <c r="K52" i="317"/>
  <c r="L52" i="317" s="1"/>
  <c r="H52" i="317"/>
  <c r="H50" i="317"/>
  <c r="H49" i="317"/>
  <c r="H47" i="317"/>
  <c r="H46" i="317"/>
  <c r="H45" i="317"/>
  <c r="H44" i="317"/>
  <c r="H43" i="317"/>
  <c r="H42" i="317"/>
  <c r="H41" i="317"/>
  <c r="H40" i="317"/>
  <c r="H39" i="317"/>
  <c r="J38" i="317"/>
  <c r="H37" i="317"/>
  <c r="H36" i="317"/>
  <c r="H35" i="317"/>
  <c r="H34" i="317"/>
  <c r="H33" i="317"/>
  <c r="H32" i="317"/>
  <c r="H31" i="317"/>
  <c r="H30" i="317"/>
  <c r="H29" i="317"/>
  <c r="P28" i="317"/>
  <c r="K28" i="317"/>
  <c r="L28" i="317" s="1"/>
  <c r="H28" i="317"/>
  <c r="P27" i="317"/>
  <c r="K27" i="317"/>
  <c r="L27" i="317" s="1"/>
  <c r="H27" i="317"/>
  <c r="P26" i="317"/>
  <c r="K26" i="317" s="1"/>
  <c r="L26" i="317" s="1"/>
  <c r="H26" i="317"/>
  <c r="P25" i="317"/>
  <c r="K25" i="317"/>
  <c r="H25" i="317"/>
  <c r="J24" i="317"/>
  <c r="H23" i="317"/>
  <c r="H22" i="317"/>
  <c r="H21" i="317"/>
  <c r="H20" i="317"/>
  <c r="H19" i="317"/>
  <c r="H18" i="317"/>
  <c r="P17" i="317"/>
  <c r="K17" i="317"/>
  <c r="H17" i="317"/>
  <c r="J16" i="317"/>
  <c r="H15" i="317"/>
  <c r="H14" i="317"/>
  <c r="H13" i="317"/>
  <c r="H12" i="317"/>
  <c r="H11" i="317"/>
  <c r="P10" i="317"/>
  <c r="K10" i="317"/>
  <c r="L10" i="317" s="1"/>
  <c r="H10" i="317"/>
  <c r="P9" i="317"/>
  <c r="K9" i="317" s="1"/>
  <c r="L9" i="317" s="1"/>
  <c r="H9" i="317"/>
  <c r="P8" i="317"/>
  <c r="K8" i="317"/>
  <c r="L8" i="317" s="1"/>
  <c r="H8" i="317"/>
  <c r="P7" i="317"/>
  <c r="K7" i="317" s="1"/>
  <c r="L7" i="317" s="1"/>
  <c r="H7" i="317"/>
  <c r="P6" i="317"/>
  <c r="K6" i="317"/>
  <c r="L6" i="317" s="1"/>
  <c r="H6" i="317"/>
  <c r="P5" i="317"/>
  <c r="K5" i="317" s="1"/>
  <c r="L5" i="317" s="1"/>
  <c r="L16" i="317" s="1"/>
  <c r="H5" i="317"/>
  <c r="I2" i="317"/>
  <c r="E1" i="317"/>
  <c r="J124" i="316"/>
  <c r="H123" i="316"/>
  <c r="H122" i="316"/>
  <c r="H121" i="316"/>
  <c r="H120" i="316"/>
  <c r="H119" i="316"/>
  <c r="P118" i="316"/>
  <c r="K118" i="316" s="1"/>
  <c r="L118" i="316" s="1"/>
  <c r="H118" i="316"/>
  <c r="P117" i="316"/>
  <c r="K117" i="316"/>
  <c r="H117" i="316"/>
  <c r="P116" i="316"/>
  <c r="K116" i="316" s="1"/>
  <c r="H116" i="316"/>
  <c r="P115" i="316"/>
  <c r="K115" i="316"/>
  <c r="H115" i="316"/>
  <c r="P114" i="316"/>
  <c r="K114" i="316" s="1"/>
  <c r="L114" i="316" s="1"/>
  <c r="H114" i="316"/>
  <c r="P113" i="316"/>
  <c r="K113" i="316"/>
  <c r="H113" i="316"/>
  <c r="P112" i="316"/>
  <c r="K112" i="316" s="1"/>
  <c r="H112" i="316"/>
  <c r="J111" i="316"/>
  <c r="H110" i="316"/>
  <c r="H109" i="316"/>
  <c r="H108" i="316"/>
  <c r="H107" i="316"/>
  <c r="H106" i="316"/>
  <c r="P105" i="316"/>
  <c r="K105" i="316" s="1"/>
  <c r="L105" i="316" s="1"/>
  <c r="H105" i="316"/>
  <c r="P104" i="316"/>
  <c r="H104" i="316"/>
  <c r="P103" i="316"/>
  <c r="K103" i="316" s="1"/>
  <c r="L103" i="316" s="1"/>
  <c r="H103" i="316"/>
  <c r="P102" i="316"/>
  <c r="K102" i="316"/>
  <c r="L102" i="316" s="1"/>
  <c r="H102" i="316"/>
  <c r="P101" i="316"/>
  <c r="K101" i="316" s="1"/>
  <c r="H101" i="316"/>
  <c r="J100" i="316"/>
  <c r="H99" i="316"/>
  <c r="H98" i="316"/>
  <c r="H97" i="316"/>
  <c r="H96" i="316"/>
  <c r="H95" i="316"/>
  <c r="H94" i="316"/>
  <c r="P93" i="316"/>
  <c r="K93" i="316" s="1"/>
  <c r="L93" i="316" s="1"/>
  <c r="H93" i="316"/>
  <c r="P92" i="316"/>
  <c r="K92" i="316"/>
  <c r="H92" i="316"/>
  <c r="J91" i="316"/>
  <c r="H90" i="316"/>
  <c r="H89" i="316"/>
  <c r="H88" i="316"/>
  <c r="H87" i="316"/>
  <c r="H86" i="316"/>
  <c r="H85" i="316"/>
  <c r="H84" i="316"/>
  <c r="H83" i="316"/>
  <c r="P82" i="316"/>
  <c r="K82" i="316" s="1"/>
  <c r="K91" i="316" s="1"/>
  <c r="H82" i="316"/>
  <c r="L81" i="316"/>
  <c r="K81" i="316"/>
  <c r="J81" i="316"/>
  <c r="H80" i="316"/>
  <c r="H79" i="316"/>
  <c r="H78" i="316"/>
  <c r="H77" i="316"/>
  <c r="H76" i="316"/>
  <c r="J75" i="316"/>
  <c r="H74" i="316"/>
  <c r="H73" i="316"/>
  <c r="P72" i="316"/>
  <c r="H72" i="316"/>
  <c r="P71" i="316"/>
  <c r="K71" i="316" s="1"/>
  <c r="L71" i="316" s="1"/>
  <c r="H71" i="316"/>
  <c r="P70" i="316"/>
  <c r="K70" i="316"/>
  <c r="L70" i="316" s="1"/>
  <c r="H70" i="316"/>
  <c r="P69" i="316"/>
  <c r="K69" i="316" s="1"/>
  <c r="L69" i="316" s="1"/>
  <c r="H69" i="316"/>
  <c r="P68" i="316"/>
  <c r="K68" i="316"/>
  <c r="L68" i="316" s="1"/>
  <c r="H68" i="316"/>
  <c r="P67" i="316"/>
  <c r="K67" i="316"/>
  <c r="L67" i="316" s="1"/>
  <c r="H67" i="316"/>
  <c r="P66" i="316"/>
  <c r="K66" i="316"/>
  <c r="L66" i="316" s="1"/>
  <c r="H66" i="316"/>
  <c r="P65" i="316"/>
  <c r="H65" i="316"/>
  <c r="J64" i="316"/>
  <c r="H63" i="316"/>
  <c r="H62" i="316"/>
  <c r="H61" i="316"/>
  <c r="H60" i="316"/>
  <c r="H59" i="316"/>
  <c r="H58" i="316"/>
  <c r="P57" i="316"/>
  <c r="K57" i="316" s="1"/>
  <c r="L57" i="316" s="1"/>
  <c r="H57" i="316"/>
  <c r="P56" i="316"/>
  <c r="K56" i="316"/>
  <c r="L56" i="316" s="1"/>
  <c r="H56" i="316"/>
  <c r="P55" i="316"/>
  <c r="K55" i="316"/>
  <c r="L55" i="316" s="1"/>
  <c r="H55" i="316"/>
  <c r="P54" i="316"/>
  <c r="K54" i="316" s="1"/>
  <c r="L54" i="316" s="1"/>
  <c r="H54" i="316"/>
  <c r="P53" i="316"/>
  <c r="K53" i="316" s="1"/>
  <c r="L53" i="316" s="1"/>
  <c r="H53" i="316"/>
  <c r="P52" i="316"/>
  <c r="K52" i="316"/>
  <c r="L52" i="316" s="1"/>
  <c r="H52" i="316"/>
  <c r="H50" i="316"/>
  <c r="H49" i="316"/>
  <c r="H47" i="316"/>
  <c r="H46" i="316"/>
  <c r="H45" i="316"/>
  <c r="H44" i="316"/>
  <c r="H43" i="316"/>
  <c r="H42" i="316"/>
  <c r="H41" i="316"/>
  <c r="H40" i="316"/>
  <c r="H39" i="316"/>
  <c r="J38" i="316"/>
  <c r="H37" i="316"/>
  <c r="H36" i="316"/>
  <c r="H35" i="316"/>
  <c r="H34" i="316"/>
  <c r="H33" i="316"/>
  <c r="H32" i="316"/>
  <c r="H31" i="316"/>
  <c r="H30" i="316"/>
  <c r="H29" i="316"/>
  <c r="P28" i="316"/>
  <c r="K28" i="316" s="1"/>
  <c r="L28" i="316"/>
  <c r="H28" i="316"/>
  <c r="P27" i="316"/>
  <c r="K27" i="316"/>
  <c r="H27" i="316"/>
  <c r="P26" i="316"/>
  <c r="K26" i="316" s="1"/>
  <c r="L26" i="316"/>
  <c r="H26" i="316"/>
  <c r="P25" i="316"/>
  <c r="K25" i="316"/>
  <c r="K38" i="316" s="1"/>
  <c r="H25" i="316"/>
  <c r="J24" i="316"/>
  <c r="H23" i="316"/>
  <c r="H22" i="316"/>
  <c r="H21" i="316"/>
  <c r="H20" i="316"/>
  <c r="H19" i="316"/>
  <c r="H18" i="316"/>
  <c r="P17" i="316"/>
  <c r="K17" i="316"/>
  <c r="L17" i="316" s="1"/>
  <c r="L24" i="316" s="1"/>
  <c r="H17" i="316"/>
  <c r="J16" i="316"/>
  <c r="H15" i="316"/>
  <c r="H14" i="316"/>
  <c r="H13" i="316"/>
  <c r="H12" i="316"/>
  <c r="H11" i="316"/>
  <c r="P10" i="316"/>
  <c r="K10" i="316"/>
  <c r="L10" i="316" s="1"/>
  <c r="H10" i="316"/>
  <c r="P9" i="316"/>
  <c r="K9" i="316"/>
  <c r="L9" i="316" s="1"/>
  <c r="H9" i="316"/>
  <c r="P8" i="316"/>
  <c r="K8" i="316" s="1"/>
  <c r="L8" i="316" s="1"/>
  <c r="H8" i="316"/>
  <c r="P7" i="316"/>
  <c r="K7" i="316" s="1"/>
  <c r="H7" i="316"/>
  <c r="P6" i="316"/>
  <c r="K6" i="316"/>
  <c r="L6" i="316" s="1"/>
  <c r="H6" i="316"/>
  <c r="P5" i="316"/>
  <c r="K5" i="316"/>
  <c r="L5" i="316" s="1"/>
  <c r="H5" i="316"/>
  <c r="I2" i="316"/>
  <c r="E1" i="316"/>
  <c r="K124" i="321" l="1"/>
  <c r="H118" i="321"/>
  <c r="L117" i="321"/>
  <c r="H117" i="321"/>
  <c r="L116" i="321"/>
  <c r="H116" i="321"/>
  <c r="L115" i="321"/>
  <c r="H115" i="321"/>
  <c r="L114" i="321"/>
  <c r="H114" i="321"/>
  <c r="L113" i="321"/>
  <c r="H113" i="321"/>
  <c r="L112" i="321"/>
  <c r="H112" i="321"/>
  <c r="H109" i="321"/>
  <c r="H108" i="321"/>
  <c r="K100" i="321"/>
  <c r="H98" i="321"/>
  <c r="H97" i="321"/>
  <c r="H95" i="321"/>
  <c r="H94" i="321"/>
  <c r="H93" i="321"/>
  <c r="L92" i="321"/>
  <c r="H92" i="321"/>
  <c r="H90" i="321"/>
  <c r="H88" i="321"/>
  <c r="H87" i="321"/>
  <c r="H86" i="321"/>
  <c r="K75" i="321"/>
  <c r="H73" i="321"/>
  <c r="L71" i="321"/>
  <c r="L67" i="321"/>
  <c r="H67" i="321"/>
  <c r="L66" i="321"/>
  <c r="H66" i="321"/>
  <c r="H65" i="321"/>
  <c r="K64" i="321"/>
  <c r="H62" i="321"/>
  <c r="H59" i="321"/>
  <c r="L57" i="321"/>
  <c r="H56" i="321"/>
  <c r="L52" i="321"/>
  <c r="H52" i="321"/>
  <c r="H39" i="321"/>
  <c r="K38" i="321"/>
  <c r="H37" i="321"/>
  <c r="H36" i="321"/>
  <c r="H35" i="321"/>
  <c r="H34" i="321"/>
  <c r="H33" i="321"/>
  <c r="H32" i="321"/>
  <c r="H31" i="321"/>
  <c r="H29" i="321"/>
  <c r="H28" i="321"/>
  <c r="H26" i="321"/>
  <c r="H25" i="321"/>
  <c r="H23" i="321"/>
  <c r="H21" i="321"/>
  <c r="H20" i="321"/>
  <c r="K17" i="321"/>
  <c r="H17" i="321"/>
  <c r="H15" i="321"/>
  <c r="H11" i="321"/>
  <c r="H10" i="321"/>
  <c r="L6" i="321"/>
  <c r="H6" i="321"/>
  <c r="L5" i="321"/>
  <c r="H85" i="321"/>
  <c r="H84" i="321"/>
  <c r="H83" i="321"/>
  <c r="L82" i="321"/>
  <c r="L91" i="321" s="1"/>
  <c r="H82" i="321"/>
  <c r="H80" i="321"/>
  <c r="H79" i="321"/>
  <c r="H78" i="321"/>
  <c r="H46" i="321"/>
  <c r="H45" i="321"/>
  <c r="H44" i="321"/>
  <c r="H43" i="321"/>
  <c r="H42" i="321"/>
  <c r="H41" i="321"/>
  <c r="H40" i="321"/>
  <c r="H123" i="321"/>
  <c r="H122" i="321"/>
  <c r="H121" i="321"/>
  <c r="H120" i="321"/>
  <c r="H119" i="321"/>
  <c r="L118" i="321"/>
  <c r="K111" i="321"/>
  <c r="H110" i="321"/>
  <c r="H107" i="321"/>
  <c r="H106" i="321"/>
  <c r="L105" i="321"/>
  <c r="H105" i="321"/>
  <c r="L104" i="321"/>
  <c r="H104" i="321"/>
  <c r="L103" i="321"/>
  <c r="H103" i="321"/>
  <c r="L102" i="321"/>
  <c r="H102" i="321"/>
  <c r="L101" i="321"/>
  <c r="L111" i="321" s="1"/>
  <c r="H101" i="321"/>
  <c r="H99" i="321"/>
  <c r="H96" i="321"/>
  <c r="L93" i="321"/>
  <c r="H89" i="321"/>
  <c r="H77" i="321"/>
  <c r="H76" i="321"/>
  <c r="H74" i="321"/>
  <c r="L72" i="321"/>
  <c r="H72" i="321"/>
  <c r="H71" i="321"/>
  <c r="L70" i="321"/>
  <c r="H70" i="321"/>
  <c r="L69" i="321"/>
  <c r="H69" i="321"/>
  <c r="L68" i="321"/>
  <c r="H68" i="321"/>
  <c r="L65" i="321"/>
  <c r="L75" i="321" s="1"/>
  <c r="H63" i="321"/>
  <c r="H61" i="321"/>
  <c r="H60" i="321"/>
  <c r="H58" i="321"/>
  <c r="H57" i="321"/>
  <c r="L56" i="321"/>
  <c r="L55" i="321"/>
  <c r="H55" i="321"/>
  <c r="L54" i="321"/>
  <c r="H54" i="321"/>
  <c r="L53" i="321"/>
  <c r="H53" i="321"/>
  <c r="H50" i="321"/>
  <c r="H49" i="321"/>
  <c r="H30" i="321"/>
  <c r="L28" i="321"/>
  <c r="L27" i="321"/>
  <c r="H27" i="321"/>
  <c r="L26" i="321"/>
  <c r="L25" i="321"/>
  <c r="L38" i="321" s="1"/>
  <c r="H22" i="321"/>
  <c r="H19" i="321"/>
  <c r="H18" i="321"/>
  <c r="H14" i="321"/>
  <c r="H13" i="321"/>
  <c r="H12" i="321"/>
  <c r="K10" i="321"/>
  <c r="L10" i="321" s="1"/>
  <c r="L9" i="321"/>
  <c r="H9" i="321"/>
  <c r="L8" i="321"/>
  <c r="H8" i="321"/>
  <c r="L7" i="321"/>
  <c r="H7" i="321"/>
  <c r="H5" i="321"/>
  <c r="N173" i="320"/>
  <c r="H172" i="320"/>
  <c r="H171" i="320"/>
  <c r="H170" i="320"/>
  <c r="H169" i="320"/>
  <c r="H168" i="320"/>
  <c r="AG166" i="320"/>
  <c r="AF166" i="320"/>
  <c r="P166" i="320"/>
  <c r="O166" i="320"/>
  <c r="H166" i="320"/>
  <c r="AG165" i="320"/>
  <c r="AF165" i="320"/>
  <c r="P165" i="320"/>
  <c r="O165" i="320"/>
  <c r="H165" i="320"/>
  <c r="AG164" i="320"/>
  <c r="AF164" i="320"/>
  <c r="P164" i="320"/>
  <c r="O164" i="320"/>
  <c r="H164" i="320"/>
  <c r="AG163" i="320"/>
  <c r="AF163" i="320"/>
  <c r="P163" i="320"/>
  <c r="O163" i="320"/>
  <c r="H163" i="320"/>
  <c r="AG162" i="320"/>
  <c r="AF162" i="320"/>
  <c r="P162" i="320"/>
  <c r="O162" i="320"/>
  <c r="H162" i="320"/>
  <c r="AG161" i="320"/>
  <c r="AF161" i="320"/>
  <c r="P161" i="320"/>
  <c r="O161" i="320"/>
  <c r="H161" i="320"/>
  <c r="N160" i="320"/>
  <c r="H159" i="320"/>
  <c r="H158" i="320"/>
  <c r="H157" i="320"/>
  <c r="H156" i="320"/>
  <c r="H155" i="320"/>
  <c r="H154" i="320"/>
  <c r="AG153" i="320"/>
  <c r="AF153" i="320"/>
  <c r="P153" i="320"/>
  <c r="O153" i="320"/>
  <c r="H153" i="320"/>
  <c r="AG152" i="320"/>
  <c r="AF152" i="320"/>
  <c r="P152" i="320"/>
  <c r="O152" i="320"/>
  <c r="H152" i="320"/>
  <c r="AG151" i="320"/>
  <c r="AF151" i="320"/>
  <c r="P151" i="320"/>
  <c r="O151" i="320"/>
  <c r="H151" i="320"/>
  <c r="AG150" i="320"/>
  <c r="AF150" i="320"/>
  <c r="P150" i="320"/>
  <c r="O150" i="320"/>
  <c r="H148" i="320"/>
  <c r="P125" i="320"/>
  <c r="H125" i="320"/>
  <c r="P123" i="320"/>
  <c r="H107" i="320"/>
  <c r="AG105" i="320"/>
  <c r="AF105" i="320"/>
  <c r="P105" i="320"/>
  <c r="H105" i="320"/>
  <c r="H104" i="320"/>
  <c r="H102" i="320"/>
  <c r="H98" i="320"/>
  <c r="AG97" i="320"/>
  <c r="AF97" i="320"/>
  <c r="H143" i="320"/>
  <c r="AG142" i="320"/>
  <c r="AF142" i="320"/>
  <c r="P142" i="320"/>
  <c r="O142" i="320"/>
  <c r="H142" i="320"/>
  <c r="AG141" i="320"/>
  <c r="AF141" i="320"/>
  <c r="P141" i="320"/>
  <c r="O141" i="320"/>
  <c r="H141" i="320"/>
  <c r="AG140" i="320"/>
  <c r="AF140" i="320"/>
  <c r="P140" i="320"/>
  <c r="O140" i="320"/>
  <c r="H140" i="320"/>
  <c r="AG139" i="320"/>
  <c r="AF139" i="320"/>
  <c r="P139" i="320"/>
  <c r="O139" i="320"/>
  <c r="H139" i="320"/>
  <c r="AG138" i="320"/>
  <c r="AF138" i="320"/>
  <c r="P138" i="320"/>
  <c r="O138" i="320"/>
  <c r="H138" i="320"/>
  <c r="AG137" i="320"/>
  <c r="AF137" i="320"/>
  <c r="P137" i="320"/>
  <c r="O137" i="320"/>
  <c r="H137" i="320"/>
  <c r="AG136" i="320"/>
  <c r="AF136" i="320"/>
  <c r="P136" i="320"/>
  <c r="O136" i="320"/>
  <c r="H136" i="320"/>
  <c r="AG135" i="320"/>
  <c r="AF135" i="320"/>
  <c r="P135" i="320"/>
  <c r="O135" i="320"/>
  <c r="H135" i="320"/>
  <c r="N134" i="320"/>
  <c r="H133" i="320"/>
  <c r="H132" i="320"/>
  <c r="H131" i="320"/>
  <c r="H130" i="320"/>
  <c r="H129" i="320"/>
  <c r="AG128" i="320"/>
  <c r="AF128" i="320"/>
  <c r="H128" i="320"/>
  <c r="AF126" i="320"/>
  <c r="H126" i="320"/>
  <c r="H124" i="320"/>
  <c r="AG123" i="320"/>
  <c r="AF123" i="320"/>
  <c r="O123" i="320"/>
  <c r="H123" i="320"/>
  <c r="R122" i="320"/>
  <c r="AF106" i="320"/>
  <c r="O106" i="320"/>
  <c r="H103" i="320"/>
  <c r="AG96" i="320"/>
  <c r="AF96" i="320"/>
  <c r="P96" i="320"/>
  <c r="AF116" i="320"/>
  <c r="P116" i="320"/>
  <c r="O116" i="320"/>
  <c r="H116" i="320"/>
  <c r="AG115" i="320"/>
  <c r="AF115" i="320"/>
  <c r="P115" i="320"/>
  <c r="O115" i="320"/>
  <c r="H115" i="320"/>
  <c r="AG114" i="320"/>
  <c r="AF114" i="320"/>
  <c r="P114" i="320"/>
  <c r="O114" i="320"/>
  <c r="H114" i="320"/>
  <c r="AG113" i="320"/>
  <c r="AF113" i="320"/>
  <c r="P113" i="320"/>
  <c r="O113" i="320"/>
  <c r="H113" i="320"/>
  <c r="AG112" i="320"/>
  <c r="AF112" i="320"/>
  <c r="P112" i="320"/>
  <c r="O112" i="320"/>
  <c r="H112" i="320"/>
  <c r="AG111" i="320"/>
  <c r="AF111" i="320"/>
  <c r="P111" i="320"/>
  <c r="O111" i="320"/>
  <c r="H111" i="320"/>
  <c r="AG110" i="320"/>
  <c r="AF110" i="320"/>
  <c r="P110" i="320"/>
  <c r="O110" i="320"/>
  <c r="H110" i="320"/>
  <c r="AG109" i="320"/>
  <c r="AF109" i="320"/>
  <c r="P109" i="320"/>
  <c r="O109" i="320"/>
  <c r="H109" i="320"/>
  <c r="H94" i="320"/>
  <c r="H93" i="320"/>
  <c r="H92" i="320"/>
  <c r="H91" i="320"/>
  <c r="AG90" i="320"/>
  <c r="AF90" i="320"/>
  <c r="P90" i="320"/>
  <c r="O90" i="320"/>
  <c r="H90" i="320"/>
  <c r="AG89" i="320"/>
  <c r="AF89" i="320"/>
  <c r="P89" i="320"/>
  <c r="O89" i="320"/>
  <c r="H89" i="320"/>
  <c r="AG88" i="320"/>
  <c r="AF88" i="320"/>
  <c r="P88" i="320"/>
  <c r="O88" i="320"/>
  <c r="H88" i="320"/>
  <c r="AG87" i="320"/>
  <c r="AF87" i="320"/>
  <c r="P87" i="320"/>
  <c r="O87" i="320"/>
  <c r="H87" i="320"/>
  <c r="AG86" i="320"/>
  <c r="AF86" i="320"/>
  <c r="P86" i="320"/>
  <c r="O86" i="320"/>
  <c r="H86" i="320"/>
  <c r="AG85" i="320"/>
  <c r="AF85" i="320"/>
  <c r="P85" i="320"/>
  <c r="O85" i="320"/>
  <c r="H85" i="320"/>
  <c r="AG84" i="320"/>
  <c r="AF84" i="320"/>
  <c r="P84" i="320"/>
  <c r="O84" i="320"/>
  <c r="H84" i="320"/>
  <c r="AG83" i="320"/>
  <c r="AF83" i="320"/>
  <c r="P83" i="320"/>
  <c r="O83" i="320"/>
  <c r="H83" i="320"/>
  <c r="N82" i="320"/>
  <c r="H79" i="320"/>
  <c r="H78" i="320"/>
  <c r="H77" i="320"/>
  <c r="H76" i="320"/>
  <c r="AG75" i="320"/>
  <c r="AF75" i="320"/>
  <c r="P75" i="320"/>
  <c r="O75" i="320"/>
  <c r="H75" i="320"/>
  <c r="AG74" i="320"/>
  <c r="AF74" i="320"/>
  <c r="P74" i="320"/>
  <c r="O74" i="320"/>
  <c r="H74" i="320"/>
  <c r="AG73" i="320"/>
  <c r="AF73" i="320"/>
  <c r="P73" i="320"/>
  <c r="O73" i="320"/>
  <c r="H73" i="320"/>
  <c r="AG72" i="320"/>
  <c r="AF72" i="320"/>
  <c r="P72" i="320"/>
  <c r="O72" i="320"/>
  <c r="H72" i="320"/>
  <c r="AG71" i="320"/>
  <c r="AF71" i="320"/>
  <c r="P71" i="320"/>
  <c r="O71" i="320"/>
  <c r="H71" i="320"/>
  <c r="AG70" i="320"/>
  <c r="AF70" i="320"/>
  <c r="P70" i="320"/>
  <c r="O70" i="320"/>
  <c r="H70" i="320"/>
  <c r="N69" i="320"/>
  <c r="H68" i="320"/>
  <c r="H67" i="320"/>
  <c r="P58" i="320"/>
  <c r="H58" i="320"/>
  <c r="AG57" i="320"/>
  <c r="AF57" i="320"/>
  <c r="P57" i="320"/>
  <c r="O57" i="320"/>
  <c r="H57" i="320"/>
  <c r="H55" i="320"/>
  <c r="H53" i="320"/>
  <c r="AG51" i="320"/>
  <c r="AF51" i="320"/>
  <c r="P51" i="320"/>
  <c r="AG50" i="320"/>
  <c r="P50" i="320"/>
  <c r="O49" i="320"/>
  <c r="H49" i="320"/>
  <c r="AG48" i="320"/>
  <c r="AF48" i="320"/>
  <c r="O48" i="320"/>
  <c r="H48" i="320"/>
  <c r="O46" i="320"/>
  <c r="H46" i="320"/>
  <c r="AG45" i="320"/>
  <c r="AF45" i="320"/>
  <c r="P45" i="320"/>
  <c r="O45" i="320"/>
  <c r="H45" i="320"/>
  <c r="AG44" i="320"/>
  <c r="AF44" i="320"/>
  <c r="P44" i="320"/>
  <c r="N43" i="320"/>
  <c r="H42" i="320"/>
  <c r="H39" i="320"/>
  <c r="AG37" i="320"/>
  <c r="O37" i="320"/>
  <c r="H37" i="320"/>
  <c r="AG36" i="320"/>
  <c r="AF36" i="320"/>
  <c r="P36" i="320"/>
  <c r="O36" i="320"/>
  <c r="H36" i="320"/>
  <c r="O35" i="320"/>
  <c r="AG34" i="320"/>
  <c r="AF34" i="320"/>
  <c r="P34" i="320"/>
  <c r="H34" i="320"/>
  <c r="AG33" i="320"/>
  <c r="AF33" i="320"/>
  <c r="O33" i="320"/>
  <c r="H33" i="320"/>
  <c r="O32" i="320"/>
  <c r="AG31" i="320"/>
  <c r="O31" i="320"/>
  <c r="H31" i="320"/>
  <c r="H29" i="320"/>
  <c r="H27" i="320"/>
  <c r="H26" i="320"/>
  <c r="H25" i="320"/>
  <c r="AF23" i="320"/>
  <c r="P23" i="320"/>
  <c r="H23" i="320"/>
  <c r="AG22" i="320"/>
  <c r="AF22" i="320"/>
  <c r="P22" i="320"/>
  <c r="AG21" i="320"/>
  <c r="AF21" i="320"/>
  <c r="P21" i="320"/>
  <c r="H21" i="320"/>
  <c r="P20" i="320"/>
  <c r="AF18" i="320"/>
  <c r="P18" i="320"/>
  <c r="N17" i="320"/>
  <c r="P12" i="320"/>
  <c r="AG10" i="320"/>
  <c r="AF10" i="320"/>
  <c r="P10" i="320"/>
  <c r="O10" i="320"/>
  <c r="H10" i="320"/>
  <c r="AG9" i="320"/>
  <c r="AF9" i="320"/>
  <c r="O9" i="320"/>
  <c r="AG8" i="320"/>
  <c r="AF8" i="320"/>
  <c r="O8" i="320"/>
  <c r="H8" i="320"/>
  <c r="H7" i="320"/>
  <c r="AG6" i="320"/>
  <c r="AF6" i="320"/>
  <c r="P6" i="320"/>
  <c r="O6" i="320"/>
  <c r="O5" i="320"/>
  <c r="H5" i="320"/>
  <c r="AE2" i="320"/>
  <c r="AA2" i="320"/>
  <c r="Z2" i="320"/>
  <c r="I1" i="320"/>
  <c r="H150" i="320"/>
  <c r="P149" i="320"/>
  <c r="AF148" i="320"/>
  <c r="P148" i="320"/>
  <c r="P147" i="320"/>
  <c r="N147" i="320"/>
  <c r="H146" i="320"/>
  <c r="H144" i="320"/>
  <c r="O143" i="320"/>
  <c r="P128" i="320"/>
  <c r="H127" i="320"/>
  <c r="AG126" i="320"/>
  <c r="P126" i="320"/>
  <c r="AG125" i="320"/>
  <c r="AG122" i="320"/>
  <c r="AF122" i="320"/>
  <c r="P122" i="320"/>
  <c r="H120" i="320"/>
  <c r="H118" i="320"/>
  <c r="AG106" i="320"/>
  <c r="H106" i="320"/>
  <c r="AF104" i="320"/>
  <c r="O104" i="320"/>
  <c r="AG103" i="320"/>
  <c r="P103" i="320"/>
  <c r="O103" i="320"/>
  <c r="AG102" i="320"/>
  <c r="O102" i="320"/>
  <c r="AG101" i="320"/>
  <c r="P101" i="320"/>
  <c r="H100" i="320"/>
  <c r="H99" i="320"/>
  <c r="AG98" i="320"/>
  <c r="AF98" i="320"/>
  <c r="P98" i="320"/>
  <c r="O98" i="320"/>
  <c r="O97" i="320"/>
  <c r="O96" i="320"/>
  <c r="H66" i="320"/>
  <c r="H65" i="320"/>
  <c r="H64" i="320"/>
  <c r="H63" i="320"/>
  <c r="AG62" i="320"/>
  <c r="AF62" i="320"/>
  <c r="P62" i="320"/>
  <c r="O62" i="320"/>
  <c r="H62" i="320"/>
  <c r="AG61" i="320"/>
  <c r="AF61" i="320"/>
  <c r="P61" i="320"/>
  <c r="O61" i="320"/>
  <c r="H61" i="320"/>
  <c r="AG60" i="320"/>
  <c r="AF60" i="320"/>
  <c r="P60" i="320"/>
  <c r="O60" i="320"/>
  <c r="H60" i="320"/>
  <c r="AG59" i="320"/>
  <c r="AF59" i="320"/>
  <c r="P59" i="320"/>
  <c r="O59" i="320"/>
  <c r="H59" i="320"/>
  <c r="AG58" i="320"/>
  <c r="AF58" i="320"/>
  <c r="O58" i="320"/>
  <c r="N56" i="320"/>
  <c r="H54" i="320"/>
  <c r="H52" i="320"/>
  <c r="O51" i="320"/>
  <c r="H51" i="320"/>
  <c r="AF50" i="320"/>
  <c r="O50" i="320"/>
  <c r="H50" i="320"/>
  <c r="AG49" i="320"/>
  <c r="AF49" i="320"/>
  <c r="P49" i="320"/>
  <c r="P48" i="320"/>
  <c r="AG47" i="320"/>
  <c r="AF47" i="320"/>
  <c r="P47" i="320"/>
  <c r="O47" i="320"/>
  <c r="H47" i="320"/>
  <c r="AG46" i="320"/>
  <c r="AF46" i="320"/>
  <c r="P46" i="320"/>
  <c r="O44" i="320"/>
  <c r="H44" i="320"/>
  <c r="H40" i="320"/>
  <c r="H38" i="320"/>
  <c r="AF37" i="320"/>
  <c r="P37" i="320"/>
  <c r="AG35" i="320"/>
  <c r="AF35" i="320"/>
  <c r="P35" i="320"/>
  <c r="H35" i="320"/>
  <c r="O34" i="320"/>
  <c r="P33" i="320"/>
  <c r="AG32" i="320"/>
  <c r="AF32" i="320"/>
  <c r="P32" i="320"/>
  <c r="H32" i="320"/>
  <c r="AF31" i="320"/>
  <c r="P31" i="320"/>
  <c r="N30" i="320"/>
  <c r="H28" i="320"/>
  <c r="H24" i="320"/>
  <c r="AG23" i="320"/>
  <c r="O23" i="320"/>
  <c r="O22" i="320"/>
  <c r="H22" i="320"/>
  <c r="O21" i="320"/>
  <c r="AG20" i="320"/>
  <c r="AF20" i="320"/>
  <c r="O20" i="320"/>
  <c r="AG19" i="320"/>
  <c r="AF19" i="320"/>
  <c r="P19" i="320"/>
  <c r="O19" i="320"/>
  <c r="H19" i="320"/>
  <c r="AG18" i="320"/>
  <c r="O18" i="320"/>
  <c r="H18" i="320"/>
  <c r="H16" i="320"/>
  <c r="H15" i="320"/>
  <c r="H14" i="320"/>
  <c r="H13" i="320"/>
  <c r="AG12" i="320"/>
  <c r="AF12" i="320"/>
  <c r="O12" i="320"/>
  <c r="O11" i="320"/>
  <c r="P9" i="320"/>
  <c r="H9" i="320"/>
  <c r="P8" i="320"/>
  <c r="P7" i="320"/>
  <c r="O7" i="320"/>
  <c r="AG5" i="320"/>
  <c r="AF5" i="320"/>
  <c r="P5" i="320"/>
  <c r="AD2" i="320"/>
  <c r="AG149" i="320"/>
  <c r="AG148" i="320"/>
  <c r="O148" i="320"/>
  <c r="H145" i="320"/>
  <c r="AG143" i="320"/>
  <c r="AF143" i="320"/>
  <c r="O128" i="320"/>
  <c r="O126" i="320"/>
  <c r="AG124" i="320"/>
  <c r="AF124" i="320"/>
  <c r="P124" i="320"/>
  <c r="O124" i="320"/>
  <c r="H122" i="320"/>
  <c r="AG121" i="320"/>
  <c r="AH109" i="320" s="1"/>
  <c r="AF121" i="320"/>
  <c r="P121" i="320"/>
  <c r="H119" i="320"/>
  <c r="H117" i="320"/>
  <c r="P106" i="320"/>
  <c r="O105" i="320"/>
  <c r="AG104" i="320"/>
  <c r="P104" i="320"/>
  <c r="AF103" i="320"/>
  <c r="AF102" i="320"/>
  <c r="P102" i="320"/>
  <c r="AF101" i="320"/>
  <c r="O101" i="320"/>
  <c r="H101" i="320"/>
  <c r="AG100" i="320"/>
  <c r="AF100" i="320"/>
  <c r="P100" i="320"/>
  <c r="O100" i="320"/>
  <c r="P99" i="320"/>
  <c r="N99" i="320"/>
  <c r="P97" i="320"/>
  <c r="H96" i="320"/>
  <c r="H20" i="320"/>
  <c r="H12" i="320"/>
  <c r="AG11" i="320"/>
  <c r="AF11" i="320"/>
  <c r="P11" i="320"/>
  <c r="H11" i="320"/>
  <c r="AG7" i="320"/>
  <c r="AF7" i="320"/>
  <c r="H6" i="320"/>
  <c r="AF149" i="320"/>
  <c r="R149" i="320"/>
  <c r="H149" i="320"/>
  <c r="AG127" i="320"/>
  <c r="AF127" i="320"/>
  <c r="P127" i="320"/>
  <c r="O127" i="320"/>
  <c r="O125" i="320"/>
  <c r="H97" i="320"/>
  <c r="K10" i="318"/>
  <c r="L10" i="318" s="1"/>
  <c r="K115" i="317"/>
  <c r="L115" i="317" s="1"/>
  <c r="L104" i="317"/>
  <c r="L102" i="317"/>
  <c r="L92" i="317"/>
  <c r="K70" i="317"/>
  <c r="L70" i="317" s="1"/>
  <c r="I1" i="317"/>
  <c r="L56" i="317"/>
  <c r="L112" i="316"/>
  <c r="K104" i="316"/>
  <c r="L104" i="316" s="1"/>
  <c r="K65" i="316"/>
  <c r="K24" i="317"/>
  <c r="L17" i="317"/>
  <c r="L24" i="317" s="1"/>
  <c r="K72" i="316"/>
  <c r="L72" i="316" s="1"/>
  <c r="L64" i="316"/>
  <c r="L27" i="316"/>
  <c r="L72" i="317"/>
  <c r="L117" i="316"/>
  <c r="L116" i="316"/>
  <c r="L115" i="316"/>
  <c r="L113" i="316"/>
  <c r="K68" i="317"/>
  <c r="L68" i="317" s="1"/>
  <c r="K66" i="317"/>
  <c r="L66" i="317" s="1"/>
  <c r="L57" i="317"/>
  <c r="K54" i="317"/>
  <c r="L54" i="317" s="1"/>
  <c r="L64" i="317" s="1"/>
  <c r="K115" i="318"/>
  <c r="L115" i="318" s="1"/>
  <c r="L72" i="318"/>
  <c r="L70" i="318"/>
  <c r="K68" i="318"/>
  <c r="L68" i="318" s="1"/>
  <c r="K66" i="318"/>
  <c r="L66" i="318" s="1"/>
  <c r="L54" i="318"/>
  <c r="L52" i="318"/>
  <c r="K27" i="318"/>
  <c r="L27" i="318" s="1"/>
  <c r="K25" i="318"/>
  <c r="K38" i="318" s="1"/>
  <c r="L8" i="318"/>
  <c r="L6" i="318"/>
  <c r="G1" i="316"/>
  <c r="G2" i="316" s="1"/>
  <c r="L7" i="316"/>
  <c r="K16" i="316"/>
  <c r="L124" i="316"/>
  <c r="K24" i="316"/>
  <c r="K64" i="316"/>
  <c r="L82" i="316"/>
  <c r="L91" i="316" s="1"/>
  <c r="K16" i="318"/>
  <c r="L5" i="318"/>
  <c r="L16" i="318" s="1"/>
  <c r="L112" i="318"/>
  <c r="L124" i="318" s="1"/>
  <c r="K124" i="318"/>
  <c r="K75" i="316"/>
  <c r="L65" i="316"/>
  <c r="L75" i="316" s="1"/>
  <c r="G1" i="317"/>
  <c r="G2" i="317" s="1"/>
  <c r="L25" i="316"/>
  <c r="L38" i="316" s="1"/>
  <c r="K100" i="316"/>
  <c r="L92" i="316"/>
  <c r="L100" i="316" s="1"/>
  <c r="L101" i="316"/>
  <c r="L111" i="316" s="1"/>
  <c r="K111" i="316"/>
  <c r="I1" i="316"/>
  <c r="K124" i="316"/>
  <c r="K16" i="317"/>
  <c r="K38" i="317"/>
  <c r="K64" i="317"/>
  <c r="K75" i="317"/>
  <c r="L65" i="317"/>
  <c r="L75" i="317" s="1"/>
  <c r="L112" i="317"/>
  <c r="L124" i="317" s="1"/>
  <c r="K124" i="317"/>
  <c r="L25" i="317"/>
  <c r="L38" i="317" s="1"/>
  <c r="K100" i="317"/>
  <c r="L101" i="317"/>
  <c r="L111" i="317" s="1"/>
  <c r="K111" i="317"/>
  <c r="K64" i="318"/>
  <c r="K75" i="318"/>
  <c r="L65" i="318"/>
  <c r="L75" i="318" s="1"/>
  <c r="L82" i="318"/>
  <c r="L91" i="318" s="1"/>
  <c r="K91" i="318"/>
  <c r="L101" i="318"/>
  <c r="L111" i="318" s="1"/>
  <c r="K111" i="318"/>
  <c r="L82" i="317"/>
  <c r="L91" i="317" s="1"/>
  <c r="K91" i="317"/>
  <c r="L100" i="317"/>
  <c r="G1" i="318"/>
  <c r="G2" i="318" s="1"/>
  <c r="L64" i="318"/>
  <c r="L92" i="318"/>
  <c r="L100" i="318" s="1"/>
  <c r="L17" i="318"/>
  <c r="L24" i="318" s="1"/>
  <c r="L25" i="318"/>
  <c r="L38" i="318" s="1"/>
  <c r="L17" i="321" l="1"/>
  <c r="L24" i="321" s="1"/>
  <c r="K24" i="321"/>
  <c r="L124" i="321"/>
  <c r="L100" i="321"/>
  <c r="L64" i="321"/>
  <c r="K16" i="321"/>
  <c r="L16" i="321"/>
  <c r="E2" i="321" s="1"/>
  <c r="G1" i="321"/>
  <c r="G2" i="321" s="1"/>
  <c r="AF173" i="320"/>
  <c r="AG173" i="320"/>
  <c r="AH161" i="320" s="1"/>
  <c r="Q166" i="320"/>
  <c r="R166" i="320"/>
  <c r="Q165" i="320"/>
  <c r="R165" i="320"/>
  <c r="Q164" i="320"/>
  <c r="R164" i="320"/>
  <c r="Q163" i="320"/>
  <c r="R163" i="320"/>
  <c r="Q162" i="320"/>
  <c r="R162" i="320"/>
  <c r="Q161" i="320"/>
  <c r="R161" i="320"/>
  <c r="O173" i="320"/>
  <c r="AF160" i="320"/>
  <c r="AG160" i="320"/>
  <c r="AH148" i="320" s="1"/>
  <c r="Q153" i="320"/>
  <c r="R153" i="320"/>
  <c r="Q152" i="320"/>
  <c r="R152" i="320"/>
  <c r="Q151" i="320"/>
  <c r="R151" i="320"/>
  <c r="Q150" i="320"/>
  <c r="R150" i="320"/>
  <c r="Q142" i="320"/>
  <c r="R142" i="320"/>
  <c r="Q141" i="320"/>
  <c r="R141" i="320"/>
  <c r="Q140" i="320"/>
  <c r="R140" i="320"/>
  <c r="Q139" i="320"/>
  <c r="R139" i="320"/>
  <c r="Q138" i="320"/>
  <c r="R138" i="320"/>
  <c r="Q137" i="320"/>
  <c r="R137" i="320"/>
  <c r="Q136" i="320"/>
  <c r="R136" i="320"/>
  <c r="Q135" i="320"/>
  <c r="R135" i="320"/>
  <c r="O147" i="320"/>
  <c r="AF134" i="320"/>
  <c r="AG134" i="320"/>
  <c r="AH122" i="320" s="1"/>
  <c r="Q123" i="320"/>
  <c r="R123" i="320"/>
  <c r="Q106" i="320"/>
  <c r="R106" i="320"/>
  <c r="Q116" i="320"/>
  <c r="R116" i="320"/>
  <c r="Q115" i="320"/>
  <c r="R115" i="320"/>
  <c r="Q114" i="320"/>
  <c r="R114" i="320"/>
  <c r="Q113" i="320"/>
  <c r="R113" i="320"/>
  <c r="Q112" i="320"/>
  <c r="R112" i="320"/>
  <c r="Q111" i="320"/>
  <c r="R111" i="320"/>
  <c r="Q110" i="320"/>
  <c r="R110" i="320"/>
  <c r="Q109" i="320"/>
  <c r="R109" i="320"/>
  <c r="O121" i="320"/>
  <c r="Q90" i="320"/>
  <c r="R90" i="320"/>
  <c r="Q89" i="320"/>
  <c r="R89" i="320"/>
  <c r="Q88" i="320"/>
  <c r="R88" i="320"/>
  <c r="Q87" i="320"/>
  <c r="R87" i="320"/>
  <c r="Q86" i="320"/>
  <c r="R86" i="320"/>
  <c r="Q85" i="320"/>
  <c r="R85" i="320"/>
  <c r="Q84" i="320"/>
  <c r="R84" i="320"/>
  <c r="Q83" i="320"/>
  <c r="R83" i="320"/>
  <c r="O95" i="320"/>
  <c r="Q82" i="320"/>
  <c r="AF82" i="320"/>
  <c r="AG82" i="320"/>
  <c r="AH70" i="320" s="1"/>
  <c r="Q75" i="320"/>
  <c r="R75" i="320"/>
  <c r="Q74" i="320"/>
  <c r="R74" i="320"/>
  <c r="Q73" i="320"/>
  <c r="R73" i="320"/>
  <c r="Q72" i="320"/>
  <c r="R72" i="320"/>
  <c r="Q71" i="320"/>
  <c r="R71" i="320"/>
  <c r="Q70" i="320"/>
  <c r="R70" i="320"/>
  <c r="O82" i="320"/>
  <c r="R82" i="320" s="1"/>
  <c r="S70" i="320" s="1"/>
  <c r="Q69" i="320"/>
  <c r="AF69" i="320"/>
  <c r="AG69" i="320"/>
  <c r="AH57" i="320" s="1"/>
  <c r="Q57" i="320"/>
  <c r="R57" i="320"/>
  <c r="O69" i="320"/>
  <c r="R69" i="320" s="1"/>
  <c r="S57" i="320" s="1"/>
  <c r="Q49" i="320"/>
  <c r="R49" i="320"/>
  <c r="Q48" i="320"/>
  <c r="R48" i="320"/>
  <c r="Q46" i="320"/>
  <c r="R46" i="320"/>
  <c r="Q45" i="320"/>
  <c r="R45" i="320"/>
  <c r="AF43" i="320"/>
  <c r="AG43" i="320"/>
  <c r="AH31" i="320" s="1"/>
  <c r="Q43" i="320"/>
  <c r="Q37" i="320"/>
  <c r="R37" i="320"/>
  <c r="Q36" i="320"/>
  <c r="R36" i="320"/>
  <c r="Q35" i="320"/>
  <c r="R35" i="320"/>
  <c r="Q33" i="320"/>
  <c r="R33" i="320"/>
  <c r="Q32" i="320"/>
  <c r="R32" i="320"/>
  <c r="Q31" i="320"/>
  <c r="R31" i="320"/>
  <c r="O43" i="320"/>
  <c r="AF17" i="320"/>
  <c r="AG17" i="320"/>
  <c r="AH5" i="320" s="1"/>
  <c r="Q10" i="320"/>
  <c r="R10" i="320"/>
  <c r="Q9" i="320"/>
  <c r="R9" i="320"/>
  <c r="Q8" i="320"/>
  <c r="R8" i="320"/>
  <c r="Q6" i="320"/>
  <c r="R6" i="320"/>
  <c r="Q5" i="320"/>
  <c r="R5" i="320"/>
  <c r="O17" i="320"/>
  <c r="AF147" i="320"/>
  <c r="AG147" i="320"/>
  <c r="AH135" i="320" s="1"/>
  <c r="Q143" i="320"/>
  <c r="R143" i="320"/>
  <c r="Q104" i="320"/>
  <c r="R104" i="320"/>
  <c r="Q103" i="320"/>
  <c r="R103" i="320"/>
  <c r="Q102" i="320"/>
  <c r="R102" i="320"/>
  <c r="Q98" i="320"/>
  <c r="R98" i="320"/>
  <c r="Q97" i="320"/>
  <c r="R97" i="320"/>
  <c r="Q96" i="320"/>
  <c r="R96" i="320"/>
  <c r="Q62" i="320"/>
  <c r="R62" i="320"/>
  <c r="Q61" i="320"/>
  <c r="R61" i="320"/>
  <c r="Q60" i="320"/>
  <c r="R60" i="320"/>
  <c r="Q59" i="320"/>
  <c r="R59" i="320"/>
  <c r="Q58" i="320"/>
  <c r="R58" i="320"/>
  <c r="Q56" i="320"/>
  <c r="AF56" i="320"/>
  <c r="AG56" i="320"/>
  <c r="AH44" i="320" s="1"/>
  <c r="R51" i="320"/>
  <c r="Q51" i="320"/>
  <c r="Q50" i="320"/>
  <c r="R50" i="320"/>
  <c r="Q47" i="320"/>
  <c r="R47" i="320"/>
  <c r="Q44" i="320"/>
  <c r="R44" i="320"/>
  <c r="O56" i="320"/>
  <c r="Q34" i="320"/>
  <c r="R34" i="320"/>
  <c r="AF30" i="320"/>
  <c r="AG30" i="320"/>
  <c r="AH18" i="320" s="1"/>
  <c r="Q23" i="320"/>
  <c r="R23" i="320"/>
  <c r="Q22" i="320"/>
  <c r="R22" i="320"/>
  <c r="R21" i="320"/>
  <c r="Q21" i="320"/>
  <c r="Q20" i="320"/>
  <c r="R20" i="320"/>
  <c r="Q19" i="320"/>
  <c r="R19" i="320"/>
  <c r="Q18" i="320"/>
  <c r="R18" i="320"/>
  <c r="O30" i="320"/>
  <c r="Q12" i="320"/>
  <c r="R12" i="320"/>
  <c r="Q11" i="320"/>
  <c r="R11" i="320"/>
  <c r="Q7" i="320"/>
  <c r="R7" i="320"/>
  <c r="Q148" i="320"/>
  <c r="R148" i="320"/>
  <c r="O160" i="320"/>
  <c r="Q128" i="320"/>
  <c r="R128" i="320"/>
  <c r="R126" i="320"/>
  <c r="Q126" i="320"/>
  <c r="Q124" i="320"/>
  <c r="R124" i="320"/>
  <c r="Q105" i="320"/>
  <c r="R105" i="320"/>
  <c r="Q101" i="320"/>
  <c r="R101" i="320"/>
  <c r="Q100" i="320"/>
  <c r="R100" i="320"/>
  <c r="O99" i="320"/>
  <c r="AF99" i="320"/>
  <c r="AG99" i="320"/>
  <c r="Q127" i="320"/>
  <c r="R127" i="320"/>
  <c r="Q125" i="320"/>
  <c r="R125" i="320"/>
  <c r="P17" i="320"/>
  <c r="G1" i="320"/>
  <c r="G2" i="320" s="1"/>
  <c r="Q122" i="320"/>
  <c r="P95" i="320"/>
  <c r="P30" i="320"/>
  <c r="Q149" i="320"/>
  <c r="P108" i="320"/>
  <c r="N108" i="320"/>
  <c r="AG95" i="320"/>
  <c r="AH83" i="320" s="1"/>
  <c r="AF95" i="320"/>
  <c r="P56" i="320"/>
  <c r="P173" i="320"/>
  <c r="P43" i="320"/>
  <c r="P160" i="320"/>
  <c r="P134" i="320"/>
  <c r="O134" i="320"/>
  <c r="P82" i="320"/>
  <c r="P69" i="320"/>
  <c r="L16" i="316"/>
  <c r="E2" i="317"/>
  <c r="E2" i="318"/>
  <c r="E2" i="316"/>
  <c r="Q173" i="320" l="1"/>
  <c r="R173" i="320"/>
  <c r="S161" i="320" s="1"/>
  <c r="Q147" i="320"/>
  <c r="R147" i="320"/>
  <c r="S135" i="320" s="1"/>
  <c r="Q121" i="320"/>
  <c r="R121" i="320"/>
  <c r="S109" i="320" s="1"/>
  <c r="Q95" i="320"/>
  <c r="R95" i="320"/>
  <c r="S83" i="320" s="1"/>
  <c r="R17" i="320"/>
  <c r="S5" i="320" s="1"/>
  <c r="Q17" i="320"/>
  <c r="Q30" i="320"/>
  <c r="R30" i="320"/>
  <c r="S18" i="320" s="1"/>
  <c r="Q160" i="320"/>
  <c r="R160" i="320"/>
  <c r="S148" i="320" s="1"/>
  <c r="Q99" i="320"/>
  <c r="R99" i="320"/>
  <c r="AG108" i="320"/>
  <c r="AH96" i="320" s="1"/>
  <c r="AF108" i="320"/>
  <c r="R134" i="320"/>
  <c r="S122" i="320" s="1"/>
  <c r="Q134" i="320"/>
  <c r="O108" i="320"/>
  <c r="R56" i="320"/>
  <c r="S44" i="320" s="1"/>
  <c r="R43" i="320"/>
  <c r="S31" i="320" s="1"/>
  <c r="AE173" i="315"/>
  <c r="AD173" i="315"/>
  <c r="AA173" i="315"/>
  <c r="Z173" i="315"/>
  <c r="M173" i="315"/>
  <c r="W172" i="315"/>
  <c r="H172" i="315"/>
  <c r="W171" i="315"/>
  <c r="H171" i="315"/>
  <c r="AG170" i="315"/>
  <c r="AF170" i="315"/>
  <c r="W170" i="315"/>
  <c r="H170" i="315"/>
  <c r="AG169" i="315"/>
  <c r="AF169" i="315"/>
  <c r="W169" i="315"/>
  <c r="H169" i="315"/>
  <c r="AG168" i="315"/>
  <c r="AF168" i="315"/>
  <c r="W168" i="315"/>
  <c r="H168" i="315"/>
  <c r="AG167" i="315"/>
  <c r="AF167" i="315"/>
  <c r="W167" i="315"/>
  <c r="W166" i="315"/>
  <c r="N166" i="315" s="1"/>
  <c r="P166" i="315"/>
  <c r="H166" i="315"/>
  <c r="W165" i="315"/>
  <c r="N165" i="315" s="1"/>
  <c r="H165" i="315"/>
  <c r="W164" i="315"/>
  <c r="P164" i="315"/>
  <c r="H164" i="315"/>
  <c r="W163" i="315"/>
  <c r="N163" i="315" s="1"/>
  <c r="P163" i="315"/>
  <c r="H163" i="315"/>
  <c r="W162" i="315"/>
  <c r="P162" i="315"/>
  <c r="H162" i="315"/>
  <c r="W161" i="315"/>
  <c r="N161" i="315" s="1"/>
  <c r="P161" i="315"/>
  <c r="H161" i="315"/>
  <c r="AE160" i="315"/>
  <c r="AD160" i="315"/>
  <c r="AA160" i="315"/>
  <c r="Z160" i="315"/>
  <c r="M160" i="315"/>
  <c r="P160" i="315" s="1"/>
  <c r="W159" i="315"/>
  <c r="H159" i="315"/>
  <c r="W158" i="315"/>
  <c r="H158" i="315"/>
  <c r="W157" i="315"/>
  <c r="H157" i="315"/>
  <c r="W156" i="315"/>
  <c r="H156" i="315"/>
  <c r="W155" i="315"/>
  <c r="H155" i="315"/>
  <c r="AG154" i="315"/>
  <c r="AF154" i="315"/>
  <c r="W154" i="315"/>
  <c r="H154" i="315"/>
  <c r="AG153" i="315"/>
  <c r="AF153" i="315"/>
  <c r="W153" i="315"/>
  <c r="H153" i="315"/>
  <c r="W152" i="315"/>
  <c r="P152" i="315"/>
  <c r="H152" i="315"/>
  <c r="W151" i="315"/>
  <c r="P151" i="315"/>
  <c r="N151" i="315"/>
  <c r="O151" i="315" s="1"/>
  <c r="AF151" i="315"/>
  <c r="H151" i="315"/>
  <c r="W150" i="315"/>
  <c r="N150" i="315"/>
  <c r="AG150" i="315" s="1"/>
  <c r="P150" i="315"/>
  <c r="H150" i="315"/>
  <c r="W149" i="315"/>
  <c r="P149" i="315"/>
  <c r="H149" i="315"/>
  <c r="W148" i="315"/>
  <c r="N148" i="315" s="1"/>
  <c r="P148" i="315"/>
  <c r="H148" i="315"/>
  <c r="AE147" i="315"/>
  <c r="AD147" i="315"/>
  <c r="AA147" i="315"/>
  <c r="Z147" i="315"/>
  <c r="W147" i="315"/>
  <c r="M147" i="315"/>
  <c r="W146" i="315"/>
  <c r="H146" i="315"/>
  <c r="AG145" i="315"/>
  <c r="AF145" i="315"/>
  <c r="W145" i="315"/>
  <c r="H145" i="315"/>
  <c r="AG144" i="315"/>
  <c r="AF144" i="315"/>
  <c r="W144" i="315"/>
  <c r="H144" i="315"/>
  <c r="W143" i="315"/>
  <c r="N143" i="315" s="1"/>
  <c r="P143" i="315"/>
  <c r="H143" i="315"/>
  <c r="W142" i="315"/>
  <c r="P142" i="315"/>
  <c r="N142" i="315"/>
  <c r="AF142" i="315" s="1"/>
  <c r="H142" i="315"/>
  <c r="W141" i="315"/>
  <c r="N141" i="315" s="1"/>
  <c r="P141" i="315"/>
  <c r="H141" i="315"/>
  <c r="W140" i="315"/>
  <c r="P140" i="315"/>
  <c r="N140" i="315"/>
  <c r="AF140" i="315" s="1"/>
  <c r="H140" i="315"/>
  <c r="W139" i="315"/>
  <c r="N139" i="315" s="1"/>
  <c r="P139" i="315"/>
  <c r="H139" i="315"/>
  <c r="W138" i="315"/>
  <c r="P138" i="315"/>
  <c r="N138" i="315"/>
  <c r="AF138" i="315" s="1"/>
  <c r="H138" i="315"/>
  <c r="W137" i="315"/>
  <c r="N137" i="315" s="1"/>
  <c r="P137" i="315"/>
  <c r="H137" i="315"/>
  <c r="W136" i="315"/>
  <c r="P136" i="315"/>
  <c r="N136" i="315"/>
  <c r="AG136" i="315" s="1"/>
  <c r="H136" i="315"/>
  <c r="W135" i="315"/>
  <c r="P135" i="315"/>
  <c r="N135" i="315"/>
  <c r="H135" i="315"/>
  <c r="AE134" i="315"/>
  <c r="AD134" i="315"/>
  <c r="AA134" i="315"/>
  <c r="Z134" i="315"/>
  <c r="M134" i="315"/>
  <c r="P134" i="315" s="1"/>
  <c r="W133" i="315"/>
  <c r="H133" i="315"/>
  <c r="W132" i="315"/>
  <c r="H132" i="315"/>
  <c r="AG131" i="315"/>
  <c r="AF131" i="315"/>
  <c r="W131" i="315"/>
  <c r="H131" i="315"/>
  <c r="AG130" i="315"/>
  <c r="AF130" i="315"/>
  <c r="W130" i="315"/>
  <c r="H130" i="315"/>
  <c r="AG129" i="315"/>
  <c r="AF129" i="315"/>
  <c r="W129" i="315"/>
  <c r="H129" i="315"/>
  <c r="W128" i="315"/>
  <c r="P128" i="315"/>
  <c r="N128" i="315"/>
  <c r="O128" i="315" s="1"/>
  <c r="H128" i="315"/>
  <c r="W127" i="315"/>
  <c r="N127" i="315" s="1"/>
  <c r="P127" i="315"/>
  <c r="H127" i="315"/>
  <c r="W126" i="315"/>
  <c r="P126" i="315"/>
  <c r="N126" i="315"/>
  <c r="O126" i="315" s="1"/>
  <c r="H126" i="315"/>
  <c r="W125" i="315"/>
  <c r="N125" i="315" s="1"/>
  <c r="P125" i="315"/>
  <c r="H125" i="315"/>
  <c r="W124" i="315"/>
  <c r="P124" i="315"/>
  <c r="N124" i="315"/>
  <c r="O124" i="315" s="1"/>
  <c r="H124" i="315"/>
  <c r="W123" i="315"/>
  <c r="N123" i="315"/>
  <c r="P123" i="315"/>
  <c r="H123" i="315"/>
  <c r="W122" i="315"/>
  <c r="P122" i="315"/>
  <c r="N122" i="315"/>
  <c r="H122" i="315"/>
  <c r="AE121" i="315"/>
  <c r="AD121" i="315"/>
  <c r="AA121" i="315"/>
  <c r="Z121" i="315"/>
  <c r="W121" i="315"/>
  <c r="M121" i="315"/>
  <c r="AG120" i="315"/>
  <c r="AF120" i="315"/>
  <c r="W120" i="315"/>
  <c r="H120" i="315"/>
  <c r="AG119" i="315"/>
  <c r="AF119" i="315"/>
  <c r="W119" i="315"/>
  <c r="H119" i="315"/>
  <c r="AG118" i="315"/>
  <c r="AF118" i="315"/>
  <c r="W118" i="315"/>
  <c r="H118" i="315"/>
  <c r="W117" i="315"/>
  <c r="N117" i="315" s="1"/>
  <c r="AF117" i="315" s="1"/>
  <c r="P117" i="315"/>
  <c r="H117" i="315"/>
  <c r="W116" i="315"/>
  <c r="P116" i="315"/>
  <c r="N116" i="315"/>
  <c r="O116" i="315" s="1"/>
  <c r="H116" i="315"/>
  <c r="W115" i="315"/>
  <c r="N115" i="315"/>
  <c r="P115" i="315"/>
  <c r="H115" i="315"/>
  <c r="W114" i="315"/>
  <c r="P114" i="315"/>
  <c r="N114" i="315"/>
  <c r="O114" i="315" s="1"/>
  <c r="H114" i="315"/>
  <c r="W113" i="315"/>
  <c r="N113" i="315"/>
  <c r="P113" i="315"/>
  <c r="H113" i="315"/>
  <c r="W112" i="315"/>
  <c r="P112" i="315"/>
  <c r="N112" i="315"/>
  <c r="O112" i="315" s="1"/>
  <c r="H112" i="315"/>
  <c r="W111" i="315"/>
  <c r="N111" i="315"/>
  <c r="P111" i="315"/>
  <c r="H111" i="315"/>
  <c r="W110" i="315"/>
  <c r="P110" i="315"/>
  <c r="N110" i="315"/>
  <c r="O110" i="315" s="1"/>
  <c r="H110" i="315"/>
  <c r="W109" i="315"/>
  <c r="N109" i="315" s="1"/>
  <c r="P109" i="315"/>
  <c r="H109" i="315"/>
  <c r="AE108" i="315"/>
  <c r="AD108" i="315"/>
  <c r="AA108" i="315"/>
  <c r="Z108" i="315"/>
  <c r="W108" i="315"/>
  <c r="M108" i="315"/>
  <c r="W107" i="315"/>
  <c r="H107" i="315"/>
  <c r="W106" i="315"/>
  <c r="N106" i="315" s="1"/>
  <c r="P106" i="315"/>
  <c r="H106" i="315"/>
  <c r="W105" i="315"/>
  <c r="N105" i="315"/>
  <c r="P105" i="315"/>
  <c r="H105" i="315"/>
  <c r="W104" i="315"/>
  <c r="N104" i="315" s="1"/>
  <c r="P104" i="315"/>
  <c r="H104" i="315"/>
  <c r="W103" i="315"/>
  <c r="N103" i="315"/>
  <c r="P103" i="315"/>
  <c r="H103" i="315"/>
  <c r="W102" i="315"/>
  <c r="N102" i="315" s="1"/>
  <c r="P102" i="315"/>
  <c r="O102" i="315"/>
  <c r="H102" i="315"/>
  <c r="W101" i="315"/>
  <c r="N101" i="315"/>
  <c r="P101" i="315"/>
  <c r="H101" i="315"/>
  <c r="W100" i="315"/>
  <c r="N100" i="315" s="1"/>
  <c r="O100" i="315"/>
  <c r="P100" i="315"/>
  <c r="H100" i="315"/>
  <c r="W99" i="315"/>
  <c r="N99" i="315"/>
  <c r="P99" i="315"/>
  <c r="H99" i="315"/>
  <c r="W98" i="315"/>
  <c r="N98" i="315" s="1"/>
  <c r="H98" i="315"/>
  <c r="W97" i="315"/>
  <c r="N97" i="315"/>
  <c r="P97" i="315"/>
  <c r="H97" i="315"/>
  <c r="W96" i="315"/>
  <c r="N96" i="315"/>
  <c r="P96" i="315"/>
  <c r="H96" i="315"/>
  <c r="AE95" i="315"/>
  <c r="AD95" i="315"/>
  <c r="AA95" i="315"/>
  <c r="Z95" i="315"/>
  <c r="M95" i="315"/>
  <c r="AG94" i="315"/>
  <c r="AF94" i="315"/>
  <c r="W94" i="315"/>
  <c r="H94" i="315"/>
  <c r="AG93" i="315"/>
  <c r="AF93" i="315"/>
  <c r="W93" i="315"/>
  <c r="H93" i="315"/>
  <c r="AG92" i="315"/>
  <c r="AF92" i="315"/>
  <c r="W92" i="315"/>
  <c r="H92" i="315"/>
  <c r="W91" i="315"/>
  <c r="N91" i="315"/>
  <c r="P91" i="315"/>
  <c r="H91" i="315"/>
  <c r="W90" i="315"/>
  <c r="N90" i="315" s="1"/>
  <c r="P90" i="315"/>
  <c r="O90" i="315"/>
  <c r="H90" i="315"/>
  <c r="W89" i="315"/>
  <c r="N89" i="315"/>
  <c r="AF89" i="315" s="1"/>
  <c r="P89" i="315"/>
  <c r="H89" i="315"/>
  <c r="W88" i="315"/>
  <c r="N88" i="315" s="1"/>
  <c r="P88" i="315"/>
  <c r="H88" i="315"/>
  <c r="W87" i="315"/>
  <c r="H87" i="315"/>
  <c r="W86" i="315"/>
  <c r="N86" i="315" s="1"/>
  <c r="P86" i="315"/>
  <c r="H86" i="315"/>
  <c r="W85" i="315"/>
  <c r="N85" i="315" s="1"/>
  <c r="O85" i="315" s="1"/>
  <c r="H85" i="315"/>
  <c r="W84" i="315"/>
  <c r="N84" i="315" s="1"/>
  <c r="P84" i="315"/>
  <c r="H84" i="315"/>
  <c r="W83" i="315"/>
  <c r="N83" i="315" s="1"/>
  <c r="P83" i="315"/>
  <c r="H83" i="315"/>
  <c r="AE82" i="315"/>
  <c r="AD82" i="315"/>
  <c r="AA82" i="315"/>
  <c r="Z82" i="315"/>
  <c r="M82" i="315"/>
  <c r="W81" i="315"/>
  <c r="AG80" i="315"/>
  <c r="AF80" i="315"/>
  <c r="W80" i="315"/>
  <c r="H80" i="315"/>
  <c r="AG79" i="315"/>
  <c r="AF79" i="315"/>
  <c r="W79" i="315"/>
  <c r="H79" i="315"/>
  <c r="AG78" i="315"/>
  <c r="AF78" i="315"/>
  <c r="W78" i="315"/>
  <c r="H78" i="315"/>
  <c r="AG77" i="315"/>
  <c r="AF77" i="315"/>
  <c r="W77" i="315"/>
  <c r="H77" i="315"/>
  <c r="AG76" i="315"/>
  <c r="AF76" i="315"/>
  <c r="W76" i="315"/>
  <c r="H76" i="315"/>
  <c r="W75" i="315"/>
  <c r="N75" i="315" s="1"/>
  <c r="AG75" i="315" s="1"/>
  <c r="P75" i="315"/>
  <c r="H75" i="315"/>
  <c r="W74" i="315"/>
  <c r="P74" i="315"/>
  <c r="H74" i="315"/>
  <c r="W73" i="315"/>
  <c r="N73" i="315" s="1"/>
  <c r="AG73" i="315" s="1"/>
  <c r="P73" i="315"/>
  <c r="H73" i="315"/>
  <c r="W72" i="315"/>
  <c r="P72" i="315"/>
  <c r="H72" i="315"/>
  <c r="W71" i="315"/>
  <c r="N71" i="315" s="1"/>
  <c r="P71" i="315"/>
  <c r="H71" i="315"/>
  <c r="W70" i="315"/>
  <c r="N70" i="315" s="1"/>
  <c r="P70" i="315"/>
  <c r="H70" i="315"/>
  <c r="AE69" i="315"/>
  <c r="AD69" i="315"/>
  <c r="AA69" i="315"/>
  <c r="Z69" i="315"/>
  <c r="W69" i="315"/>
  <c r="M69" i="315"/>
  <c r="W68" i="315"/>
  <c r="H68" i="315"/>
  <c r="AG67" i="315"/>
  <c r="AF67" i="315"/>
  <c r="W67" i="315"/>
  <c r="H67" i="315"/>
  <c r="AG66" i="315"/>
  <c r="AF66" i="315"/>
  <c r="W66" i="315"/>
  <c r="H66" i="315"/>
  <c r="AG65" i="315"/>
  <c r="AF65" i="315"/>
  <c r="W65" i="315"/>
  <c r="H65" i="315"/>
  <c r="AG64" i="315"/>
  <c r="AF64" i="315"/>
  <c r="W64" i="315"/>
  <c r="H64" i="315"/>
  <c r="AG63" i="315"/>
  <c r="AF63" i="315"/>
  <c r="W63" i="315"/>
  <c r="H63" i="315"/>
  <c r="W62" i="315"/>
  <c r="P62" i="315"/>
  <c r="N62" i="315"/>
  <c r="O62" i="315" s="1"/>
  <c r="H62" i="315"/>
  <c r="W61" i="315"/>
  <c r="N61" i="315" s="1"/>
  <c r="P61" i="315"/>
  <c r="H61" i="315"/>
  <c r="W60" i="315"/>
  <c r="P60" i="315"/>
  <c r="N60" i="315"/>
  <c r="O60" i="315" s="1"/>
  <c r="AF60" i="315"/>
  <c r="H60" i="315"/>
  <c r="W59" i="315"/>
  <c r="N59" i="315" s="1"/>
  <c r="H59" i="315"/>
  <c r="W58" i="315"/>
  <c r="P58" i="315"/>
  <c r="N58" i="315"/>
  <c r="O58" i="315" s="1"/>
  <c r="H58" i="315"/>
  <c r="W57" i="315"/>
  <c r="N57" i="315" s="1"/>
  <c r="P57" i="315"/>
  <c r="H57" i="315"/>
  <c r="AE56" i="315"/>
  <c r="AD56" i="315"/>
  <c r="AA56" i="315"/>
  <c r="Z56" i="315"/>
  <c r="W56" i="315"/>
  <c r="M56" i="315"/>
  <c r="W55" i="315"/>
  <c r="H55" i="315"/>
  <c r="AG54" i="315"/>
  <c r="AF54" i="315"/>
  <c r="W54" i="315"/>
  <c r="H54" i="315"/>
  <c r="AG53" i="315"/>
  <c r="AF53" i="315"/>
  <c r="W53" i="315"/>
  <c r="H53" i="315"/>
  <c r="AG52" i="315"/>
  <c r="AF52" i="315"/>
  <c r="W52" i="315"/>
  <c r="H52" i="315"/>
  <c r="W51" i="315"/>
  <c r="P51" i="315"/>
  <c r="N51" i="315"/>
  <c r="H51" i="315"/>
  <c r="W50" i="315"/>
  <c r="N50" i="315" s="1"/>
  <c r="P50" i="315"/>
  <c r="H50" i="315"/>
  <c r="W49" i="315"/>
  <c r="P49" i="315"/>
  <c r="H49" i="315"/>
  <c r="W48" i="315"/>
  <c r="N48" i="315"/>
  <c r="P48" i="315"/>
  <c r="H48" i="315"/>
  <c r="W47" i="315"/>
  <c r="P47" i="315"/>
  <c r="N47" i="315"/>
  <c r="O47" i="315" s="1"/>
  <c r="H47" i="315"/>
  <c r="W46" i="315"/>
  <c r="N46" i="315"/>
  <c r="P46" i="315"/>
  <c r="H46" i="315"/>
  <c r="W45" i="315"/>
  <c r="P45" i="315"/>
  <c r="N45" i="315"/>
  <c r="O45" i="315" s="1"/>
  <c r="H45" i="315"/>
  <c r="W44" i="315"/>
  <c r="N44" i="315" s="1"/>
  <c r="P44" i="315"/>
  <c r="P56" i="315"/>
  <c r="H44" i="315"/>
  <c r="AE43" i="315"/>
  <c r="AD43" i="315"/>
  <c r="AA43" i="315"/>
  <c r="Z43" i="315"/>
  <c r="M43" i="315"/>
  <c r="W42" i="315"/>
  <c r="H42" i="315"/>
  <c r="W41" i="315"/>
  <c r="AG40" i="315"/>
  <c r="AF40" i="315"/>
  <c r="W40" i="315"/>
  <c r="H40" i="315"/>
  <c r="AG39" i="315"/>
  <c r="AF39" i="315"/>
  <c r="W39" i="315"/>
  <c r="H39" i="315"/>
  <c r="AG38" i="315"/>
  <c r="AF38" i="315"/>
  <c r="W38" i="315"/>
  <c r="H38" i="315"/>
  <c r="W37" i="315"/>
  <c r="N37" i="315" s="1"/>
  <c r="O37" i="315" s="1"/>
  <c r="P37" i="315"/>
  <c r="H37" i="315"/>
  <c r="W36" i="315"/>
  <c r="P36" i="315"/>
  <c r="H36" i="315"/>
  <c r="W35" i="315"/>
  <c r="N35" i="315" s="1"/>
  <c r="P35" i="315"/>
  <c r="H35" i="315"/>
  <c r="W34" i="315"/>
  <c r="N34" i="315"/>
  <c r="AF34" i="315" s="1"/>
  <c r="P34" i="315"/>
  <c r="H34" i="315"/>
  <c r="W33" i="315"/>
  <c r="N33" i="315" s="1"/>
  <c r="O33" i="315"/>
  <c r="H33" i="315"/>
  <c r="W32" i="315"/>
  <c r="N32" i="315"/>
  <c r="AF32" i="315" s="1"/>
  <c r="P32" i="315"/>
  <c r="H32" i="315"/>
  <c r="W31" i="315"/>
  <c r="P31" i="315"/>
  <c r="N31" i="315"/>
  <c r="O31" i="315" s="1"/>
  <c r="H31" i="315"/>
  <c r="AE30" i="315"/>
  <c r="AD30" i="315"/>
  <c r="AA30" i="315"/>
  <c r="Z30" i="315"/>
  <c r="M30" i="315"/>
  <c r="AF29" i="315"/>
  <c r="W29" i="315"/>
  <c r="H29" i="315"/>
  <c r="AG28" i="315"/>
  <c r="AF28" i="315"/>
  <c r="W28" i="315"/>
  <c r="P28" i="315"/>
  <c r="H28" i="315"/>
  <c r="AG27" i="315"/>
  <c r="AF27" i="315"/>
  <c r="W27" i="315"/>
  <c r="P27" i="315"/>
  <c r="H27" i="315"/>
  <c r="AG26" i="315"/>
  <c r="AF26" i="315"/>
  <c r="W26" i="315"/>
  <c r="P26" i="315"/>
  <c r="H26" i="315"/>
  <c r="AG25" i="315"/>
  <c r="AF25" i="315"/>
  <c r="W25" i="315"/>
  <c r="P25" i="315"/>
  <c r="H25" i="315"/>
  <c r="AG24" i="315"/>
  <c r="AF24" i="315"/>
  <c r="W24" i="315"/>
  <c r="H24" i="315"/>
  <c r="W23" i="315"/>
  <c r="N23" i="315"/>
  <c r="P23" i="315"/>
  <c r="H23" i="315"/>
  <c r="W22" i="315"/>
  <c r="N22" i="315" s="1"/>
  <c r="P22" i="315"/>
  <c r="H22" i="315"/>
  <c r="W21" i="315"/>
  <c r="N21" i="315"/>
  <c r="P21" i="315"/>
  <c r="H21" i="315"/>
  <c r="W20" i="315"/>
  <c r="N20" i="315" s="1"/>
  <c r="P20" i="315"/>
  <c r="H20" i="315"/>
  <c r="W19" i="315"/>
  <c r="H19" i="315"/>
  <c r="W18" i="315"/>
  <c r="P18" i="315"/>
  <c r="H18" i="315"/>
  <c r="AE17" i="315"/>
  <c r="AD17" i="315"/>
  <c r="AA17" i="315"/>
  <c r="Z17" i="315"/>
  <c r="Z2" i="315" s="1"/>
  <c r="W17" i="315"/>
  <c r="M17" i="315"/>
  <c r="AG16" i="315"/>
  <c r="W16" i="315"/>
  <c r="H16" i="315"/>
  <c r="AG15" i="315"/>
  <c r="W15" i="315"/>
  <c r="H15" i="315"/>
  <c r="AG14" i="315"/>
  <c r="W14" i="315"/>
  <c r="H14" i="315"/>
  <c r="AG13" i="315"/>
  <c r="AF13" i="315"/>
  <c r="W13" i="315"/>
  <c r="H13" i="315"/>
  <c r="W12" i="315"/>
  <c r="N12" i="315"/>
  <c r="P12" i="315"/>
  <c r="H12" i="315"/>
  <c r="W11" i="315"/>
  <c r="N11" i="315" s="1"/>
  <c r="P11" i="315"/>
  <c r="H11" i="315"/>
  <c r="W10" i="315"/>
  <c r="P10" i="315"/>
  <c r="H10" i="315"/>
  <c r="W9" i="315"/>
  <c r="N9" i="315" s="1"/>
  <c r="P9" i="315"/>
  <c r="H9" i="315"/>
  <c r="W8" i="315"/>
  <c r="P8" i="315"/>
  <c r="H8" i="315"/>
  <c r="W7" i="315"/>
  <c r="N7" i="315" s="1"/>
  <c r="P7" i="315"/>
  <c r="H7" i="315"/>
  <c r="W6" i="315"/>
  <c r="N6" i="315"/>
  <c r="P6" i="315"/>
  <c r="H6" i="315"/>
  <c r="W5" i="315"/>
  <c r="P17" i="315"/>
  <c r="H5" i="315"/>
  <c r="G1" i="315" s="1"/>
  <c r="G2" i="315" s="1"/>
  <c r="AD2" i="315"/>
  <c r="I2" i="315"/>
  <c r="E1" i="315"/>
  <c r="AE173" i="314"/>
  <c r="AD173" i="314"/>
  <c r="AA173" i="314"/>
  <c r="Z173" i="314"/>
  <c r="M173" i="314"/>
  <c r="P173" i="314" s="1"/>
  <c r="W172" i="314"/>
  <c r="H172" i="314"/>
  <c r="W171" i="314"/>
  <c r="H171" i="314"/>
  <c r="AG170" i="314"/>
  <c r="AF170" i="314"/>
  <c r="W170" i="314"/>
  <c r="H170" i="314"/>
  <c r="AG169" i="314"/>
  <c r="AF169" i="314"/>
  <c r="W169" i="314"/>
  <c r="H169" i="314"/>
  <c r="AG168" i="314"/>
  <c r="AF168" i="314"/>
  <c r="W168" i="314"/>
  <c r="H168" i="314"/>
  <c r="AG167" i="314"/>
  <c r="AF167" i="314"/>
  <c r="W167" i="314"/>
  <c r="AG166" i="314"/>
  <c r="AF166" i="314"/>
  <c r="W166" i="314"/>
  <c r="H166" i="314"/>
  <c r="W165" i="314"/>
  <c r="N165" i="314" s="1"/>
  <c r="P165" i="314"/>
  <c r="H165" i="314"/>
  <c r="W164" i="314"/>
  <c r="P164" i="314"/>
  <c r="N164" i="314"/>
  <c r="O164" i="314" s="1"/>
  <c r="H164" i="314"/>
  <c r="W163" i="314"/>
  <c r="N163" i="314" s="1"/>
  <c r="P163" i="314"/>
  <c r="H163" i="314"/>
  <c r="W162" i="314"/>
  <c r="P162" i="314"/>
  <c r="N162" i="314"/>
  <c r="O162" i="314" s="1"/>
  <c r="AF162" i="314"/>
  <c r="H162" i="314"/>
  <c r="W161" i="314"/>
  <c r="N161" i="314" s="1"/>
  <c r="P161" i="314"/>
  <c r="H161" i="314"/>
  <c r="AE160" i="314"/>
  <c r="AD160" i="314"/>
  <c r="AA160" i="314"/>
  <c r="Z160" i="314"/>
  <c r="M160" i="314"/>
  <c r="W159" i="314"/>
  <c r="H159" i="314"/>
  <c r="W158" i="314"/>
  <c r="H158" i="314"/>
  <c r="W157" i="314"/>
  <c r="H157" i="314"/>
  <c r="W156" i="314"/>
  <c r="H156" i="314"/>
  <c r="W155" i="314"/>
  <c r="H155" i="314"/>
  <c r="AG154" i="314"/>
  <c r="AF154" i="314"/>
  <c r="W154" i="314"/>
  <c r="H154" i="314"/>
  <c r="AG153" i="314"/>
  <c r="AF153" i="314"/>
  <c r="W153" i="314"/>
  <c r="H153" i="314"/>
  <c r="W152" i="314"/>
  <c r="N152" i="314" s="1"/>
  <c r="O152" i="314" s="1"/>
  <c r="P152" i="314"/>
  <c r="H152" i="314"/>
  <c r="W151" i="314"/>
  <c r="P151" i="314"/>
  <c r="N151" i="314"/>
  <c r="O151" i="314" s="1"/>
  <c r="R151" i="314" s="1"/>
  <c r="H151" i="314"/>
  <c r="W150" i="314"/>
  <c r="N150" i="314" s="1"/>
  <c r="P150" i="314"/>
  <c r="H150" i="314"/>
  <c r="W149" i="314"/>
  <c r="P149" i="314"/>
  <c r="H149" i="314"/>
  <c r="W148" i="314"/>
  <c r="N148" i="314" s="1"/>
  <c r="P148" i="314"/>
  <c r="H148" i="314"/>
  <c r="AE147" i="314"/>
  <c r="AD147" i="314"/>
  <c r="AA147" i="314"/>
  <c r="Z147" i="314"/>
  <c r="W147" i="314"/>
  <c r="M147" i="314"/>
  <c r="W146" i="314"/>
  <c r="H146" i="314"/>
  <c r="AG145" i="314"/>
  <c r="AF145" i="314"/>
  <c r="W145" i="314"/>
  <c r="H145" i="314"/>
  <c r="AG144" i="314"/>
  <c r="AF144" i="314"/>
  <c r="W144" i="314"/>
  <c r="H144" i="314"/>
  <c r="W143" i="314"/>
  <c r="N143" i="314" s="1"/>
  <c r="P143" i="314"/>
  <c r="H143" i="314"/>
  <c r="W142" i="314"/>
  <c r="P142" i="314"/>
  <c r="H142" i="314"/>
  <c r="W141" i="314"/>
  <c r="N141" i="314" s="1"/>
  <c r="P141" i="314"/>
  <c r="H141" i="314"/>
  <c r="W140" i="314"/>
  <c r="P140" i="314"/>
  <c r="N140" i="314"/>
  <c r="H140" i="314"/>
  <c r="W139" i="314"/>
  <c r="N139" i="314" s="1"/>
  <c r="AG139" i="314" s="1"/>
  <c r="P139" i="314"/>
  <c r="H139" i="314"/>
  <c r="W138" i="314"/>
  <c r="P138" i="314"/>
  <c r="N138" i="314"/>
  <c r="H138" i="314"/>
  <c r="W137" i="314"/>
  <c r="N137" i="314" s="1"/>
  <c r="O137" i="314" s="1"/>
  <c r="P137" i="314"/>
  <c r="H137" i="314"/>
  <c r="W136" i="314"/>
  <c r="P136" i="314"/>
  <c r="H136" i="314"/>
  <c r="W135" i="314"/>
  <c r="P135" i="314"/>
  <c r="N135" i="314"/>
  <c r="AG135" i="314" s="1"/>
  <c r="H135" i="314"/>
  <c r="AE134" i="314"/>
  <c r="AD134" i="314"/>
  <c r="AA134" i="314"/>
  <c r="Z134" i="314"/>
  <c r="M134" i="314"/>
  <c r="W133" i="314"/>
  <c r="H133" i="314"/>
  <c r="W132" i="314"/>
  <c r="H132" i="314"/>
  <c r="AG131" i="314"/>
  <c r="AF131" i="314"/>
  <c r="W131" i="314"/>
  <c r="H131" i="314"/>
  <c r="AG130" i="314"/>
  <c r="AF130" i="314"/>
  <c r="W130" i="314"/>
  <c r="H130" i="314"/>
  <c r="AG129" i="314"/>
  <c r="AF129" i="314"/>
  <c r="W129" i="314"/>
  <c r="H129" i="314"/>
  <c r="W128" i="314"/>
  <c r="P128" i="314"/>
  <c r="N128" i="314"/>
  <c r="O128" i="314" s="1"/>
  <c r="R128" i="314" s="1"/>
  <c r="H128" i="314"/>
  <c r="W127" i="314"/>
  <c r="N127" i="314"/>
  <c r="AG127" i="314" s="1"/>
  <c r="P127" i="314"/>
  <c r="H127" i="314"/>
  <c r="W126" i="314"/>
  <c r="N126" i="314" s="1"/>
  <c r="P126" i="314"/>
  <c r="H126" i="314"/>
  <c r="W125" i="314"/>
  <c r="P125" i="314"/>
  <c r="N125" i="314"/>
  <c r="H125" i="314"/>
  <c r="W124" i="314"/>
  <c r="N124" i="314" s="1"/>
  <c r="P124" i="314"/>
  <c r="H124" i="314"/>
  <c r="W123" i="314"/>
  <c r="P123" i="314"/>
  <c r="H123" i="314"/>
  <c r="W122" i="314"/>
  <c r="P122" i="314"/>
  <c r="N122" i="314"/>
  <c r="H122" i="314"/>
  <c r="AE121" i="314"/>
  <c r="AD121" i="314"/>
  <c r="AA121" i="314"/>
  <c r="Z121" i="314"/>
  <c r="W121" i="314"/>
  <c r="M121" i="314"/>
  <c r="AG120" i="314"/>
  <c r="AF120" i="314"/>
  <c r="W120" i="314"/>
  <c r="H120" i="314"/>
  <c r="AG119" i="314"/>
  <c r="AF119" i="314"/>
  <c r="W119" i="314"/>
  <c r="H119" i="314"/>
  <c r="AG118" i="314"/>
  <c r="AF118" i="314"/>
  <c r="W118" i="314"/>
  <c r="H118" i="314"/>
  <c r="AG117" i="314"/>
  <c r="AF117" i="314"/>
  <c r="W117" i="314"/>
  <c r="H117" i="314"/>
  <c r="W116" i="314"/>
  <c r="N116" i="314" s="1"/>
  <c r="P116" i="314"/>
  <c r="H116" i="314"/>
  <c r="W115" i="314"/>
  <c r="N115" i="314" s="1"/>
  <c r="H115" i="314"/>
  <c r="W114" i="314"/>
  <c r="N114" i="314" s="1"/>
  <c r="P114" i="314"/>
  <c r="H114" i="314"/>
  <c r="W113" i="314"/>
  <c r="N113" i="314" s="1"/>
  <c r="O113" i="314" s="1"/>
  <c r="P113" i="314"/>
  <c r="H113" i="314"/>
  <c r="W112" i="314"/>
  <c r="N112" i="314"/>
  <c r="AF112" i="314" s="1"/>
  <c r="P112" i="314"/>
  <c r="H112" i="314"/>
  <c r="W111" i="314"/>
  <c r="N111" i="314" s="1"/>
  <c r="P111" i="314"/>
  <c r="H111" i="314"/>
  <c r="W110" i="314"/>
  <c r="N110" i="314"/>
  <c r="AF110" i="314" s="1"/>
  <c r="P110" i="314"/>
  <c r="H110" i="314"/>
  <c r="W109" i="314"/>
  <c r="N109" i="314" s="1"/>
  <c r="P109" i="314"/>
  <c r="H109" i="314"/>
  <c r="AE108" i="314"/>
  <c r="AD108" i="314"/>
  <c r="AA108" i="314"/>
  <c r="Z108" i="314"/>
  <c r="W108" i="314"/>
  <c r="M108" i="314"/>
  <c r="W107" i="314"/>
  <c r="H107" i="314"/>
  <c r="AG106" i="314"/>
  <c r="AF106" i="314"/>
  <c r="H106" i="314"/>
  <c r="AG105" i="314"/>
  <c r="AF105" i="314"/>
  <c r="W105" i="314"/>
  <c r="H105" i="314"/>
  <c r="AG104" i="314"/>
  <c r="AF104" i="314"/>
  <c r="W104" i="314"/>
  <c r="H104" i="314"/>
  <c r="W103" i="314"/>
  <c r="N103" i="314" s="1"/>
  <c r="P103" i="314"/>
  <c r="H103" i="314"/>
  <c r="W102" i="314"/>
  <c r="N102" i="314" s="1"/>
  <c r="H102" i="314"/>
  <c r="W101" i="314"/>
  <c r="N101" i="314" s="1"/>
  <c r="P101" i="314"/>
  <c r="H101" i="314"/>
  <c r="W100" i="314"/>
  <c r="N100" i="314" s="1"/>
  <c r="H100" i="314"/>
  <c r="W99" i="314"/>
  <c r="N99" i="314" s="1"/>
  <c r="P99" i="314"/>
  <c r="H99" i="314"/>
  <c r="W98" i="314"/>
  <c r="N98" i="314" s="1"/>
  <c r="O98" i="314"/>
  <c r="H98" i="314"/>
  <c r="W97" i="314"/>
  <c r="N97" i="314" s="1"/>
  <c r="P97" i="314"/>
  <c r="H97" i="314"/>
  <c r="W96" i="314"/>
  <c r="N96" i="314" s="1"/>
  <c r="H96" i="314"/>
  <c r="AE95" i="314"/>
  <c r="AD95" i="314"/>
  <c r="AA95" i="314"/>
  <c r="Z95" i="314"/>
  <c r="M95" i="314"/>
  <c r="AG94" i="314"/>
  <c r="AF94" i="314"/>
  <c r="W94" i="314"/>
  <c r="H94" i="314"/>
  <c r="AG93" i="314"/>
  <c r="AF93" i="314"/>
  <c r="W93" i="314"/>
  <c r="H93" i="314"/>
  <c r="AG92" i="314"/>
  <c r="AF92" i="314"/>
  <c r="W92" i="314"/>
  <c r="H92" i="314"/>
  <c r="AG91" i="314"/>
  <c r="AF91" i="314"/>
  <c r="W91" i="314"/>
  <c r="H91" i="314"/>
  <c r="AG90" i="314"/>
  <c r="AF90" i="314"/>
  <c r="W90" i="314"/>
  <c r="H90" i="314"/>
  <c r="W89" i="314"/>
  <c r="N89" i="314" s="1"/>
  <c r="P89" i="314"/>
  <c r="H89" i="314"/>
  <c r="W88" i="314"/>
  <c r="N88" i="314" s="1"/>
  <c r="O88" i="314" s="1"/>
  <c r="H88" i="314"/>
  <c r="W87" i="314"/>
  <c r="N87" i="314" s="1"/>
  <c r="P87" i="314"/>
  <c r="H87" i="314"/>
  <c r="W86" i="314"/>
  <c r="N86" i="314" s="1"/>
  <c r="O86" i="314" s="1"/>
  <c r="H86" i="314"/>
  <c r="W85" i="314"/>
  <c r="N85" i="314" s="1"/>
  <c r="P85" i="314"/>
  <c r="H85" i="314"/>
  <c r="W84" i="314"/>
  <c r="N84" i="314" s="1"/>
  <c r="O84" i="314" s="1"/>
  <c r="H84" i="314"/>
  <c r="W83" i="314"/>
  <c r="H83" i="314"/>
  <c r="AE82" i="314"/>
  <c r="AD82" i="314"/>
  <c r="AA82" i="314"/>
  <c r="Z82" i="314"/>
  <c r="M82" i="314"/>
  <c r="W81" i="314"/>
  <c r="AG80" i="314"/>
  <c r="AF80" i="314"/>
  <c r="W80" i="314"/>
  <c r="H80" i="314"/>
  <c r="AG79" i="314"/>
  <c r="AF79" i="314"/>
  <c r="W79" i="314"/>
  <c r="H79" i="314"/>
  <c r="AG78" i="314"/>
  <c r="AF78" i="314"/>
  <c r="W78" i="314"/>
  <c r="H78" i="314"/>
  <c r="AG77" i="314"/>
  <c r="AF77" i="314"/>
  <c r="W77" i="314"/>
  <c r="H77" i="314"/>
  <c r="AG76" i="314"/>
  <c r="AF76" i="314"/>
  <c r="W76" i="314"/>
  <c r="H76" i="314"/>
  <c r="W75" i="314"/>
  <c r="N75" i="314" s="1"/>
  <c r="P75" i="314"/>
  <c r="H75" i="314"/>
  <c r="W74" i="314"/>
  <c r="P74" i="314"/>
  <c r="H74" i="314"/>
  <c r="W73" i="314"/>
  <c r="N73" i="314" s="1"/>
  <c r="P73" i="314"/>
  <c r="H73" i="314"/>
  <c r="W72" i="314"/>
  <c r="P72" i="314"/>
  <c r="H72" i="314"/>
  <c r="W71" i="314"/>
  <c r="N71" i="314" s="1"/>
  <c r="P71" i="314"/>
  <c r="H71" i="314"/>
  <c r="W70" i="314"/>
  <c r="N70" i="314" s="1"/>
  <c r="P70" i="314"/>
  <c r="H70" i="314"/>
  <c r="AE69" i="314"/>
  <c r="AD69" i="314"/>
  <c r="AA69" i="314"/>
  <c r="Z69" i="314"/>
  <c r="W69" i="314"/>
  <c r="M69" i="314"/>
  <c r="W68" i="314"/>
  <c r="H68" i="314"/>
  <c r="AG67" i="314"/>
  <c r="AF67" i="314"/>
  <c r="W67" i="314"/>
  <c r="H67" i="314"/>
  <c r="AG66" i="314"/>
  <c r="AF66" i="314"/>
  <c r="W66" i="314"/>
  <c r="H66" i="314"/>
  <c r="AG65" i="314"/>
  <c r="AF65" i="314"/>
  <c r="W65" i="314"/>
  <c r="H65" i="314"/>
  <c r="AG64" i="314"/>
  <c r="AF64" i="314"/>
  <c r="W64" i="314"/>
  <c r="H64" i="314"/>
  <c r="AG63" i="314"/>
  <c r="AF63" i="314"/>
  <c r="W63" i="314"/>
  <c r="H63" i="314"/>
  <c r="W62" i="314"/>
  <c r="P62" i="314"/>
  <c r="N62" i="314"/>
  <c r="O62" i="314" s="1"/>
  <c r="R62" i="314" s="1"/>
  <c r="AF62" i="314"/>
  <c r="H62" i="314"/>
  <c r="W61" i="314"/>
  <c r="N61" i="314" s="1"/>
  <c r="P61" i="314"/>
  <c r="H61" i="314"/>
  <c r="W60" i="314"/>
  <c r="P60" i="314"/>
  <c r="N60" i="314"/>
  <c r="O60" i="314" s="1"/>
  <c r="R60" i="314" s="1"/>
  <c r="AF60" i="314"/>
  <c r="H60" i="314"/>
  <c r="W59" i="314"/>
  <c r="N59" i="314" s="1"/>
  <c r="P59" i="314"/>
  <c r="H59" i="314"/>
  <c r="W58" i="314"/>
  <c r="P58" i="314"/>
  <c r="N58" i="314"/>
  <c r="O58" i="314" s="1"/>
  <c r="Q58" i="314"/>
  <c r="AF58" i="314"/>
  <c r="H58" i="314"/>
  <c r="W57" i="314"/>
  <c r="N57" i="314" s="1"/>
  <c r="P57" i="314"/>
  <c r="H57" i="314"/>
  <c r="AE56" i="314"/>
  <c r="AD56" i="314"/>
  <c r="AA56" i="314"/>
  <c r="Z56" i="314"/>
  <c r="W56" i="314"/>
  <c r="M56" i="314"/>
  <c r="P56" i="314" s="1"/>
  <c r="W55" i="314"/>
  <c r="H55" i="314"/>
  <c r="AG54" i="314"/>
  <c r="AF54" i="314"/>
  <c r="W54" i="314"/>
  <c r="H54" i="314"/>
  <c r="W53" i="314"/>
  <c r="P53" i="314"/>
  <c r="N53" i="314"/>
  <c r="H53" i="314"/>
  <c r="W52" i="314"/>
  <c r="N52" i="314" s="1"/>
  <c r="P52" i="314"/>
  <c r="H52" i="314"/>
  <c r="W51" i="314"/>
  <c r="N51" i="314"/>
  <c r="P51" i="314"/>
  <c r="H51" i="314"/>
  <c r="W50" i="314"/>
  <c r="N50" i="314" s="1"/>
  <c r="P50" i="314"/>
  <c r="H50" i="314"/>
  <c r="W49" i="314"/>
  <c r="P49" i="314"/>
  <c r="N49" i="314"/>
  <c r="H49" i="314"/>
  <c r="W48" i="314"/>
  <c r="N48" i="314" s="1"/>
  <c r="P48" i="314"/>
  <c r="H48" i="314"/>
  <c r="W47" i="314"/>
  <c r="P47" i="314"/>
  <c r="N47" i="314"/>
  <c r="H47" i="314"/>
  <c r="W46" i="314"/>
  <c r="N46" i="314" s="1"/>
  <c r="P46" i="314"/>
  <c r="H46" i="314"/>
  <c r="W45" i="314"/>
  <c r="P45" i="314"/>
  <c r="N45" i="314"/>
  <c r="H45" i="314"/>
  <c r="W44" i="314"/>
  <c r="P44" i="314"/>
  <c r="N44" i="314"/>
  <c r="H44" i="314"/>
  <c r="AE43" i="314"/>
  <c r="AD43" i="314"/>
  <c r="AA43" i="314"/>
  <c r="Z43" i="314"/>
  <c r="M43" i="314"/>
  <c r="W42" i="314"/>
  <c r="H42" i="314"/>
  <c r="W41" i="314"/>
  <c r="AG40" i="314"/>
  <c r="AF40" i="314"/>
  <c r="W40" i="314"/>
  <c r="H40" i="314"/>
  <c r="AG39" i="314"/>
  <c r="AF39" i="314"/>
  <c r="W39" i="314"/>
  <c r="H39" i="314"/>
  <c r="AG38" i="314"/>
  <c r="AF38" i="314"/>
  <c r="W38" i="314"/>
  <c r="H38" i="314"/>
  <c r="W37" i="314"/>
  <c r="N37" i="314" s="1"/>
  <c r="P37" i="314"/>
  <c r="H37" i="314"/>
  <c r="W36" i="314"/>
  <c r="N36" i="314" s="1"/>
  <c r="H36" i="314"/>
  <c r="W35" i="314"/>
  <c r="N35" i="314" s="1"/>
  <c r="P35" i="314"/>
  <c r="H35" i="314"/>
  <c r="W34" i="314"/>
  <c r="N34" i="314" s="1"/>
  <c r="H34" i="314"/>
  <c r="W33" i="314"/>
  <c r="N33" i="314" s="1"/>
  <c r="P33" i="314"/>
  <c r="H33" i="314"/>
  <c r="W32" i="314"/>
  <c r="N32" i="314" s="1"/>
  <c r="H32" i="314"/>
  <c r="W31" i="314"/>
  <c r="H31" i="314"/>
  <c r="AE30" i="314"/>
  <c r="AD30" i="314"/>
  <c r="AA30" i="314"/>
  <c r="Z30" i="314"/>
  <c r="M30" i="314"/>
  <c r="AF29" i="314"/>
  <c r="W29" i="314"/>
  <c r="H29" i="314"/>
  <c r="AG28" i="314"/>
  <c r="AF28" i="314"/>
  <c r="W28" i="314"/>
  <c r="P28" i="314"/>
  <c r="H28" i="314"/>
  <c r="AG27" i="314"/>
  <c r="AF27" i="314"/>
  <c r="W27" i="314"/>
  <c r="P27" i="314"/>
  <c r="H27" i="314"/>
  <c r="AG26" i="314"/>
  <c r="AF26" i="314"/>
  <c r="W26" i="314"/>
  <c r="P26" i="314"/>
  <c r="H26" i="314"/>
  <c r="AG25" i="314"/>
  <c r="AF25" i="314"/>
  <c r="W25" i="314"/>
  <c r="P25" i="314"/>
  <c r="H25" i="314"/>
  <c r="AG24" i="314"/>
  <c r="AF24" i="314"/>
  <c r="W24" i="314"/>
  <c r="H24" i="314"/>
  <c r="W23" i="314"/>
  <c r="P23" i="314"/>
  <c r="N23" i="314"/>
  <c r="O23" i="314" s="1"/>
  <c r="H23" i="314"/>
  <c r="W22" i="314"/>
  <c r="P22" i="314"/>
  <c r="H22" i="314"/>
  <c r="W21" i="314"/>
  <c r="P21" i="314"/>
  <c r="H21" i="314"/>
  <c r="W20" i="314"/>
  <c r="P20" i="314"/>
  <c r="H20" i="314"/>
  <c r="W19" i="314"/>
  <c r="N19" i="314" s="1"/>
  <c r="P19" i="314"/>
  <c r="H19" i="314"/>
  <c r="W18" i="314"/>
  <c r="N18" i="314" s="1"/>
  <c r="H18" i="314"/>
  <c r="AE17" i="314"/>
  <c r="AD17" i="314"/>
  <c r="AA17" i="314"/>
  <c r="Z17" i="314"/>
  <c r="W17" i="314"/>
  <c r="M17" i="314"/>
  <c r="AG16" i="314"/>
  <c r="W16" i="314"/>
  <c r="H16" i="314"/>
  <c r="AG15" i="314"/>
  <c r="W15" i="314"/>
  <c r="H15" i="314"/>
  <c r="AG14" i="314"/>
  <c r="W14" i="314"/>
  <c r="H14" i="314"/>
  <c r="AG13" i="314"/>
  <c r="AF13" i="314"/>
  <c r="W13" i="314"/>
  <c r="H13" i="314"/>
  <c r="AG12" i="314"/>
  <c r="AF12" i="314"/>
  <c r="W12" i="314"/>
  <c r="H12" i="314"/>
  <c r="W11" i="314"/>
  <c r="N11" i="314" s="1"/>
  <c r="O11" i="314"/>
  <c r="H11" i="314"/>
  <c r="W10" i="314"/>
  <c r="N10" i="314" s="1"/>
  <c r="AF10" i="314" s="1"/>
  <c r="O10" i="314"/>
  <c r="P10" i="314"/>
  <c r="H10" i="314"/>
  <c r="W9" i="314"/>
  <c r="N9" i="314" s="1"/>
  <c r="AF9" i="314" s="1"/>
  <c r="O9" i="314"/>
  <c r="P9" i="314"/>
  <c r="H9" i="314"/>
  <c r="W8" i="314"/>
  <c r="N8" i="314" s="1"/>
  <c r="AF8" i="314" s="1"/>
  <c r="P8" i="314"/>
  <c r="H8" i="314"/>
  <c r="W7" i="314"/>
  <c r="N7" i="314"/>
  <c r="AF7" i="314" s="1"/>
  <c r="P7" i="314"/>
  <c r="H7" i="314"/>
  <c r="W6" i="314"/>
  <c r="N6" i="314" s="1"/>
  <c r="O6" i="314"/>
  <c r="P6" i="314"/>
  <c r="H6" i="314"/>
  <c r="W5" i="314"/>
  <c r="N5" i="314" s="1"/>
  <c r="O5" i="314"/>
  <c r="H5" i="314"/>
  <c r="I2" i="314"/>
  <c r="E1" i="314"/>
  <c r="AE173" i="313"/>
  <c r="AD173" i="313"/>
  <c r="AA173" i="313"/>
  <c r="Z173" i="313"/>
  <c r="M173" i="313"/>
  <c r="W172" i="313"/>
  <c r="H172" i="313"/>
  <c r="W171" i="313"/>
  <c r="H171" i="313"/>
  <c r="AG170" i="313"/>
  <c r="AF170" i="313"/>
  <c r="W170" i="313"/>
  <c r="H170" i="313"/>
  <c r="AG169" i="313"/>
  <c r="AF169" i="313"/>
  <c r="W169" i="313"/>
  <c r="H169" i="313"/>
  <c r="AG168" i="313"/>
  <c r="AF168" i="313"/>
  <c r="W168" i="313"/>
  <c r="H168" i="313"/>
  <c r="AG167" i="313"/>
  <c r="AF167" i="313"/>
  <c r="W167" i="313"/>
  <c r="AG166" i="313"/>
  <c r="AF166" i="313"/>
  <c r="W166" i="313"/>
  <c r="H166" i="313"/>
  <c r="W165" i="313"/>
  <c r="P165" i="313"/>
  <c r="N165" i="313"/>
  <c r="O165" i="313" s="1"/>
  <c r="AF165" i="313"/>
  <c r="H165" i="313"/>
  <c r="W164" i="313"/>
  <c r="N164" i="313"/>
  <c r="P173" i="313"/>
  <c r="H164" i="313"/>
  <c r="W163" i="313"/>
  <c r="P163" i="313"/>
  <c r="N163" i="313"/>
  <c r="O163" i="313" s="1"/>
  <c r="AF163" i="313"/>
  <c r="H163" i="313"/>
  <c r="W162" i="313"/>
  <c r="P162" i="313"/>
  <c r="N162" i="313"/>
  <c r="AG162" i="313" s="1"/>
  <c r="H162" i="313"/>
  <c r="W161" i="313"/>
  <c r="P161" i="313"/>
  <c r="N161" i="313"/>
  <c r="O161" i="313" s="1"/>
  <c r="H161" i="313"/>
  <c r="AE160" i="313"/>
  <c r="AD160" i="313"/>
  <c r="AA160" i="313"/>
  <c r="Z160" i="313"/>
  <c r="M160" i="313"/>
  <c r="W159" i="313"/>
  <c r="H159" i="313"/>
  <c r="W158" i="313"/>
  <c r="H158" i="313"/>
  <c r="W157" i="313"/>
  <c r="H157" i="313"/>
  <c r="W156" i="313"/>
  <c r="H156" i="313"/>
  <c r="W155" i="313"/>
  <c r="H155" i="313"/>
  <c r="AG154" i="313"/>
  <c r="AF154" i="313"/>
  <c r="W154" i="313"/>
  <c r="H154" i="313"/>
  <c r="AG153" i="313"/>
  <c r="AF153" i="313"/>
  <c r="W153" i="313"/>
  <c r="H153" i="313"/>
  <c r="W152" i="313"/>
  <c r="N152" i="313" s="1"/>
  <c r="P152" i="313"/>
  <c r="H152" i="313"/>
  <c r="W151" i="313"/>
  <c r="P151" i="313"/>
  <c r="N151" i="313"/>
  <c r="AF151" i="313" s="1"/>
  <c r="H151" i="313"/>
  <c r="W150" i="313"/>
  <c r="N150" i="313" s="1"/>
  <c r="P150" i="313"/>
  <c r="H150" i="313"/>
  <c r="W149" i="313"/>
  <c r="P149" i="313"/>
  <c r="N149" i="313"/>
  <c r="AF149" i="313" s="1"/>
  <c r="H149" i="313"/>
  <c r="W148" i="313"/>
  <c r="N148" i="313" s="1"/>
  <c r="P148" i="313"/>
  <c r="H148" i="313"/>
  <c r="AE147" i="313"/>
  <c r="AD147" i="313"/>
  <c r="AA147" i="313"/>
  <c r="Z147" i="313"/>
  <c r="W147" i="313"/>
  <c r="M147" i="313"/>
  <c r="W146" i="313"/>
  <c r="H146" i="313"/>
  <c r="AG145" i="313"/>
  <c r="AF145" i="313"/>
  <c r="W145" i="313"/>
  <c r="H145" i="313"/>
  <c r="AG144" i="313"/>
  <c r="AF144" i="313"/>
  <c r="W144" i="313"/>
  <c r="H144" i="313"/>
  <c r="W143" i="313"/>
  <c r="N143" i="313" s="1"/>
  <c r="P143" i="313"/>
  <c r="H143" i="313"/>
  <c r="W142" i="313"/>
  <c r="N142" i="313"/>
  <c r="AG142" i="313" s="1"/>
  <c r="P142" i="313"/>
  <c r="H142" i="313"/>
  <c r="W141" i="313"/>
  <c r="N141" i="313" s="1"/>
  <c r="P141" i="313"/>
  <c r="H141" i="313"/>
  <c r="W140" i="313"/>
  <c r="N140" i="313"/>
  <c r="AG140" i="313" s="1"/>
  <c r="P140" i="313"/>
  <c r="H140" i="313"/>
  <c r="W139" i="313"/>
  <c r="N139" i="313" s="1"/>
  <c r="P139" i="313"/>
  <c r="H139" i="313"/>
  <c r="W138" i="313"/>
  <c r="N138" i="313"/>
  <c r="AG138" i="313" s="1"/>
  <c r="P138" i="313"/>
  <c r="H138" i="313"/>
  <c r="W137" i="313"/>
  <c r="N137" i="313" s="1"/>
  <c r="P137" i="313"/>
  <c r="H137" i="313"/>
  <c r="W136" i="313"/>
  <c r="N136" i="313"/>
  <c r="AG136" i="313" s="1"/>
  <c r="P136" i="313"/>
  <c r="H136" i="313"/>
  <c r="W135" i="313"/>
  <c r="N135" i="313"/>
  <c r="N147" i="313" s="1"/>
  <c r="P147" i="313"/>
  <c r="H135" i="313"/>
  <c r="AE134" i="313"/>
  <c r="AD134" i="313"/>
  <c r="AA134" i="313"/>
  <c r="Z134" i="313"/>
  <c r="M134" i="313"/>
  <c r="P134" i="313" s="1"/>
  <c r="W133" i="313"/>
  <c r="H133" i="313"/>
  <c r="W132" i="313"/>
  <c r="H132" i="313"/>
  <c r="AG131" i="313"/>
  <c r="AF131" i="313"/>
  <c r="W131" i="313"/>
  <c r="H131" i="313"/>
  <c r="AG130" i="313"/>
  <c r="AF130" i="313"/>
  <c r="W130" i="313"/>
  <c r="H130" i="313"/>
  <c r="AG129" i="313"/>
  <c r="AF129" i="313"/>
  <c r="W129" i="313"/>
  <c r="H129" i="313"/>
  <c r="W128" i="313"/>
  <c r="P128" i="313"/>
  <c r="N128" i="313"/>
  <c r="AG128" i="313" s="1"/>
  <c r="H128" i="313"/>
  <c r="W127" i="313"/>
  <c r="N127" i="313" s="1"/>
  <c r="P127" i="313"/>
  <c r="H127" i="313"/>
  <c r="W126" i="313"/>
  <c r="P126" i="313"/>
  <c r="N126" i="313"/>
  <c r="AG126" i="313" s="1"/>
  <c r="H126" i="313"/>
  <c r="W125" i="313"/>
  <c r="N125" i="313" s="1"/>
  <c r="P125" i="313"/>
  <c r="H125" i="313"/>
  <c r="W124" i="313"/>
  <c r="P124" i="313"/>
  <c r="N124" i="313"/>
  <c r="AG124" i="313" s="1"/>
  <c r="H124" i="313"/>
  <c r="W123" i="313"/>
  <c r="N123" i="313" s="1"/>
  <c r="P123" i="313"/>
  <c r="H123" i="313"/>
  <c r="W122" i="313"/>
  <c r="N122" i="313" s="1"/>
  <c r="P122" i="313"/>
  <c r="H122" i="313"/>
  <c r="AE121" i="313"/>
  <c r="AD121" i="313"/>
  <c r="AA121" i="313"/>
  <c r="Z121" i="313"/>
  <c r="W121" i="313"/>
  <c r="M121" i="313"/>
  <c r="AG120" i="313"/>
  <c r="AF120" i="313"/>
  <c r="W120" i="313"/>
  <c r="H120" i="313"/>
  <c r="AG119" i="313"/>
  <c r="AF119" i="313"/>
  <c r="W119" i="313"/>
  <c r="H119" i="313"/>
  <c r="AG118" i="313"/>
  <c r="AF118" i="313"/>
  <c r="W118" i="313"/>
  <c r="H118" i="313"/>
  <c r="AG117" i="313"/>
  <c r="AF117" i="313"/>
  <c r="W117" i="313"/>
  <c r="H117" i="313"/>
  <c r="W116" i="313"/>
  <c r="N116" i="313" s="1"/>
  <c r="H116" i="313"/>
  <c r="W115" i="313"/>
  <c r="N115" i="313" s="1"/>
  <c r="P115" i="313"/>
  <c r="H115" i="313"/>
  <c r="W114" i="313"/>
  <c r="N114" i="313" s="1"/>
  <c r="H114" i="313"/>
  <c r="W113" i="313"/>
  <c r="N113" i="313" s="1"/>
  <c r="P113" i="313"/>
  <c r="H113" i="313"/>
  <c r="W112" i="313"/>
  <c r="N112" i="313" s="1"/>
  <c r="H112" i="313"/>
  <c r="W111" i="313"/>
  <c r="N111" i="313" s="1"/>
  <c r="P111" i="313"/>
  <c r="H111" i="313"/>
  <c r="W110" i="313"/>
  <c r="N110" i="313" s="1"/>
  <c r="H110" i="313"/>
  <c r="W109" i="313"/>
  <c r="N109" i="313"/>
  <c r="AG109" i="313" s="1"/>
  <c r="H109" i="313"/>
  <c r="AE108" i="313"/>
  <c r="AD108" i="313"/>
  <c r="AA108" i="313"/>
  <c r="Z108" i="313"/>
  <c r="W108" i="313"/>
  <c r="M108" i="313"/>
  <c r="W107" i="313"/>
  <c r="H107" i="313"/>
  <c r="AG106" i="313"/>
  <c r="AF106" i="313"/>
  <c r="H106" i="313"/>
  <c r="AG105" i="313"/>
  <c r="AF105" i="313"/>
  <c r="W105" i="313"/>
  <c r="H105" i="313"/>
  <c r="AG104" i="313"/>
  <c r="AF104" i="313"/>
  <c r="W104" i="313"/>
  <c r="H104" i="313"/>
  <c r="W103" i="313"/>
  <c r="N103" i="313" s="1"/>
  <c r="H103" i="313"/>
  <c r="W102" i="313"/>
  <c r="N102" i="313" s="1"/>
  <c r="P102" i="313"/>
  <c r="H102" i="313"/>
  <c r="W101" i="313"/>
  <c r="N101" i="313" s="1"/>
  <c r="P101" i="313"/>
  <c r="H101" i="313"/>
  <c r="W100" i="313"/>
  <c r="P100" i="313"/>
  <c r="N100" i="313"/>
  <c r="O100" i="313" s="1"/>
  <c r="AF100" i="313"/>
  <c r="H100" i="313"/>
  <c r="W99" i="313"/>
  <c r="N99" i="313" s="1"/>
  <c r="P99" i="313"/>
  <c r="H99" i="313"/>
  <c r="W98" i="313"/>
  <c r="P98" i="313"/>
  <c r="N98" i="313"/>
  <c r="O98" i="313" s="1"/>
  <c r="AF98" i="313"/>
  <c r="H98" i="313"/>
  <c r="W97" i="313"/>
  <c r="N97" i="313" s="1"/>
  <c r="H97" i="313"/>
  <c r="W96" i="313"/>
  <c r="N96" i="313"/>
  <c r="AG96" i="313" s="1"/>
  <c r="H96" i="313"/>
  <c r="AE95" i="313"/>
  <c r="AD95" i="313"/>
  <c r="AA95" i="313"/>
  <c r="Z95" i="313"/>
  <c r="M95" i="313"/>
  <c r="AG94" i="313"/>
  <c r="AF94" i="313"/>
  <c r="W94" i="313"/>
  <c r="H94" i="313"/>
  <c r="AG93" i="313"/>
  <c r="AF93" i="313"/>
  <c r="W93" i="313"/>
  <c r="H93" i="313"/>
  <c r="AG92" i="313"/>
  <c r="AF92" i="313"/>
  <c r="W92" i="313"/>
  <c r="H92" i="313"/>
  <c r="AG91" i="313"/>
  <c r="AF91" i="313"/>
  <c r="W91" i="313"/>
  <c r="H91" i="313"/>
  <c r="W90" i="313"/>
  <c r="P90" i="313"/>
  <c r="N90" i="313"/>
  <c r="AF90" i="313" s="1"/>
  <c r="H90" i="313"/>
  <c r="W89" i="313"/>
  <c r="N89" i="313" s="1"/>
  <c r="P89" i="313"/>
  <c r="H89" i="313"/>
  <c r="W88" i="313"/>
  <c r="P88" i="313"/>
  <c r="N88" i="313"/>
  <c r="AF88" i="313" s="1"/>
  <c r="H88" i="313"/>
  <c r="W87" i="313"/>
  <c r="N87" i="313" s="1"/>
  <c r="P87" i="313"/>
  <c r="H87" i="313"/>
  <c r="W86" i="313"/>
  <c r="P86" i="313"/>
  <c r="N86" i="313"/>
  <c r="AF86" i="313" s="1"/>
  <c r="H86" i="313"/>
  <c r="W85" i="313"/>
  <c r="N85" i="313" s="1"/>
  <c r="P85" i="313"/>
  <c r="H85" i="313"/>
  <c r="W84" i="313"/>
  <c r="P84" i="313"/>
  <c r="N84" i="313"/>
  <c r="AF84" i="313" s="1"/>
  <c r="H84" i="313"/>
  <c r="W83" i="313"/>
  <c r="N83" i="313" s="1"/>
  <c r="P83" i="313"/>
  <c r="P95" i="313"/>
  <c r="H83" i="313"/>
  <c r="AE82" i="313"/>
  <c r="AD82" i="313"/>
  <c r="AA82" i="313"/>
  <c r="Z82" i="313"/>
  <c r="M82" i="313"/>
  <c r="P82" i="313" s="1"/>
  <c r="W81" i="313"/>
  <c r="AG80" i="313"/>
  <c r="AF80" i="313"/>
  <c r="W80" i="313"/>
  <c r="H80" i="313"/>
  <c r="AG79" i="313"/>
  <c r="AF79" i="313"/>
  <c r="W79" i="313"/>
  <c r="H79" i="313"/>
  <c r="AG78" i="313"/>
  <c r="AF78" i="313"/>
  <c r="W78" i="313"/>
  <c r="H78" i="313"/>
  <c r="AG77" i="313"/>
  <c r="AF77" i="313"/>
  <c r="W77" i="313"/>
  <c r="H77" i="313"/>
  <c r="AG76" i="313"/>
  <c r="AF76" i="313"/>
  <c r="W76" i="313"/>
  <c r="H76" i="313"/>
  <c r="W75" i="313"/>
  <c r="N75" i="313"/>
  <c r="AG75" i="313" s="1"/>
  <c r="P75" i="313"/>
  <c r="H75" i="313"/>
  <c r="W74" i="313"/>
  <c r="N74" i="313" s="1"/>
  <c r="P74" i="313"/>
  <c r="H74" i="313"/>
  <c r="W73" i="313"/>
  <c r="N73" i="313"/>
  <c r="AG73" i="313" s="1"/>
  <c r="P73" i="313"/>
  <c r="H73" i="313"/>
  <c r="W72" i="313"/>
  <c r="N72" i="313" s="1"/>
  <c r="H72" i="313"/>
  <c r="W71" i="313"/>
  <c r="N71" i="313"/>
  <c r="AG71" i="313" s="1"/>
  <c r="P71" i="313"/>
  <c r="H71" i="313"/>
  <c r="W70" i="313"/>
  <c r="N70" i="313"/>
  <c r="AF70" i="313" s="1"/>
  <c r="P70" i="313"/>
  <c r="H70" i="313"/>
  <c r="AE69" i="313"/>
  <c r="AD69" i="313"/>
  <c r="AA69" i="313"/>
  <c r="Z69" i="313"/>
  <c r="W69" i="313"/>
  <c r="M69" i="313"/>
  <c r="W68" i="313"/>
  <c r="H68" i="313"/>
  <c r="AG67" i="313"/>
  <c r="AF67" i="313"/>
  <c r="W67" i="313"/>
  <c r="H67" i="313"/>
  <c r="AG66" i="313"/>
  <c r="AF66" i="313"/>
  <c r="W66" i="313"/>
  <c r="H66" i="313"/>
  <c r="AG65" i="313"/>
  <c r="AF65" i="313"/>
  <c r="W65" i="313"/>
  <c r="H65" i="313"/>
  <c r="AG64" i="313"/>
  <c r="AF64" i="313"/>
  <c r="W64" i="313"/>
  <c r="H64" i="313"/>
  <c r="AG63" i="313"/>
  <c r="AF63" i="313"/>
  <c r="W63" i="313"/>
  <c r="H63" i="313"/>
  <c r="W62" i="313"/>
  <c r="N62" i="313" s="1"/>
  <c r="P62" i="313"/>
  <c r="H62" i="313"/>
  <c r="W61" i="313"/>
  <c r="P61" i="313"/>
  <c r="N61" i="313"/>
  <c r="O61" i="313" s="1"/>
  <c r="AF61" i="313"/>
  <c r="H61" i="313"/>
  <c r="W60" i="313"/>
  <c r="N60" i="313" s="1"/>
  <c r="P60" i="313"/>
  <c r="H60" i="313"/>
  <c r="W59" i="313"/>
  <c r="P59" i="313"/>
  <c r="N59" i="313"/>
  <c r="O59" i="313" s="1"/>
  <c r="Q59" i="313" s="1"/>
  <c r="R59" i="313"/>
  <c r="H59" i="313"/>
  <c r="W58" i="313"/>
  <c r="O58" i="313"/>
  <c r="N58" i="313"/>
  <c r="P58" i="313"/>
  <c r="H58" i="313"/>
  <c r="W57" i="313"/>
  <c r="N57" i="313" s="1"/>
  <c r="P57" i="313"/>
  <c r="P69" i="313"/>
  <c r="H57" i="313"/>
  <c r="AE56" i="313"/>
  <c r="AD56" i="313"/>
  <c r="AA56" i="313"/>
  <c r="Z56" i="313"/>
  <c r="W56" i="313"/>
  <c r="M56" i="313"/>
  <c r="P56" i="313" s="1"/>
  <c r="W55" i="313"/>
  <c r="H55" i="313"/>
  <c r="AG54" i="313"/>
  <c r="AF54" i="313"/>
  <c r="W54" i="313"/>
  <c r="H54" i="313"/>
  <c r="W53" i="313"/>
  <c r="P53" i="313"/>
  <c r="N53" i="313"/>
  <c r="O53" i="313" s="1"/>
  <c r="AF53" i="313"/>
  <c r="H53" i="313"/>
  <c r="W52" i="313"/>
  <c r="N52" i="313" s="1"/>
  <c r="P52" i="313"/>
  <c r="H52" i="313"/>
  <c r="W51" i="313"/>
  <c r="N51" i="313"/>
  <c r="O51" i="313" s="1"/>
  <c r="AF51" i="313"/>
  <c r="P51" i="313"/>
  <c r="H51" i="313"/>
  <c r="W50" i="313"/>
  <c r="N50" i="313" s="1"/>
  <c r="P50" i="313"/>
  <c r="H50" i="313"/>
  <c r="W49" i="313"/>
  <c r="P49" i="313"/>
  <c r="N49" i="313"/>
  <c r="O49" i="313" s="1"/>
  <c r="AF49" i="313"/>
  <c r="H49" i="313"/>
  <c r="W48" i="313"/>
  <c r="N48" i="313" s="1"/>
  <c r="P48" i="313"/>
  <c r="H48" i="313"/>
  <c r="W47" i="313"/>
  <c r="P47" i="313"/>
  <c r="N47" i="313"/>
  <c r="AF47" i="313" s="1"/>
  <c r="H47" i="313"/>
  <c r="W46" i="313"/>
  <c r="N46" i="313" s="1"/>
  <c r="P46" i="313"/>
  <c r="H46" i="313"/>
  <c r="W45" i="313"/>
  <c r="P45" i="313"/>
  <c r="N45" i="313"/>
  <c r="AF45" i="313" s="1"/>
  <c r="H45" i="313"/>
  <c r="W44" i="313"/>
  <c r="N44" i="313" s="1"/>
  <c r="P44" i="313"/>
  <c r="H44" i="313"/>
  <c r="AE43" i="313"/>
  <c r="AD43" i="313"/>
  <c r="AA43" i="313"/>
  <c r="Z43" i="313"/>
  <c r="M43" i="313"/>
  <c r="W42" i="313"/>
  <c r="H42" i="313"/>
  <c r="W41" i="313"/>
  <c r="AG40" i="313"/>
  <c r="AF40" i="313"/>
  <c r="W40" i="313"/>
  <c r="H40" i="313"/>
  <c r="AG39" i="313"/>
  <c r="AF39" i="313"/>
  <c r="W39" i="313"/>
  <c r="H39" i="313"/>
  <c r="AG38" i="313"/>
  <c r="AF38" i="313"/>
  <c r="W38" i="313"/>
  <c r="H38" i="313"/>
  <c r="W37" i="313"/>
  <c r="N37" i="313" s="1"/>
  <c r="P37" i="313"/>
  <c r="H37" i="313"/>
  <c r="W36" i="313"/>
  <c r="N36" i="313"/>
  <c r="AG36" i="313" s="1"/>
  <c r="P36" i="313"/>
  <c r="H36" i="313"/>
  <c r="W35" i="313"/>
  <c r="N35" i="313" s="1"/>
  <c r="P35" i="313"/>
  <c r="H35" i="313"/>
  <c r="W34" i="313"/>
  <c r="N34" i="313"/>
  <c r="AG34" i="313" s="1"/>
  <c r="P34" i="313"/>
  <c r="H34" i="313"/>
  <c r="W33" i="313"/>
  <c r="N33" i="313" s="1"/>
  <c r="H33" i="313"/>
  <c r="W32" i="313"/>
  <c r="P32" i="313"/>
  <c r="H32" i="313"/>
  <c r="W31" i="313"/>
  <c r="P31" i="313"/>
  <c r="N31" i="313"/>
  <c r="H31" i="313"/>
  <c r="AE30" i="313"/>
  <c r="AD30" i="313"/>
  <c r="AA30" i="313"/>
  <c r="Z30" i="313"/>
  <c r="M30" i="313"/>
  <c r="AF29" i="313"/>
  <c r="W29" i="313"/>
  <c r="H29" i="313"/>
  <c r="AG28" i="313"/>
  <c r="AF28" i="313"/>
  <c r="W28" i="313"/>
  <c r="P28" i="313"/>
  <c r="H28" i="313"/>
  <c r="AG27" i="313"/>
  <c r="AF27" i="313"/>
  <c r="W27" i="313"/>
  <c r="P27" i="313"/>
  <c r="H27" i="313"/>
  <c r="AG26" i="313"/>
  <c r="AF26" i="313"/>
  <c r="W26" i="313"/>
  <c r="P26" i="313"/>
  <c r="H26" i="313"/>
  <c r="AG25" i="313"/>
  <c r="AF25" i="313"/>
  <c r="W25" i="313"/>
  <c r="P25" i="313"/>
  <c r="H25" i="313"/>
  <c r="W24" i="313"/>
  <c r="N24" i="313" s="1"/>
  <c r="P24" i="313"/>
  <c r="H24" i="313"/>
  <c r="W23" i="313"/>
  <c r="N23" i="313"/>
  <c r="O23" i="313" s="1"/>
  <c r="H23" i="313"/>
  <c r="W22" i="313"/>
  <c r="N22" i="313" s="1"/>
  <c r="P22" i="313"/>
  <c r="H22" i="313"/>
  <c r="W21" i="313"/>
  <c r="N21" i="313"/>
  <c r="O21" i="313" s="1"/>
  <c r="H21" i="313"/>
  <c r="W20" i="313"/>
  <c r="N20" i="313" s="1"/>
  <c r="P20" i="313"/>
  <c r="H20" i="313"/>
  <c r="W19" i="313"/>
  <c r="N19" i="313"/>
  <c r="O19" i="313" s="1"/>
  <c r="H19" i="313"/>
  <c r="W18" i="313"/>
  <c r="N18" i="313"/>
  <c r="O18" i="313" s="1"/>
  <c r="H18" i="313"/>
  <c r="AE17" i="313"/>
  <c r="AD17" i="313"/>
  <c r="AA17" i="313"/>
  <c r="Z17" i="313"/>
  <c r="W17" i="313"/>
  <c r="M17" i="313"/>
  <c r="AG16" i="313"/>
  <c r="W16" i="313"/>
  <c r="H16" i="313"/>
  <c r="AG15" i="313"/>
  <c r="W15" i="313"/>
  <c r="H15" i="313"/>
  <c r="AG14" i="313"/>
  <c r="W14" i="313"/>
  <c r="H14" i="313"/>
  <c r="AG13" i="313"/>
  <c r="AF13" i="313"/>
  <c r="W13" i="313"/>
  <c r="H13" i="313"/>
  <c r="AG12" i="313"/>
  <c r="AF12" i="313"/>
  <c r="W12" i="313"/>
  <c r="H12" i="313"/>
  <c r="W11" i="313"/>
  <c r="N11" i="313" s="1"/>
  <c r="P11" i="313"/>
  <c r="H11" i="313"/>
  <c r="W10" i="313"/>
  <c r="N10" i="313"/>
  <c r="AG10" i="313" s="1"/>
  <c r="H10" i="313"/>
  <c r="W9" i="313"/>
  <c r="N9" i="313" s="1"/>
  <c r="P9" i="313"/>
  <c r="H9" i="313"/>
  <c r="W8" i="313"/>
  <c r="H8" i="313"/>
  <c r="W7" i="313"/>
  <c r="N7" i="313" s="1"/>
  <c r="P7" i="313"/>
  <c r="H7" i="313"/>
  <c r="W6" i="313"/>
  <c r="P6" i="313"/>
  <c r="H6" i="313"/>
  <c r="W5" i="313"/>
  <c r="P17" i="313"/>
  <c r="H5" i="313"/>
  <c r="AE2" i="313"/>
  <c r="AD2" i="313"/>
  <c r="AA2" i="313"/>
  <c r="Z2" i="313"/>
  <c r="I2" i="313"/>
  <c r="I1" i="313"/>
  <c r="E1" i="313"/>
  <c r="M32" i="312"/>
  <c r="L32" i="312"/>
  <c r="K32" i="312"/>
  <c r="L8" i="312" s="1"/>
  <c r="J32" i="312"/>
  <c r="I32" i="312"/>
  <c r="H32" i="312"/>
  <c r="G32" i="312"/>
  <c r="F32" i="312"/>
  <c r="E32" i="312"/>
  <c r="D32" i="312"/>
  <c r="Q15" i="312"/>
  <c r="P15" i="312"/>
  <c r="O15" i="312"/>
  <c r="N15" i="312"/>
  <c r="M15" i="312"/>
  <c r="L15" i="312"/>
  <c r="K15" i="312"/>
  <c r="J15" i="312"/>
  <c r="I15" i="312"/>
  <c r="H15" i="312"/>
  <c r="G15" i="312"/>
  <c r="F15" i="312"/>
  <c r="E15" i="312"/>
  <c r="F8" i="312" s="1"/>
  <c r="D15" i="312"/>
  <c r="H8" i="312" s="1"/>
  <c r="L7" i="312"/>
  <c r="J7" i="312"/>
  <c r="H7" i="312"/>
  <c r="F7" i="312"/>
  <c r="L6" i="312"/>
  <c r="J6" i="312"/>
  <c r="H6" i="312"/>
  <c r="F6" i="312"/>
  <c r="M32" i="311"/>
  <c r="L32" i="311"/>
  <c r="K32" i="311"/>
  <c r="L8" i="311" s="1"/>
  <c r="J32" i="311"/>
  <c r="I32" i="311"/>
  <c r="H32" i="311"/>
  <c r="G32" i="311"/>
  <c r="J8" i="311" s="1"/>
  <c r="F32" i="311"/>
  <c r="E32" i="311"/>
  <c r="D32" i="311"/>
  <c r="Q15" i="311"/>
  <c r="P15" i="311"/>
  <c r="O15" i="311"/>
  <c r="N15" i="311"/>
  <c r="M15" i="311"/>
  <c r="L15" i="311"/>
  <c r="K15" i="311"/>
  <c r="J15" i="311"/>
  <c r="I15" i="311"/>
  <c r="H15" i="311"/>
  <c r="G15" i="311"/>
  <c r="F15" i="311"/>
  <c r="E15" i="311"/>
  <c r="D15" i="311"/>
  <c r="H8" i="311"/>
  <c r="L7" i="311"/>
  <c r="J7" i="311"/>
  <c r="H7" i="311"/>
  <c r="F7" i="311"/>
  <c r="L6" i="311"/>
  <c r="J6" i="311"/>
  <c r="H6" i="311"/>
  <c r="F6" i="311"/>
  <c r="M32" i="310"/>
  <c r="L32" i="310"/>
  <c r="K32" i="310"/>
  <c r="J32" i="310"/>
  <c r="I32" i="310"/>
  <c r="H32" i="310"/>
  <c r="G32" i="310"/>
  <c r="J8" i="310" s="1"/>
  <c r="F32" i="310"/>
  <c r="E32" i="310"/>
  <c r="D32" i="310"/>
  <c r="Q15" i="310"/>
  <c r="P15" i="310"/>
  <c r="O15" i="310"/>
  <c r="N15" i="310"/>
  <c r="M15" i="310"/>
  <c r="L15" i="310"/>
  <c r="K15" i="310"/>
  <c r="J15" i="310"/>
  <c r="I15" i="310"/>
  <c r="H15" i="310"/>
  <c r="G15" i="310"/>
  <c r="F15" i="310"/>
  <c r="E15" i="310"/>
  <c r="D15" i="310"/>
  <c r="H8" i="310" s="1"/>
  <c r="L7" i="310"/>
  <c r="J7" i="310"/>
  <c r="H7" i="310"/>
  <c r="F7" i="310"/>
  <c r="L6" i="310"/>
  <c r="J6" i="310"/>
  <c r="H6" i="310"/>
  <c r="F6" i="310"/>
  <c r="Q108" i="320" l="1"/>
  <c r="R108" i="320"/>
  <c r="S96" i="320" s="1"/>
  <c r="E2" i="320"/>
  <c r="AG117" i="315"/>
  <c r="AG116" i="315"/>
  <c r="AF116" i="315"/>
  <c r="O115" i="315"/>
  <c r="AG114" i="315"/>
  <c r="AF114" i="315"/>
  <c r="O113" i="315"/>
  <c r="AG112" i="315"/>
  <c r="AF112" i="315"/>
  <c r="O111" i="315"/>
  <c r="AG110" i="315"/>
  <c r="AF110" i="315"/>
  <c r="AG105" i="315"/>
  <c r="AF100" i="315"/>
  <c r="AG99" i="315"/>
  <c r="AG97" i="315"/>
  <c r="AF96" i="315"/>
  <c r="AF84" i="315"/>
  <c r="AF83" i="315"/>
  <c r="O73" i="315"/>
  <c r="AG62" i="315"/>
  <c r="AF62" i="315"/>
  <c r="AF46" i="314"/>
  <c r="N20" i="314"/>
  <c r="AG20" i="314" s="1"/>
  <c r="AD2" i="314"/>
  <c r="AG10" i="314"/>
  <c r="AG6" i="314"/>
  <c r="AF6" i="314"/>
  <c r="AE2" i="314"/>
  <c r="AA2" i="314"/>
  <c r="Z2" i="314"/>
  <c r="I1" i="314"/>
  <c r="G1" i="314"/>
  <c r="G2" i="314" s="1"/>
  <c r="O164" i="313"/>
  <c r="AF161" i="313"/>
  <c r="AG151" i="313"/>
  <c r="AG149" i="313"/>
  <c r="O109" i="313"/>
  <c r="R109" i="313" s="1"/>
  <c r="AG100" i="313"/>
  <c r="O96" i="313"/>
  <c r="AG90" i="313"/>
  <c r="AG88" i="313"/>
  <c r="AG86" i="313"/>
  <c r="AG84" i="313"/>
  <c r="AG61" i="313"/>
  <c r="R58" i="313"/>
  <c r="AG53" i="313"/>
  <c r="AG51" i="313"/>
  <c r="AG49" i="313"/>
  <c r="AG47" i="313"/>
  <c r="AG45" i="313"/>
  <c r="N32" i="313"/>
  <c r="AG32" i="313" s="1"/>
  <c r="N8" i="313"/>
  <c r="O8" i="313" s="1"/>
  <c r="N6" i="313"/>
  <c r="O6" i="313" s="1"/>
  <c r="N5" i="313"/>
  <c r="J8" i="312"/>
  <c r="L8" i="310"/>
  <c r="AG60" i="315"/>
  <c r="AG58" i="315"/>
  <c r="N49" i="315"/>
  <c r="O49" i="315" s="1"/>
  <c r="N36" i="315"/>
  <c r="AG32" i="315"/>
  <c r="AF31" i="315"/>
  <c r="N19" i="315"/>
  <c r="N10" i="315"/>
  <c r="N5" i="315"/>
  <c r="Q164" i="314"/>
  <c r="AF164" i="314"/>
  <c r="Q162" i="314"/>
  <c r="AF161" i="314"/>
  <c r="AF151" i="314"/>
  <c r="N149" i="314"/>
  <c r="N142" i="314"/>
  <c r="O141" i="314"/>
  <c r="N136" i="314"/>
  <c r="N123" i="314"/>
  <c r="AG112" i="314"/>
  <c r="O102" i="314"/>
  <c r="AG101" i="314"/>
  <c r="P82" i="314"/>
  <c r="N74" i="314"/>
  <c r="AG62" i="314"/>
  <c r="AG60" i="314"/>
  <c r="Q60" i="314"/>
  <c r="AG58" i="314"/>
  <c r="AG37" i="314"/>
  <c r="O32" i="314"/>
  <c r="N22" i="314"/>
  <c r="N21" i="314"/>
  <c r="AG98" i="313"/>
  <c r="AF59" i="313"/>
  <c r="AF31" i="313"/>
  <c r="AG34" i="315"/>
  <c r="AG164" i="314"/>
  <c r="AG151" i="314"/>
  <c r="O150" i="314"/>
  <c r="AG138" i="314"/>
  <c r="AF126" i="314"/>
  <c r="N83" i="314"/>
  <c r="AF50" i="314"/>
  <c r="N18" i="315"/>
  <c r="N30" i="315" s="1"/>
  <c r="O115" i="314"/>
  <c r="AF96" i="314"/>
  <c r="AG35" i="314"/>
  <c r="N164" i="315"/>
  <c r="N162" i="315"/>
  <c r="N152" i="315"/>
  <c r="AG152" i="315" s="1"/>
  <c r="N149" i="315"/>
  <c r="AG142" i="315"/>
  <c r="AG138" i="315"/>
  <c r="AF128" i="315"/>
  <c r="O125" i="315"/>
  <c r="AF123" i="315"/>
  <c r="O123" i="315"/>
  <c r="AG89" i="315"/>
  <c r="O89" i="315"/>
  <c r="AG84" i="315"/>
  <c r="O83" i="315"/>
  <c r="O70" i="315"/>
  <c r="AE2" i="315"/>
  <c r="N8" i="315"/>
  <c r="O165" i="314"/>
  <c r="AG162" i="314"/>
  <c r="AF135" i="314"/>
  <c r="AF128" i="314"/>
  <c r="AF127" i="314"/>
  <c r="O127" i="314"/>
  <c r="AG110" i="314"/>
  <c r="AG97" i="314"/>
  <c r="N72" i="314"/>
  <c r="O61" i="314"/>
  <c r="O36" i="314"/>
  <c r="AG33" i="314"/>
  <c r="N31" i="314"/>
  <c r="AG140" i="315"/>
  <c r="AF135" i="315"/>
  <c r="AG128" i="315"/>
  <c r="O127" i="315"/>
  <c r="AG126" i="315"/>
  <c r="AF126" i="315"/>
  <c r="N87" i="315"/>
  <c r="O86" i="315"/>
  <c r="O84" i="315"/>
  <c r="N74" i="315"/>
  <c r="N72" i="315"/>
  <c r="O71" i="315"/>
  <c r="AA2" i="315"/>
  <c r="AF58" i="315"/>
  <c r="AF48" i="314"/>
  <c r="O34" i="314"/>
  <c r="AG11" i="313"/>
  <c r="AF11" i="313"/>
  <c r="O11" i="313"/>
  <c r="R19" i="313"/>
  <c r="Q19" i="313"/>
  <c r="AF33" i="313"/>
  <c r="O33" i="313"/>
  <c r="AG33" i="313"/>
  <c r="O46" i="313"/>
  <c r="AG46" i="313"/>
  <c r="AF46" i="313"/>
  <c r="Q51" i="313"/>
  <c r="R51" i="313"/>
  <c r="AG7" i="313"/>
  <c r="AF7" i="313"/>
  <c r="O7" i="313"/>
  <c r="R18" i="313"/>
  <c r="R21" i="313"/>
  <c r="Q21" i="313"/>
  <c r="AG24" i="313"/>
  <c r="AF24" i="313"/>
  <c r="O24" i="313"/>
  <c r="AF37" i="313"/>
  <c r="O37" i="313"/>
  <c r="AG37" i="313"/>
  <c r="N56" i="313"/>
  <c r="AF44" i="313"/>
  <c r="O44" i="313"/>
  <c r="AG44" i="313"/>
  <c r="Q49" i="313"/>
  <c r="R49" i="313"/>
  <c r="G1" i="313"/>
  <c r="G2" i="313" s="1"/>
  <c r="AF9" i="313"/>
  <c r="O9" i="313"/>
  <c r="AG9" i="313"/>
  <c r="R23" i="313"/>
  <c r="Q23" i="313"/>
  <c r="P30" i="313"/>
  <c r="P43" i="313"/>
  <c r="O50" i="313"/>
  <c r="AG50" i="313"/>
  <c r="AF50" i="313"/>
  <c r="Q53" i="313"/>
  <c r="R53" i="313"/>
  <c r="AG60" i="313"/>
  <c r="AF60" i="313"/>
  <c r="O60" i="313"/>
  <c r="AG20" i="313"/>
  <c r="AF20" i="313"/>
  <c r="O20" i="313"/>
  <c r="O48" i="313"/>
  <c r="AG48" i="313"/>
  <c r="AF48" i="313"/>
  <c r="N69" i="313"/>
  <c r="O57" i="313"/>
  <c r="AG57" i="313"/>
  <c r="AF57" i="313"/>
  <c r="AG22" i="313"/>
  <c r="AF22" i="313"/>
  <c r="O22" i="313"/>
  <c r="AF35" i="313"/>
  <c r="O35" i="313"/>
  <c r="AG35" i="313"/>
  <c r="O52" i="313"/>
  <c r="AG52" i="313"/>
  <c r="AF52" i="313"/>
  <c r="O10" i="313"/>
  <c r="P5" i="313"/>
  <c r="P8" i="313"/>
  <c r="P10" i="313"/>
  <c r="AF10" i="313"/>
  <c r="P18" i="313"/>
  <c r="P19" i="313"/>
  <c r="AF19" i="313"/>
  <c r="P21" i="313"/>
  <c r="AF21" i="313"/>
  <c r="P23" i="313"/>
  <c r="AF23" i="313"/>
  <c r="O31" i="313"/>
  <c r="O34" i="313"/>
  <c r="O36" i="313"/>
  <c r="AG58" i="313"/>
  <c r="AG85" i="313"/>
  <c r="AF85" i="313"/>
  <c r="O85" i="313"/>
  <c r="AG99" i="313"/>
  <c r="AF99" i="313"/>
  <c r="O99" i="313"/>
  <c r="AG103" i="313"/>
  <c r="AF103" i="313"/>
  <c r="O103" i="313"/>
  <c r="AG110" i="313"/>
  <c r="AF110" i="313"/>
  <c r="O110" i="313"/>
  <c r="AF113" i="313"/>
  <c r="O113" i="313"/>
  <c r="AG113" i="313"/>
  <c r="O148" i="313"/>
  <c r="AG148" i="313"/>
  <c r="N160" i="313"/>
  <c r="AF148" i="313"/>
  <c r="R161" i="313"/>
  <c r="Q161" i="313"/>
  <c r="AF18" i="313"/>
  <c r="AG19" i="313"/>
  <c r="AG21" i="313"/>
  <c r="AG23" i="313"/>
  <c r="AF34" i="313"/>
  <c r="AF36" i="313"/>
  <c r="O45" i="313"/>
  <c r="O47" i="313"/>
  <c r="Q58" i="313"/>
  <c r="AF58" i="313"/>
  <c r="R61" i="313"/>
  <c r="N95" i="313"/>
  <c r="O83" i="313"/>
  <c r="AG83" i="313"/>
  <c r="AF83" i="313"/>
  <c r="AG97" i="313"/>
  <c r="AF97" i="313"/>
  <c r="O97" i="313"/>
  <c r="P108" i="313"/>
  <c r="AG112" i="313"/>
  <c r="AF112" i="313"/>
  <c r="O112" i="313"/>
  <c r="AF115" i="313"/>
  <c r="O115" i="313"/>
  <c r="AG115" i="313"/>
  <c r="O137" i="313"/>
  <c r="AG137" i="313"/>
  <c r="AF137" i="313"/>
  <c r="O141" i="313"/>
  <c r="AG141" i="313"/>
  <c r="AF141" i="313"/>
  <c r="AG18" i="313"/>
  <c r="N30" i="313"/>
  <c r="AG59" i="313"/>
  <c r="O72" i="313"/>
  <c r="AG72" i="313"/>
  <c r="AF72" i="313"/>
  <c r="AG89" i="313"/>
  <c r="AF89" i="313"/>
  <c r="O89" i="313"/>
  <c r="R100" i="313"/>
  <c r="Q100" i="313"/>
  <c r="AF102" i="313"/>
  <c r="O102" i="313"/>
  <c r="AG102" i="313"/>
  <c r="AG114" i="313"/>
  <c r="AF114" i="313"/>
  <c r="O114" i="313"/>
  <c r="O123" i="313"/>
  <c r="AG123" i="313"/>
  <c r="AF123" i="313"/>
  <c r="O125" i="313"/>
  <c r="AG125" i="313"/>
  <c r="AF125" i="313"/>
  <c r="O127" i="313"/>
  <c r="AG127" i="313"/>
  <c r="AF127" i="313"/>
  <c r="AG152" i="313"/>
  <c r="AF152" i="313"/>
  <c r="O152" i="313"/>
  <c r="P160" i="313"/>
  <c r="AG31" i="313"/>
  <c r="P33" i="313"/>
  <c r="Q61" i="313"/>
  <c r="AG62" i="313"/>
  <c r="AF62" i="313"/>
  <c r="O62" i="313"/>
  <c r="O74" i="313"/>
  <c r="AG74" i="313"/>
  <c r="AF74" i="313"/>
  <c r="AG87" i="313"/>
  <c r="AF87" i="313"/>
  <c r="O87" i="313"/>
  <c r="R98" i="313"/>
  <c r="Q98" i="313"/>
  <c r="AG101" i="313"/>
  <c r="AF101" i="313"/>
  <c r="O101" i="313"/>
  <c r="AF111" i="313"/>
  <c r="O111" i="313"/>
  <c r="AG111" i="313"/>
  <c r="AG116" i="313"/>
  <c r="AF116" i="313"/>
  <c r="O116" i="313"/>
  <c r="N134" i="313"/>
  <c r="O122" i="313"/>
  <c r="AG122" i="313"/>
  <c r="AF122" i="313"/>
  <c r="O139" i="313"/>
  <c r="AG139" i="313"/>
  <c r="AF139" i="313"/>
  <c r="O143" i="313"/>
  <c r="AG143" i="313"/>
  <c r="AF143" i="313"/>
  <c r="AG150" i="313"/>
  <c r="AF150" i="313"/>
  <c r="O150" i="313"/>
  <c r="AG70" i="313"/>
  <c r="P72" i="313"/>
  <c r="N82" i="313"/>
  <c r="P121" i="313"/>
  <c r="N121" i="313"/>
  <c r="AG135" i="313"/>
  <c r="AG147" i="313"/>
  <c r="AH135" i="313" s="1"/>
  <c r="AG163" i="313"/>
  <c r="P164" i="313"/>
  <c r="AG165" i="313"/>
  <c r="N17" i="314"/>
  <c r="AG5" i="314"/>
  <c r="R6" i="314"/>
  <c r="P31" i="314"/>
  <c r="AG53" i="314"/>
  <c r="AF53" i="314"/>
  <c r="O53" i="314"/>
  <c r="O73" i="314"/>
  <c r="AG73" i="314"/>
  <c r="AF73" i="314"/>
  <c r="AF116" i="314"/>
  <c r="O116" i="314"/>
  <c r="AG116" i="314"/>
  <c r="O70" i="313"/>
  <c r="O71" i="313"/>
  <c r="O73" i="313"/>
  <c r="O75" i="313"/>
  <c r="P96" i="313"/>
  <c r="P97" i="313"/>
  <c r="P103" i="313"/>
  <c r="N108" i="313"/>
  <c r="P109" i="313"/>
  <c r="P110" i="313"/>
  <c r="P112" i="313"/>
  <c r="P114" i="313"/>
  <c r="P116" i="313"/>
  <c r="O124" i="313"/>
  <c r="O126" i="313"/>
  <c r="O128" i="313"/>
  <c r="O135" i="313"/>
  <c r="O136" i="313"/>
  <c r="O138" i="313"/>
  <c r="O140" i="313"/>
  <c r="O142" i="313"/>
  <c r="AG161" i="313"/>
  <c r="N173" i="313"/>
  <c r="P17" i="314"/>
  <c r="P5" i="314"/>
  <c r="AF5" i="314"/>
  <c r="O7" i="314"/>
  <c r="AG7" i="314"/>
  <c r="R10" i="314"/>
  <c r="R11" i="314"/>
  <c r="Q11" i="314"/>
  <c r="O18" i="314"/>
  <c r="AG18" i="314"/>
  <c r="AF19" i="314"/>
  <c r="O19" i="314"/>
  <c r="O52" i="314"/>
  <c r="AG52" i="314"/>
  <c r="AF52" i="314"/>
  <c r="AG59" i="314"/>
  <c r="AF59" i="314"/>
  <c r="O59" i="314"/>
  <c r="AG111" i="314"/>
  <c r="AF111" i="314"/>
  <c r="O111" i="314"/>
  <c r="AF71" i="313"/>
  <c r="AF73" i="313"/>
  <c r="AF75" i="313"/>
  <c r="O84" i="313"/>
  <c r="O86" i="313"/>
  <c r="O88" i="313"/>
  <c r="O90" i="313"/>
  <c r="AF96" i="313"/>
  <c r="AF109" i="313"/>
  <c r="AF124" i="313"/>
  <c r="AF126" i="313"/>
  <c r="AF128" i="313"/>
  <c r="P135" i="313"/>
  <c r="AF136" i="313"/>
  <c r="AF138" i="313"/>
  <c r="AF140" i="313"/>
  <c r="AF142" i="313"/>
  <c r="O149" i="313"/>
  <c r="O151" i="313"/>
  <c r="O162" i="313"/>
  <c r="AG164" i="313"/>
  <c r="Q6" i="314"/>
  <c r="AG8" i="314"/>
  <c r="Q10" i="314"/>
  <c r="AG11" i="314"/>
  <c r="AF11" i="314"/>
  <c r="AF18" i="314"/>
  <c r="AG19" i="314"/>
  <c r="O71" i="314"/>
  <c r="AG71" i="314"/>
  <c r="AF71" i="314"/>
  <c r="O75" i="314"/>
  <c r="AG75" i="314"/>
  <c r="AF75" i="314"/>
  <c r="AG100" i="314"/>
  <c r="AF100" i="314"/>
  <c r="O100" i="314"/>
  <c r="Q113" i="314"/>
  <c r="AF135" i="313"/>
  <c r="AF162" i="313"/>
  <c r="AF164" i="313"/>
  <c r="O8" i="314"/>
  <c r="R9" i="314"/>
  <c r="AG9" i="314"/>
  <c r="P11" i="314"/>
  <c r="R23" i="314"/>
  <c r="Q23" i="314"/>
  <c r="Q86" i="314"/>
  <c r="N121" i="314"/>
  <c r="O109" i="314"/>
  <c r="AG109" i="314"/>
  <c r="AF109" i="314"/>
  <c r="AG32" i="314"/>
  <c r="AF32" i="314"/>
  <c r="AF33" i="314"/>
  <c r="O33" i="314"/>
  <c r="AG34" i="314"/>
  <c r="AF34" i="314"/>
  <c r="AF35" i="314"/>
  <c r="O35" i="314"/>
  <c r="AG36" i="314"/>
  <c r="AF36" i="314"/>
  <c r="AF37" i="314"/>
  <c r="O37" i="314"/>
  <c r="P43" i="314"/>
  <c r="AG45" i="314"/>
  <c r="AF45" i="314"/>
  <c r="O45" i="314"/>
  <c r="O48" i="314"/>
  <c r="AG48" i="314"/>
  <c r="AG49" i="314"/>
  <c r="AF49" i="314"/>
  <c r="O49" i="314"/>
  <c r="R58" i="314"/>
  <c r="AG61" i="314"/>
  <c r="AF61" i="314"/>
  <c r="Q62" i="314"/>
  <c r="P69" i="314"/>
  <c r="P83" i="314"/>
  <c r="R98" i="314"/>
  <c r="AF99" i="314"/>
  <c r="O99" i="314"/>
  <c r="P100" i="314"/>
  <c r="AF103" i="314"/>
  <c r="O103" i="314"/>
  <c r="R113" i="314"/>
  <c r="AG115" i="314"/>
  <c r="AF115" i="314"/>
  <c r="AF122" i="314"/>
  <c r="O122" i="314"/>
  <c r="N134" i="314"/>
  <c r="AG122" i="314"/>
  <c r="O124" i="314"/>
  <c r="AG124" i="314"/>
  <c r="AG125" i="314"/>
  <c r="AF125" i="314"/>
  <c r="O125" i="314"/>
  <c r="P30" i="314"/>
  <c r="P32" i="314"/>
  <c r="Q34" i="314"/>
  <c r="P34" i="314"/>
  <c r="P36" i="314"/>
  <c r="N56" i="314"/>
  <c r="AF44" i="314"/>
  <c r="O44" i="314"/>
  <c r="AG44" i="314"/>
  <c r="O57" i="314"/>
  <c r="AG57" i="314"/>
  <c r="N69" i="314"/>
  <c r="O70" i="314"/>
  <c r="N82" i="314"/>
  <c r="AG70" i="314"/>
  <c r="AF70" i="314"/>
  <c r="AG84" i="314"/>
  <c r="AF84" i="314"/>
  <c r="AF85" i="314"/>
  <c r="O85" i="314"/>
  <c r="AG86" i="314"/>
  <c r="AF86" i="314"/>
  <c r="AF87" i="314"/>
  <c r="O87" i="314"/>
  <c r="AG88" i="314"/>
  <c r="AF88" i="314"/>
  <c r="AF89" i="314"/>
  <c r="O89" i="314"/>
  <c r="P95" i="314"/>
  <c r="AG98" i="314"/>
  <c r="AF98" i="314"/>
  <c r="AG99" i="314"/>
  <c r="AG102" i="314"/>
  <c r="AF102" i="314"/>
  <c r="AG103" i="314"/>
  <c r="AF114" i="314"/>
  <c r="O114" i="314"/>
  <c r="Q115" i="314"/>
  <c r="P115" i="314"/>
  <c r="AF124" i="314"/>
  <c r="R137" i="314"/>
  <c r="Q137" i="314"/>
  <c r="AG50" i="315"/>
  <c r="AF50" i="315"/>
  <c r="O50" i="315"/>
  <c r="P18" i="314"/>
  <c r="O20" i="314"/>
  <c r="AF20" i="314"/>
  <c r="AG22" i="314"/>
  <c r="AF22" i="314"/>
  <c r="O22" i="314"/>
  <c r="AF23" i="314"/>
  <c r="O46" i="314"/>
  <c r="AG46" i="314"/>
  <c r="AG47" i="314"/>
  <c r="AF47" i="314"/>
  <c r="O47" i="314"/>
  <c r="O50" i="314"/>
  <c r="AG50" i="314"/>
  <c r="AG51" i="314"/>
  <c r="AF51" i="314"/>
  <c r="O51" i="314"/>
  <c r="AF57" i="314"/>
  <c r="Q61" i="314"/>
  <c r="Q84" i="314"/>
  <c r="P84" i="314"/>
  <c r="AG85" i="314"/>
  <c r="R86" i="314"/>
  <c r="P86" i="314"/>
  <c r="AG87" i="314"/>
  <c r="R88" i="314"/>
  <c r="P88" i="314"/>
  <c r="AG89" i="314"/>
  <c r="N95" i="314"/>
  <c r="N108" i="314"/>
  <c r="O96" i="314"/>
  <c r="AG96" i="314"/>
  <c r="AF97" i="314"/>
  <c r="O97" i="314"/>
  <c r="P98" i="314"/>
  <c r="AF101" i="314"/>
  <c r="O101" i="314"/>
  <c r="R102" i="314"/>
  <c r="P102" i="314"/>
  <c r="P108" i="314"/>
  <c r="AG113" i="314"/>
  <c r="AF113" i="314"/>
  <c r="AG114" i="314"/>
  <c r="O126" i="314"/>
  <c r="AG126" i="314"/>
  <c r="Q127" i="314"/>
  <c r="R127" i="314"/>
  <c r="Q152" i="314"/>
  <c r="AF136" i="314"/>
  <c r="O136" i="314"/>
  <c r="AG136" i="314"/>
  <c r="AF137" i="314"/>
  <c r="AF140" i="314"/>
  <c r="O140" i="314"/>
  <c r="O148" i="314"/>
  <c r="AG148" i="314"/>
  <c r="AG163" i="314"/>
  <c r="AF163" i="314"/>
  <c r="R165" i="314"/>
  <c r="Q165" i="314"/>
  <c r="AF5" i="315"/>
  <c r="N17" i="315"/>
  <c r="O5" i="315"/>
  <c r="AG19" i="315"/>
  <c r="AF19" i="315"/>
  <c r="O19" i="315"/>
  <c r="O20" i="315"/>
  <c r="AG20" i="315"/>
  <c r="AG21" i="315"/>
  <c r="AF21" i="315"/>
  <c r="O21" i="315"/>
  <c r="O22" i="315"/>
  <c r="AG22" i="315"/>
  <c r="AG23" i="315"/>
  <c r="AF23" i="315"/>
  <c r="O23" i="315"/>
  <c r="R33" i="315"/>
  <c r="Q33" i="315"/>
  <c r="AG35" i="315"/>
  <c r="AF35" i="315"/>
  <c r="AG59" i="315"/>
  <c r="AF59" i="315"/>
  <c r="O59" i="315"/>
  <c r="AG88" i="315"/>
  <c r="AF88" i="315"/>
  <c r="O88" i="315"/>
  <c r="O137" i="315"/>
  <c r="AG137" i="315"/>
  <c r="AF137" i="315"/>
  <c r="O148" i="315"/>
  <c r="AG148" i="315"/>
  <c r="N160" i="315"/>
  <c r="AF148" i="315"/>
  <c r="AG23" i="314"/>
  <c r="Q128" i="314"/>
  <c r="AG128" i="314"/>
  <c r="AF139" i="314"/>
  <c r="AG140" i="314"/>
  <c r="AG141" i="314"/>
  <c r="AG142" i="314"/>
  <c r="AF142" i="314"/>
  <c r="O142" i="314"/>
  <c r="AF148" i="314"/>
  <c r="R150" i="314"/>
  <c r="Q150" i="314"/>
  <c r="R152" i="314"/>
  <c r="N160" i="314"/>
  <c r="R162" i="314"/>
  <c r="AG165" i="314"/>
  <c r="AF165" i="314"/>
  <c r="AF30" i="315"/>
  <c r="AF20" i="315"/>
  <c r="AF22" i="315"/>
  <c r="P30" i="315"/>
  <c r="R31" i="315"/>
  <c r="AG33" i="315"/>
  <c r="AF33" i="315"/>
  <c r="Q37" i="315"/>
  <c r="O44" i="315"/>
  <c r="AG44" i="315"/>
  <c r="N56" i="315"/>
  <c r="AF44" i="315"/>
  <c r="AG45" i="315"/>
  <c r="AF45" i="315"/>
  <c r="AG47" i="315"/>
  <c r="R47" i="315"/>
  <c r="AF47" i="315"/>
  <c r="AG49" i="315"/>
  <c r="Q49" i="315"/>
  <c r="AF49" i="315"/>
  <c r="O57" i="315"/>
  <c r="AG57" i="315"/>
  <c r="N69" i="315"/>
  <c r="AF57" i="315"/>
  <c r="P59" i="315"/>
  <c r="AF31" i="314"/>
  <c r="AF83" i="314"/>
  <c r="O110" i="314"/>
  <c r="O112" i="314"/>
  <c r="P121" i="314"/>
  <c r="O139" i="314"/>
  <c r="AF141" i="314"/>
  <c r="O143" i="314"/>
  <c r="AG143" i="314"/>
  <c r="AG150" i="314"/>
  <c r="AF150" i="314"/>
  <c r="Q151" i="314"/>
  <c r="O161" i="314"/>
  <c r="N173" i="314"/>
  <c r="AG161" i="314"/>
  <c r="R164" i="314"/>
  <c r="AG6" i="315"/>
  <c r="AF6" i="315"/>
  <c r="O6" i="315"/>
  <c r="O7" i="315"/>
  <c r="AG7" i="315"/>
  <c r="AG8" i="315"/>
  <c r="AF8" i="315"/>
  <c r="O8" i="315"/>
  <c r="O9" i="315"/>
  <c r="AG9" i="315"/>
  <c r="AG10" i="315"/>
  <c r="AF10" i="315"/>
  <c r="O10" i="315"/>
  <c r="O11" i="315"/>
  <c r="AG11" i="315"/>
  <c r="AG12" i="315"/>
  <c r="AF12" i="315"/>
  <c r="O12" i="315"/>
  <c r="AG18" i="315"/>
  <c r="P43" i="315"/>
  <c r="P33" i="315"/>
  <c r="I1" i="315"/>
  <c r="R45" i="315"/>
  <c r="Q45" i="315"/>
  <c r="R49" i="315"/>
  <c r="O51" i="315"/>
  <c r="AG51" i="315"/>
  <c r="AF51" i="315"/>
  <c r="AF71" i="315"/>
  <c r="P108" i="315"/>
  <c r="P98" i="315"/>
  <c r="R110" i="315"/>
  <c r="Q110" i="315"/>
  <c r="AG31" i="314"/>
  <c r="P96" i="314"/>
  <c r="P134" i="314"/>
  <c r="N147" i="314"/>
  <c r="O135" i="314"/>
  <c r="P147" i="314"/>
  <c r="AG137" i="314"/>
  <c r="AF138" i="314"/>
  <c r="O138" i="314"/>
  <c r="R141" i="314"/>
  <c r="Q141" i="314"/>
  <c r="AF143" i="314"/>
  <c r="AG152" i="314"/>
  <c r="AF152" i="314"/>
  <c r="P160" i="314"/>
  <c r="O163" i="314"/>
  <c r="AG5" i="315"/>
  <c r="AF7" i="315"/>
  <c r="AF9" i="315"/>
  <c r="AF11" i="315"/>
  <c r="AF18" i="315"/>
  <c r="O18" i="315"/>
  <c r="Q31" i="315"/>
  <c r="O35" i="315"/>
  <c r="AG37" i="315"/>
  <c r="AF37" i="315"/>
  <c r="AG46" i="315"/>
  <c r="AF46" i="315"/>
  <c r="O46" i="315"/>
  <c r="AG48" i="315"/>
  <c r="AF48" i="315"/>
  <c r="O48" i="315"/>
  <c r="AG61" i="315"/>
  <c r="AF61" i="315"/>
  <c r="O61" i="315"/>
  <c r="R70" i="315"/>
  <c r="AF85" i="315"/>
  <c r="AG85" i="315"/>
  <c r="R90" i="315"/>
  <c r="Q90" i="315"/>
  <c r="AG31" i="315"/>
  <c r="N43" i="315"/>
  <c r="R71" i="315"/>
  <c r="Q71" i="315"/>
  <c r="R83" i="315"/>
  <c r="Q83" i="315"/>
  <c r="R84" i="315"/>
  <c r="Q84" i="315"/>
  <c r="P85" i="315"/>
  <c r="R85" i="315"/>
  <c r="AG106" i="315"/>
  <c r="O106" i="315"/>
  <c r="Q113" i="315"/>
  <c r="R114" i="315"/>
  <c r="Q114" i="315"/>
  <c r="R123" i="315"/>
  <c r="R128" i="315"/>
  <c r="Q128" i="315"/>
  <c r="O143" i="315"/>
  <c r="AG143" i="315"/>
  <c r="AF143" i="315"/>
  <c r="P147" i="315"/>
  <c r="AG163" i="315"/>
  <c r="AF163" i="315"/>
  <c r="O163" i="315"/>
  <c r="AF166" i="315"/>
  <c r="O166" i="315"/>
  <c r="AG166" i="315"/>
  <c r="P5" i="315"/>
  <c r="P19" i="315"/>
  <c r="O32" i="315"/>
  <c r="O34" i="315"/>
  <c r="O36" i="315"/>
  <c r="Q58" i="315"/>
  <c r="Q60" i="315"/>
  <c r="Q62" i="315"/>
  <c r="P69" i="315"/>
  <c r="P82" i="315"/>
  <c r="AF74" i="315"/>
  <c r="O74" i="315"/>
  <c r="AG74" i="315"/>
  <c r="AF75" i="315"/>
  <c r="AF86" i="315"/>
  <c r="Q86" i="315"/>
  <c r="O96" i="315"/>
  <c r="N108" i="315"/>
  <c r="AG96" i="315"/>
  <c r="AG98" i="315"/>
  <c r="O98" i="315"/>
  <c r="AF99" i="315"/>
  <c r="O99" i="315"/>
  <c r="R100" i="315"/>
  <c r="Q100" i="315"/>
  <c r="AF105" i="315"/>
  <c r="O105" i="315"/>
  <c r="AF106" i="315"/>
  <c r="O109" i="315"/>
  <c r="N121" i="315"/>
  <c r="AG109" i="315"/>
  <c r="AF109" i="315"/>
  <c r="R112" i="315"/>
  <c r="Q112" i="315"/>
  <c r="AG122" i="315"/>
  <c r="R58" i="315"/>
  <c r="R60" i="315"/>
  <c r="R62" i="315"/>
  <c r="N82" i="315"/>
  <c r="AG70" i="315"/>
  <c r="AF70" i="315"/>
  <c r="AG71" i="315"/>
  <c r="AF72" i="315"/>
  <c r="O72" i="315"/>
  <c r="AG72" i="315"/>
  <c r="AF73" i="315"/>
  <c r="O75" i="315"/>
  <c r="AG83" i="315"/>
  <c r="N95" i="315"/>
  <c r="AG86" i="315"/>
  <c r="P87" i="315"/>
  <c r="P95" i="315"/>
  <c r="AF97" i="315"/>
  <c r="O97" i="315"/>
  <c r="AF98" i="315"/>
  <c r="R102" i="315"/>
  <c r="Q102" i="315"/>
  <c r="AG104" i="315"/>
  <c r="O104" i="315"/>
  <c r="AF104" i="315"/>
  <c r="R116" i="315"/>
  <c r="Q116" i="315"/>
  <c r="AG124" i="315"/>
  <c r="AF124" i="315"/>
  <c r="AG90" i="315"/>
  <c r="AF91" i="315"/>
  <c r="O91" i="315"/>
  <c r="AG91" i="315"/>
  <c r="AG102" i="315"/>
  <c r="AF103" i="315"/>
  <c r="O103" i="315"/>
  <c r="AG103" i="315"/>
  <c r="AG125" i="315"/>
  <c r="AF125" i="315"/>
  <c r="R86" i="315"/>
  <c r="AF90" i="315"/>
  <c r="AG100" i="315"/>
  <c r="AF101" i="315"/>
  <c r="O101" i="315"/>
  <c r="AG101" i="315"/>
  <c r="AF102" i="315"/>
  <c r="AG111" i="315"/>
  <c r="AF111" i="315"/>
  <c r="AG113" i="315"/>
  <c r="AF113" i="315"/>
  <c r="AG115" i="315"/>
  <c r="AF115" i="315"/>
  <c r="P121" i="315"/>
  <c r="R126" i="315"/>
  <c r="Q126" i="315"/>
  <c r="AG127" i="315"/>
  <c r="AF127" i="315"/>
  <c r="N134" i="315"/>
  <c r="AF122" i="315"/>
  <c r="O141" i="315"/>
  <c r="AG141" i="315"/>
  <c r="AF141" i="315"/>
  <c r="O117" i="315"/>
  <c r="O122" i="315"/>
  <c r="AG123" i="315"/>
  <c r="N147" i="315"/>
  <c r="O139" i="315"/>
  <c r="AG139" i="315"/>
  <c r="AF139" i="315"/>
  <c r="O161" i="315"/>
  <c r="AG161" i="315"/>
  <c r="AF161" i="315"/>
  <c r="AG165" i="315"/>
  <c r="AF165" i="315"/>
  <c r="O165" i="315"/>
  <c r="P173" i="315"/>
  <c r="AG135" i="315"/>
  <c r="O150" i="315"/>
  <c r="Q151" i="315"/>
  <c r="AG151" i="315"/>
  <c r="O135" i="315"/>
  <c r="O136" i="315"/>
  <c r="O138" i="315"/>
  <c r="O140" i="315"/>
  <c r="O142" i="315"/>
  <c r="AF150" i="315"/>
  <c r="P165" i="315"/>
  <c r="AF136" i="315"/>
  <c r="F8" i="311"/>
  <c r="F8" i="310"/>
  <c r="AE173" i="309"/>
  <c r="AD173" i="309"/>
  <c r="AA173" i="309"/>
  <c r="Z173" i="309"/>
  <c r="M173" i="309"/>
  <c r="W172" i="309"/>
  <c r="H172" i="309"/>
  <c r="W171" i="309"/>
  <c r="H171" i="309"/>
  <c r="AG170" i="309"/>
  <c r="AF170" i="309"/>
  <c r="W170" i="309"/>
  <c r="H170" i="309"/>
  <c r="AG169" i="309"/>
  <c r="AF169" i="309"/>
  <c r="W169" i="309"/>
  <c r="H169" i="309"/>
  <c r="AG168" i="309"/>
  <c r="AF168" i="309"/>
  <c r="W168" i="309"/>
  <c r="H168" i="309"/>
  <c r="AG167" i="309"/>
  <c r="AF167" i="309"/>
  <c r="W167" i="309"/>
  <c r="W166" i="309"/>
  <c r="N166" i="309"/>
  <c r="AF166" i="309" s="1"/>
  <c r="AG166" i="309"/>
  <c r="P166" i="309"/>
  <c r="H166" i="309"/>
  <c r="W165" i="309"/>
  <c r="N165" i="309" s="1"/>
  <c r="P165" i="309"/>
  <c r="H165" i="309"/>
  <c r="W164" i="309"/>
  <c r="N164" i="309"/>
  <c r="P164" i="309"/>
  <c r="H164" i="309"/>
  <c r="W163" i="309"/>
  <c r="N163" i="309" s="1"/>
  <c r="P163" i="309"/>
  <c r="H163" i="309"/>
  <c r="W162" i="309"/>
  <c r="N162" i="309"/>
  <c r="AF162" i="309" s="1"/>
  <c r="AG162" i="309"/>
  <c r="P162" i="309"/>
  <c r="H162" i="309"/>
  <c r="W161" i="309"/>
  <c r="N161" i="309" s="1"/>
  <c r="P161" i="309"/>
  <c r="H161" i="309"/>
  <c r="AE160" i="309"/>
  <c r="AD160" i="309"/>
  <c r="AA160" i="309"/>
  <c r="Z160" i="309"/>
  <c r="M160" i="309"/>
  <c r="W159" i="309"/>
  <c r="H159" i="309"/>
  <c r="W158" i="309"/>
  <c r="H158" i="309"/>
  <c r="W157" i="309"/>
  <c r="H157" i="309"/>
  <c r="W156" i="309"/>
  <c r="H156" i="309"/>
  <c r="W155" i="309"/>
  <c r="H155" i="309"/>
  <c r="AG154" i="309"/>
  <c r="AF154" i="309"/>
  <c r="W154" i="309"/>
  <c r="H154" i="309"/>
  <c r="AG153" i="309"/>
  <c r="AF153" i="309"/>
  <c r="W153" i="309"/>
  <c r="H153" i="309"/>
  <c r="AG152" i="309"/>
  <c r="AF152" i="309"/>
  <c r="W152" i="309"/>
  <c r="H152" i="309"/>
  <c r="AG151" i="309"/>
  <c r="AF151" i="309"/>
  <c r="W151" i="309"/>
  <c r="H151" i="309"/>
  <c r="W150" i="309"/>
  <c r="N150" i="309"/>
  <c r="P150" i="309"/>
  <c r="H150" i="309"/>
  <c r="W149" i="309"/>
  <c r="N149" i="309"/>
  <c r="O149" i="309" s="1"/>
  <c r="AF149" i="309"/>
  <c r="P149" i="309"/>
  <c r="H149" i="309"/>
  <c r="W148" i="309"/>
  <c r="N148" i="309" s="1"/>
  <c r="H148" i="309"/>
  <c r="AE147" i="309"/>
  <c r="AD147" i="309"/>
  <c r="AA147" i="309"/>
  <c r="Z147" i="309"/>
  <c r="W147" i="309"/>
  <c r="M147" i="309"/>
  <c r="W146" i="309"/>
  <c r="H146" i="309"/>
  <c r="AG145" i="309"/>
  <c r="AF145" i="309"/>
  <c r="W145" i="309"/>
  <c r="H145" i="309"/>
  <c r="AG144" i="309"/>
  <c r="AF144" i="309"/>
  <c r="W144" i="309"/>
  <c r="H144" i="309"/>
  <c r="W143" i="309"/>
  <c r="N143" i="309" s="1"/>
  <c r="P143" i="309"/>
  <c r="H143" i="309"/>
  <c r="W142" i="309"/>
  <c r="N142" i="309"/>
  <c r="AF142" i="309" s="1"/>
  <c r="H142" i="309"/>
  <c r="W141" i="309"/>
  <c r="N141" i="309" s="1"/>
  <c r="P141" i="309"/>
  <c r="H141" i="309"/>
  <c r="W140" i="309"/>
  <c r="N140" i="309"/>
  <c r="AF140" i="309" s="1"/>
  <c r="P140" i="309"/>
  <c r="H140" i="309"/>
  <c r="W139" i="309"/>
  <c r="N139" i="309" s="1"/>
  <c r="P139" i="309"/>
  <c r="H139" i="309"/>
  <c r="W138" i="309"/>
  <c r="N138" i="309"/>
  <c r="AG138" i="309"/>
  <c r="P138" i="309"/>
  <c r="H138" i="309"/>
  <c r="W137" i="309"/>
  <c r="N137" i="309" s="1"/>
  <c r="P137" i="309"/>
  <c r="H137" i="309"/>
  <c r="W136" i="309"/>
  <c r="N136" i="309"/>
  <c r="AG136" i="309" s="1"/>
  <c r="H136" i="309"/>
  <c r="W135" i="309"/>
  <c r="N135" i="309"/>
  <c r="N147" i="309" s="1"/>
  <c r="H135" i="309"/>
  <c r="AE134" i="309"/>
  <c r="AD134" i="309"/>
  <c r="AA134" i="309"/>
  <c r="Z134" i="309"/>
  <c r="M134" i="309"/>
  <c r="W133" i="309"/>
  <c r="H133" i="309"/>
  <c r="W132" i="309"/>
  <c r="H132" i="309"/>
  <c r="W131" i="309"/>
  <c r="N131" i="309" s="1"/>
  <c r="P131" i="309"/>
  <c r="H131" i="309"/>
  <c r="W130" i="309"/>
  <c r="N130" i="309"/>
  <c r="O130" i="309" s="1"/>
  <c r="P130" i="309"/>
  <c r="H130" i="309"/>
  <c r="W129" i="309"/>
  <c r="N129" i="309"/>
  <c r="O129" i="309" s="1"/>
  <c r="P129" i="309"/>
  <c r="H129" i="309"/>
  <c r="W128" i="309"/>
  <c r="P128" i="309"/>
  <c r="N128" i="309"/>
  <c r="O128" i="309" s="1"/>
  <c r="AG128" i="309"/>
  <c r="H128" i="309"/>
  <c r="W127" i="309"/>
  <c r="P127" i="309"/>
  <c r="H127" i="309"/>
  <c r="W126" i="309"/>
  <c r="N126" i="309"/>
  <c r="O126" i="309" s="1"/>
  <c r="P126" i="309"/>
  <c r="H126" i="309"/>
  <c r="W125" i="309"/>
  <c r="P125" i="309"/>
  <c r="H125" i="309"/>
  <c r="W124" i="309"/>
  <c r="N124" i="309"/>
  <c r="O124" i="309" s="1"/>
  <c r="P124" i="309"/>
  <c r="H124" i="309"/>
  <c r="W123" i="309"/>
  <c r="P123" i="309"/>
  <c r="H123" i="309"/>
  <c r="W122" i="309"/>
  <c r="H122" i="309"/>
  <c r="AE121" i="309"/>
  <c r="AD121" i="309"/>
  <c r="AA121" i="309"/>
  <c r="Z121" i="309"/>
  <c r="W121" i="309"/>
  <c r="M121" i="309"/>
  <c r="AG120" i="309"/>
  <c r="AF120" i="309"/>
  <c r="W120" i="309"/>
  <c r="H120" i="309"/>
  <c r="AG119" i="309"/>
  <c r="AF119" i="309"/>
  <c r="W119" i="309"/>
  <c r="H119" i="309"/>
  <c r="AG118" i="309"/>
  <c r="AF118" i="309"/>
  <c r="W118" i="309"/>
  <c r="H118" i="309"/>
  <c r="W117" i="309"/>
  <c r="N117" i="309"/>
  <c r="H117" i="309"/>
  <c r="W116" i="309"/>
  <c r="N116" i="309" s="1"/>
  <c r="P116" i="309"/>
  <c r="H116" i="309"/>
  <c r="W115" i="309"/>
  <c r="N115" i="309"/>
  <c r="AG115" i="309" s="1"/>
  <c r="H115" i="309"/>
  <c r="W114" i="309"/>
  <c r="N114" i="309" s="1"/>
  <c r="P114" i="309"/>
  <c r="H114" i="309"/>
  <c r="W113" i="309"/>
  <c r="H113" i="309"/>
  <c r="W112" i="309"/>
  <c r="N112" i="309" s="1"/>
  <c r="P112" i="309"/>
  <c r="H112" i="309"/>
  <c r="W111" i="309"/>
  <c r="N111" i="309"/>
  <c r="AG111" i="309" s="1"/>
  <c r="H111" i="309"/>
  <c r="W110" i="309"/>
  <c r="N110" i="309" s="1"/>
  <c r="P110" i="309"/>
  <c r="H110" i="309"/>
  <c r="W109" i="309"/>
  <c r="N109" i="309" s="1"/>
  <c r="P109" i="309"/>
  <c r="H109" i="309"/>
  <c r="AE108" i="309"/>
  <c r="AD108" i="309"/>
  <c r="AA108" i="309"/>
  <c r="Z108" i="309"/>
  <c r="W108" i="309"/>
  <c r="M108" i="309"/>
  <c r="W107" i="309"/>
  <c r="H107" i="309"/>
  <c r="AG106" i="309"/>
  <c r="AF106" i="309"/>
  <c r="H106" i="309"/>
  <c r="AG105" i="309"/>
  <c r="AF105" i="309"/>
  <c r="W105" i="309"/>
  <c r="H105" i="309"/>
  <c r="W104" i="309"/>
  <c r="N104" i="309"/>
  <c r="AG104" i="309" s="1"/>
  <c r="P104" i="309"/>
  <c r="H104" i="309"/>
  <c r="W103" i="309"/>
  <c r="N103" i="309" s="1"/>
  <c r="P103" i="309"/>
  <c r="H103" i="309"/>
  <c r="W102" i="309"/>
  <c r="N102" i="309"/>
  <c r="P102" i="309"/>
  <c r="H102" i="309"/>
  <c r="W101" i="309"/>
  <c r="N101" i="309" s="1"/>
  <c r="P101" i="309"/>
  <c r="H101" i="309"/>
  <c r="W100" i="309"/>
  <c r="N100" i="309"/>
  <c r="AG100" i="309" s="1"/>
  <c r="P100" i="309"/>
  <c r="H100" i="309"/>
  <c r="W99" i="309"/>
  <c r="N99" i="309" s="1"/>
  <c r="P99" i="309"/>
  <c r="H99" i="309"/>
  <c r="W98" i="309"/>
  <c r="N98" i="309"/>
  <c r="P98" i="309"/>
  <c r="H98" i="309"/>
  <c r="W97" i="309"/>
  <c r="N97" i="309" s="1"/>
  <c r="P97" i="309"/>
  <c r="H97" i="309"/>
  <c r="W96" i="309"/>
  <c r="N96" i="309" s="1"/>
  <c r="P96" i="309"/>
  <c r="H96" i="309"/>
  <c r="AE95" i="309"/>
  <c r="AD95" i="309"/>
  <c r="AA95" i="309"/>
  <c r="Z95" i="309"/>
  <c r="M95" i="309"/>
  <c r="AG94" i="309"/>
  <c r="AF94" i="309"/>
  <c r="W94" i="309"/>
  <c r="H94" i="309"/>
  <c r="AG93" i="309"/>
  <c r="AF93" i="309"/>
  <c r="W93" i="309"/>
  <c r="H93" i="309"/>
  <c r="AG92" i="309"/>
  <c r="AF92" i="309"/>
  <c r="W92" i="309"/>
  <c r="H92" i="309"/>
  <c r="AG91" i="309"/>
  <c r="AF91" i="309"/>
  <c r="W91" i="309"/>
  <c r="H91" i="309"/>
  <c r="W90" i="309"/>
  <c r="N90" i="309"/>
  <c r="H90" i="309"/>
  <c r="W89" i="309"/>
  <c r="N89" i="309" s="1"/>
  <c r="P89" i="309"/>
  <c r="H89" i="309"/>
  <c r="W88" i="309"/>
  <c r="N88" i="309"/>
  <c r="AG88" i="309" s="1"/>
  <c r="H88" i="309"/>
  <c r="W87" i="309"/>
  <c r="N87" i="309" s="1"/>
  <c r="P87" i="309"/>
  <c r="H87" i="309"/>
  <c r="W86" i="309"/>
  <c r="N86" i="309"/>
  <c r="AG86" i="309" s="1"/>
  <c r="H86" i="309"/>
  <c r="W85" i="309"/>
  <c r="N85" i="309" s="1"/>
  <c r="P85" i="309"/>
  <c r="H85" i="309"/>
  <c r="W84" i="309"/>
  <c r="N84" i="309"/>
  <c r="H84" i="309"/>
  <c r="W83" i="309"/>
  <c r="N83" i="309"/>
  <c r="H83" i="309"/>
  <c r="AE82" i="309"/>
  <c r="AD82" i="309"/>
  <c r="AA82" i="309"/>
  <c r="Z82" i="309"/>
  <c r="M82" i="309"/>
  <c r="W81" i="309"/>
  <c r="AG80" i="309"/>
  <c r="AF80" i="309"/>
  <c r="W80" i="309"/>
  <c r="H80" i="309"/>
  <c r="AG79" i="309"/>
  <c r="AF79" i="309"/>
  <c r="W79" i="309"/>
  <c r="H79" i="309"/>
  <c r="AG78" i="309"/>
  <c r="AF78" i="309"/>
  <c r="W78" i="309"/>
  <c r="H78" i="309"/>
  <c r="AG77" i="309"/>
  <c r="AF77" i="309"/>
  <c r="W77" i="309"/>
  <c r="H77" i="309"/>
  <c r="AG76" i="309"/>
  <c r="AF76" i="309"/>
  <c r="W76" i="309"/>
  <c r="H76" i="309"/>
  <c r="W75" i="309"/>
  <c r="N75" i="309" s="1"/>
  <c r="O75" i="309" s="1"/>
  <c r="P75" i="309"/>
  <c r="H75" i="309"/>
  <c r="W74" i="309"/>
  <c r="N74" i="309"/>
  <c r="AG74" i="309"/>
  <c r="P74" i="309"/>
  <c r="H74" i="309"/>
  <c r="W73" i="309"/>
  <c r="N73" i="309" s="1"/>
  <c r="O73" i="309" s="1"/>
  <c r="P73" i="309"/>
  <c r="H73" i="309"/>
  <c r="W72" i="309"/>
  <c r="N72" i="309"/>
  <c r="AG72" i="309"/>
  <c r="P72" i="309"/>
  <c r="H72" i="309"/>
  <c r="W71" i="309"/>
  <c r="N71" i="309"/>
  <c r="P71" i="309"/>
  <c r="H71" i="309"/>
  <c r="W70" i="309"/>
  <c r="N70" i="309"/>
  <c r="H70" i="309"/>
  <c r="AE69" i="309"/>
  <c r="AD69" i="309"/>
  <c r="AA69" i="309"/>
  <c r="Z69" i="309"/>
  <c r="W69" i="309"/>
  <c r="M69" i="309"/>
  <c r="W68" i="309"/>
  <c r="H68" i="309"/>
  <c r="AG67" i="309"/>
  <c r="AF67" i="309"/>
  <c r="W67" i="309"/>
  <c r="H67" i="309"/>
  <c r="AG66" i="309"/>
  <c r="AF66" i="309"/>
  <c r="W66" i="309"/>
  <c r="H66" i="309"/>
  <c r="AG65" i="309"/>
  <c r="AF65" i="309"/>
  <c r="W65" i="309"/>
  <c r="H65" i="309"/>
  <c r="AG64" i="309"/>
  <c r="AF64" i="309"/>
  <c r="W64" i="309"/>
  <c r="H64" i="309"/>
  <c r="AG63" i="309"/>
  <c r="AF63" i="309"/>
  <c r="W63" i="309"/>
  <c r="H63" i="309"/>
  <c r="W62" i="309"/>
  <c r="N62" i="309" s="1"/>
  <c r="H62" i="309"/>
  <c r="W61" i="309"/>
  <c r="N61" i="309" s="1"/>
  <c r="P61" i="309"/>
  <c r="H61" i="309"/>
  <c r="W60" i="309"/>
  <c r="N60" i="309" s="1"/>
  <c r="H60" i="309"/>
  <c r="W59" i="309"/>
  <c r="N59" i="309" s="1"/>
  <c r="P59" i="309"/>
  <c r="H59" i="309"/>
  <c r="W58" i="309"/>
  <c r="N58" i="309" s="1"/>
  <c r="H58" i="309"/>
  <c r="W57" i="309"/>
  <c r="N57" i="309"/>
  <c r="H57" i="309"/>
  <c r="AE56" i="309"/>
  <c r="AD56" i="309"/>
  <c r="AA56" i="309"/>
  <c r="Z56" i="309"/>
  <c r="W56" i="309"/>
  <c r="M56" i="309"/>
  <c r="W55" i="309"/>
  <c r="H55" i="309"/>
  <c r="AG54" i="309"/>
  <c r="AF54" i="309"/>
  <c r="W54" i="309"/>
  <c r="H54" i="309"/>
  <c r="AG53" i="309"/>
  <c r="AF53" i="309"/>
  <c r="W53" i="309"/>
  <c r="H53" i="309"/>
  <c r="AG52" i="309"/>
  <c r="AF52" i="309"/>
  <c r="W52" i="309"/>
  <c r="H52" i="309"/>
  <c r="W51" i="309"/>
  <c r="N51" i="309"/>
  <c r="O51" i="309" s="1"/>
  <c r="P51" i="309"/>
  <c r="H51" i="309"/>
  <c r="W50" i="309"/>
  <c r="N50" i="309"/>
  <c r="AG50" i="309" s="1"/>
  <c r="P50" i="309"/>
  <c r="H50" i="309"/>
  <c r="W49" i="309"/>
  <c r="N49" i="309"/>
  <c r="O49" i="309" s="1"/>
  <c r="AF49" i="309"/>
  <c r="P49" i="309"/>
  <c r="H49" i="309"/>
  <c r="W48" i="309"/>
  <c r="N48" i="309"/>
  <c r="AG48" i="309" s="1"/>
  <c r="P48" i="309"/>
  <c r="H48" i="309"/>
  <c r="W47" i="309"/>
  <c r="N47" i="309"/>
  <c r="O47" i="309" s="1"/>
  <c r="AF47" i="309"/>
  <c r="P47" i="309"/>
  <c r="H47" i="309"/>
  <c r="W46" i="309"/>
  <c r="N46" i="309"/>
  <c r="AG46" i="309" s="1"/>
  <c r="P46" i="309"/>
  <c r="H46" i="309"/>
  <c r="W45" i="309"/>
  <c r="N45" i="309"/>
  <c r="O45" i="309" s="1"/>
  <c r="P45" i="309"/>
  <c r="H45" i="309"/>
  <c r="W44" i="309"/>
  <c r="N44" i="309" s="1"/>
  <c r="H44" i="309"/>
  <c r="AE43" i="309"/>
  <c r="AD43" i="309"/>
  <c r="AA43" i="309"/>
  <c r="Z43" i="309"/>
  <c r="M43" i="309"/>
  <c r="W42" i="309"/>
  <c r="H42" i="309"/>
  <c r="W41" i="309"/>
  <c r="AG40" i="309"/>
  <c r="AF40" i="309"/>
  <c r="W40" i="309"/>
  <c r="H40" i="309"/>
  <c r="AG39" i="309"/>
  <c r="AF39" i="309"/>
  <c r="W39" i="309"/>
  <c r="H39" i="309"/>
  <c r="AG38" i="309"/>
  <c r="AF38" i="309"/>
  <c r="W38" i="309"/>
  <c r="H38" i="309"/>
  <c r="W37" i="309"/>
  <c r="N37" i="309" s="1"/>
  <c r="P37" i="309"/>
  <c r="H37" i="309"/>
  <c r="W36" i="309"/>
  <c r="N36" i="309"/>
  <c r="AF36" i="309" s="1"/>
  <c r="P36" i="309"/>
  <c r="H36" i="309"/>
  <c r="W35" i="309"/>
  <c r="N35" i="309" s="1"/>
  <c r="P35" i="309"/>
  <c r="H35" i="309"/>
  <c r="W34" i="309"/>
  <c r="N34" i="309"/>
  <c r="P34" i="309"/>
  <c r="H34" i="309"/>
  <c r="W33" i="309"/>
  <c r="N33" i="309" s="1"/>
  <c r="P33" i="309"/>
  <c r="H33" i="309"/>
  <c r="W32" i="309"/>
  <c r="N32" i="309"/>
  <c r="AF32" i="309" s="1"/>
  <c r="P32" i="309"/>
  <c r="H32" i="309"/>
  <c r="W31" i="309"/>
  <c r="H31" i="309"/>
  <c r="AE30" i="309"/>
  <c r="AD30" i="309"/>
  <c r="AA30" i="309"/>
  <c r="Z30" i="309"/>
  <c r="M30" i="309"/>
  <c r="AF29" i="309"/>
  <c r="W29" i="309"/>
  <c r="H29" i="309"/>
  <c r="AG28" i="309"/>
  <c r="AF28" i="309"/>
  <c r="W28" i="309"/>
  <c r="P28" i="309"/>
  <c r="H28" i="309"/>
  <c r="AG27" i="309"/>
  <c r="AF27" i="309"/>
  <c r="W27" i="309"/>
  <c r="P27" i="309"/>
  <c r="H27" i="309"/>
  <c r="AG26" i="309"/>
  <c r="AF26" i="309"/>
  <c r="W26" i="309"/>
  <c r="P26" i="309"/>
  <c r="H26" i="309"/>
  <c r="AG25" i="309"/>
  <c r="AF25" i="309"/>
  <c r="W25" i="309"/>
  <c r="P25" i="309"/>
  <c r="H25" i="309"/>
  <c r="W24" i="309"/>
  <c r="N24" i="309" s="1"/>
  <c r="P24" i="309"/>
  <c r="H24" i="309"/>
  <c r="W23" i="309"/>
  <c r="N23" i="309"/>
  <c r="P23" i="309"/>
  <c r="H23" i="309"/>
  <c r="W22" i="309"/>
  <c r="N22" i="309" s="1"/>
  <c r="P22" i="309"/>
  <c r="H22" i="309"/>
  <c r="W21" i="309"/>
  <c r="P21" i="309"/>
  <c r="H21" i="309"/>
  <c r="W20" i="309"/>
  <c r="N20" i="309" s="1"/>
  <c r="P20" i="309"/>
  <c r="H20" i="309"/>
  <c r="W19" i="309"/>
  <c r="P19" i="309"/>
  <c r="H19" i="309"/>
  <c r="W18" i="309"/>
  <c r="P18" i="309"/>
  <c r="H18" i="309"/>
  <c r="AE17" i="309"/>
  <c r="AD17" i="309"/>
  <c r="AA17" i="309"/>
  <c r="Z17" i="309"/>
  <c r="W17" i="309"/>
  <c r="M17" i="309"/>
  <c r="AG16" i="309"/>
  <c r="W16" i="309"/>
  <c r="H16" i="309"/>
  <c r="AG15" i="309"/>
  <c r="W15" i="309"/>
  <c r="H15" i="309"/>
  <c r="AG14" i="309"/>
  <c r="W14" i="309"/>
  <c r="H14" i="309"/>
  <c r="AG13" i="309"/>
  <c r="AF13" i="309"/>
  <c r="W13" i="309"/>
  <c r="H13" i="309"/>
  <c r="AG12" i="309"/>
  <c r="AF12" i="309"/>
  <c r="W12" i="309"/>
  <c r="H12" i="309"/>
  <c r="W11" i="309"/>
  <c r="N11" i="309" s="1"/>
  <c r="P11" i="309"/>
  <c r="H11" i="309"/>
  <c r="W10" i="309"/>
  <c r="N10" i="309"/>
  <c r="AG10" i="309" s="1"/>
  <c r="P10" i="309"/>
  <c r="H10" i="309"/>
  <c r="W9" i="309"/>
  <c r="N9" i="309" s="1"/>
  <c r="P9" i="309"/>
  <c r="H9" i="309"/>
  <c r="W8" i="309"/>
  <c r="N8" i="309"/>
  <c r="P8" i="309"/>
  <c r="H8" i="309"/>
  <c r="W7" i="309"/>
  <c r="N7" i="309" s="1"/>
  <c r="P7" i="309"/>
  <c r="H7" i="309"/>
  <c r="W6" i="309"/>
  <c r="N6" i="309"/>
  <c r="AG6" i="309" s="1"/>
  <c r="P6" i="309"/>
  <c r="H6" i="309"/>
  <c r="W5" i="309"/>
  <c r="N5" i="309"/>
  <c r="AG5" i="309" s="1"/>
  <c r="H5" i="309"/>
  <c r="I2" i="309"/>
  <c r="E1" i="309"/>
  <c r="AF5" i="313" l="1"/>
  <c r="O5" i="313"/>
  <c r="AG36" i="315"/>
  <c r="AF36" i="315"/>
  <c r="AG149" i="314"/>
  <c r="AF149" i="314"/>
  <c r="O149" i="314"/>
  <c r="O83" i="314"/>
  <c r="Q83" i="314" s="1"/>
  <c r="AG83" i="314"/>
  <c r="AG164" i="315"/>
  <c r="AF164" i="315"/>
  <c r="AG162" i="315"/>
  <c r="AF162" i="315"/>
  <c r="AF149" i="315"/>
  <c r="O149" i="315"/>
  <c r="R89" i="315"/>
  <c r="Q89" i="315"/>
  <c r="O31" i="314"/>
  <c r="N43" i="314"/>
  <c r="AG87" i="315"/>
  <c r="O87" i="315"/>
  <c r="AF87" i="315"/>
  <c r="R8" i="313"/>
  <c r="Q8" i="313"/>
  <c r="N43" i="313"/>
  <c r="R6" i="313"/>
  <c r="Q6" i="313"/>
  <c r="AF6" i="313"/>
  <c r="AF8" i="313"/>
  <c r="N17" i="313"/>
  <c r="O32" i="313"/>
  <c r="AG6" i="313"/>
  <c r="AG8" i="313"/>
  <c r="AF32" i="313"/>
  <c r="AG5" i="313"/>
  <c r="O121" i="313"/>
  <c r="R164" i="313"/>
  <c r="O17" i="314"/>
  <c r="N30" i="314"/>
  <c r="AG72" i="314"/>
  <c r="AF72" i="314"/>
  <c r="O72" i="314"/>
  <c r="Q96" i="313"/>
  <c r="O108" i="313"/>
  <c r="Q109" i="313"/>
  <c r="O173" i="313"/>
  <c r="AG123" i="314"/>
  <c r="AF123" i="314"/>
  <c r="O123" i="314"/>
  <c r="Q164" i="313"/>
  <c r="R32" i="314"/>
  <c r="Q32" i="314"/>
  <c r="R36" i="314"/>
  <c r="Q36" i="314"/>
  <c r="AG74" i="314"/>
  <c r="AF74" i="314"/>
  <c r="O74" i="314"/>
  <c r="O21" i="314"/>
  <c r="AG21" i="314"/>
  <c r="AF21" i="314"/>
  <c r="Q127" i="315"/>
  <c r="O82" i="315"/>
  <c r="R73" i="315"/>
  <c r="R111" i="315"/>
  <c r="R113" i="315"/>
  <c r="Q115" i="315"/>
  <c r="Q123" i="315"/>
  <c r="R125" i="315"/>
  <c r="R127" i="315"/>
  <c r="N173" i="315"/>
  <c r="AG149" i="315"/>
  <c r="O152" i="315"/>
  <c r="AF152" i="315"/>
  <c r="O162" i="315"/>
  <c r="O164" i="315"/>
  <c r="AG142" i="309"/>
  <c r="AG140" i="309"/>
  <c r="AG130" i="309"/>
  <c r="N127" i="309"/>
  <c r="AF126" i="309"/>
  <c r="N122" i="309"/>
  <c r="N113" i="309"/>
  <c r="AG113" i="309" s="1"/>
  <c r="AG126" i="309"/>
  <c r="N125" i="309"/>
  <c r="N123" i="309"/>
  <c r="O71" i="309"/>
  <c r="R71" i="309" s="1"/>
  <c r="O57" i="309"/>
  <c r="AF45" i="309"/>
  <c r="AG36" i="309"/>
  <c r="AE2" i="309"/>
  <c r="N18" i="309"/>
  <c r="AD2" i="309"/>
  <c r="AA2" i="309"/>
  <c r="I1" i="309"/>
  <c r="AF51" i="309"/>
  <c r="AG34" i="309"/>
  <c r="N31" i="309"/>
  <c r="N21" i="309"/>
  <c r="AG21" i="309" s="1"/>
  <c r="N19" i="309"/>
  <c r="Z2" i="309"/>
  <c r="R17" i="314"/>
  <c r="S5" i="314" s="1"/>
  <c r="Q17" i="314"/>
  <c r="R164" i="315"/>
  <c r="Q164" i="315"/>
  <c r="Q138" i="315"/>
  <c r="R138" i="315"/>
  <c r="R165" i="315"/>
  <c r="Q165" i="315"/>
  <c r="R151" i="315"/>
  <c r="AG147" i="315"/>
  <c r="AH135" i="315" s="1"/>
  <c r="AF147" i="315"/>
  <c r="AG134" i="315"/>
  <c r="AH122" i="315" s="1"/>
  <c r="AF134" i="315"/>
  <c r="R97" i="315"/>
  <c r="Q97" i="315"/>
  <c r="R82" i="315"/>
  <c r="S70" i="315" s="1"/>
  <c r="O121" i="315"/>
  <c r="R109" i="315"/>
  <c r="Q109" i="315"/>
  <c r="AG108" i="315"/>
  <c r="AH96" i="315" s="1"/>
  <c r="AF108" i="315"/>
  <c r="R36" i="315"/>
  <c r="Q36" i="315"/>
  <c r="R163" i="315"/>
  <c r="Q163" i="315"/>
  <c r="Q125" i="315"/>
  <c r="AG43" i="315"/>
  <c r="AH31" i="315" s="1"/>
  <c r="AF43" i="315"/>
  <c r="Q43" i="315"/>
  <c r="Q70" i="315"/>
  <c r="Q10" i="315"/>
  <c r="R10" i="315"/>
  <c r="R9" i="315"/>
  <c r="Q9" i="315"/>
  <c r="O69" i="315"/>
  <c r="R57" i="315"/>
  <c r="Q57" i="315"/>
  <c r="Q19" i="315"/>
  <c r="R19" i="315"/>
  <c r="AG17" i="315"/>
  <c r="AH5" i="315" s="1"/>
  <c r="AF17" i="315"/>
  <c r="O160" i="314"/>
  <c r="R148" i="314"/>
  <c r="Q148" i="314"/>
  <c r="AG30" i="315"/>
  <c r="AH18" i="315" s="1"/>
  <c r="R96" i="314"/>
  <c r="Q96" i="314"/>
  <c r="O108" i="314"/>
  <c r="Q51" i="314"/>
  <c r="R51" i="314"/>
  <c r="R50" i="314"/>
  <c r="Q50" i="314"/>
  <c r="R31" i="314"/>
  <c r="R89" i="314"/>
  <c r="Q89" i="314"/>
  <c r="R87" i="314"/>
  <c r="Q87" i="314"/>
  <c r="R85" i="314"/>
  <c r="Q85" i="314"/>
  <c r="AG69" i="314"/>
  <c r="AH57" i="314" s="1"/>
  <c r="Q69" i="314"/>
  <c r="AF69" i="314"/>
  <c r="Q44" i="314"/>
  <c r="O56" i="314"/>
  <c r="R56" i="314" s="1"/>
  <c r="S44" i="314" s="1"/>
  <c r="R44" i="314"/>
  <c r="Q125" i="314"/>
  <c r="R125" i="314"/>
  <c r="R124" i="314"/>
  <c r="Q124" i="314"/>
  <c r="R103" i="314"/>
  <c r="Q103" i="314"/>
  <c r="Q98" i="314"/>
  <c r="Q45" i="314"/>
  <c r="R45" i="314"/>
  <c r="R37" i="315"/>
  <c r="AG121" i="314"/>
  <c r="AH109" i="314" s="1"/>
  <c r="AF121" i="314"/>
  <c r="R34" i="314"/>
  <c r="R100" i="314"/>
  <c r="Q100" i="314"/>
  <c r="R84" i="314"/>
  <c r="R151" i="313"/>
  <c r="Q151" i="313"/>
  <c r="R108" i="313"/>
  <c r="S96" i="313" s="1"/>
  <c r="Q108" i="313"/>
  <c r="R90" i="313"/>
  <c r="Q90" i="313"/>
  <c r="R115" i="314"/>
  <c r="Q72" i="314"/>
  <c r="R72" i="314"/>
  <c r="R61" i="314"/>
  <c r="Q9" i="314"/>
  <c r="Q140" i="313"/>
  <c r="R140" i="313"/>
  <c r="Q128" i="313"/>
  <c r="R128" i="313"/>
  <c r="Q70" i="313"/>
  <c r="O82" i="313"/>
  <c r="R82" i="313" s="1"/>
  <c r="S70" i="313" s="1"/>
  <c r="R70" i="313"/>
  <c r="Q88" i="314"/>
  <c r="R73" i="314"/>
  <c r="Q73" i="314"/>
  <c r="R5" i="314"/>
  <c r="AG121" i="313"/>
  <c r="AH109" i="313" s="1"/>
  <c r="AF121" i="313"/>
  <c r="R116" i="313"/>
  <c r="Q116" i="313"/>
  <c r="R111" i="313"/>
  <c r="Q111" i="313"/>
  <c r="R74" i="313"/>
  <c r="Q74" i="313"/>
  <c r="R125" i="313"/>
  <c r="Q125" i="313"/>
  <c r="R114" i="313"/>
  <c r="Q114" i="313"/>
  <c r="R102" i="313"/>
  <c r="Q102" i="313"/>
  <c r="R96" i="313"/>
  <c r="R137" i="313"/>
  <c r="Q137" i="313"/>
  <c r="R112" i="313"/>
  <c r="Q112" i="313"/>
  <c r="R97" i="313"/>
  <c r="Q97" i="313"/>
  <c r="O160" i="313"/>
  <c r="R148" i="313"/>
  <c r="Q148" i="313"/>
  <c r="R110" i="313"/>
  <c r="Q110" i="313"/>
  <c r="R34" i="313"/>
  <c r="Q34" i="313"/>
  <c r="R52" i="313"/>
  <c r="Q52" i="313"/>
  <c r="Q22" i="313"/>
  <c r="R22" i="313"/>
  <c r="R50" i="313"/>
  <c r="Q50" i="313"/>
  <c r="Q18" i="313"/>
  <c r="R162" i="315"/>
  <c r="Q162" i="315"/>
  <c r="AG173" i="315"/>
  <c r="AH161" i="315" s="1"/>
  <c r="AF173" i="315"/>
  <c r="R98" i="315"/>
  <c r="Q98" i="315"/>
  <c r="O108" i="315"/>
  <c r="R96" i="315"/>
  <c r="Q96" i="315"/>
  <c r="Q74" i="315"/>
  <c r="R74" i="315"/>
  <c r="R34" i="315"/>
  <c r="Q34" i="315"/>
  <c r="R143" i="315"/>
  <c r="Q143" i="315"/>
  <c r="R35" i="315"/>
  <c r="Q35" i="315"/>
  <c r="R163" i="314"/>
  <c r="Q163" i="314"/>
  <c r="R138" i="314"/>
  <c r="Q138" i="314"/>
  <c r="O147" i="314"/>
  <c r="R135" i="314"/>
  <c r="Q135" i="314"/>
  <c r="Q8" i="315"/>
  <c r="R8" i="315"/>
  <c r="R7" i="315"/>
  <c r="Q7" i="315"/>
  <c r="AG173" i="314"/>
  <c r="AH161" i="314" s="1"/>
  <c r="AF173" i="314"/>
  <c r="R139" i="314"/>
  <c r="Q139" i="314"/>
  <c r="R112" i="314"/>
  <c r="Q112" i="314"/>
  <c r="R115" i="315"/>
  <c r="O56" i="315"/>
  <c r="R56" i="315" s="1"/>
  <c r="S44" i="315" s="1"/>
  <c r="R44" i="315"/>
  <c r="Q44" i="315"/>
  <c r="AG160" i="315"/>
  <c r="AH148" i="315" s="1"/>
  <c r="AF160" i="315"/>
  <c r="R140" i="314"/>
  <c r="Q140" i="314"/>
  <c r="R136" i="314"/>
  <c r="Q136" i="314"/>
  <c r="R101" i="314"/>
  <c r="Q101" i="314"/>
  <c r="R97" i="314"/>
  <c r="Q97" i="314"/>
  <c r="AG108" i="314"/>
  <c r="AH96" i="314" s="1"/>
  <c r="AF108" i="314"/>
  <c r="Q47" i="314"/>
  <c r="R47" i="314"/>
  <c r="R46" i="314"/>
  <c r="Q46" i="314"/>
  <c r="R37" i="314"/>
  <c r="Q37" i="314"/>
  <c r="R35" i="314"/>
  <c r="Q35" i="314"/>
  <c r="R33" i="314"/>
  <c r="Q33" i="314"/>
  <c r="Q85" i="315"/>
  <c r="R83" i="314"/>
  <c r="Q5" i="314"/>
  <c r="R149" i="313"/>
  <c r="Q149" i="313"/>
  <c r="R88" i="313"/>
  <c r="Q88" i="313"/>
  <c r="R111" i="314"/>
  <c r="Q111" i="314"/>
  <c r="R59" i="314"/>
  <c r="Q59" i="314"/>
  <c r="R163" i="313"/>
  <c r="Q163" i="313"/>
  <c r="Q138" i="313"/>
  <c r="R138" i="313"/>
  <c r="Q126" i="313"/>
  <c r="R126" i="313"/>
  <c r="AF108" i="313"/>
  <c r="AG108" i="313"/>
  <c r="AH96" i="313" s="1"/>
  <c r="Q75" i="313"/>
  <c r="R75" i="313"/>
  <c r="Q53" i="314"/>
  <c r="R53" i="314"/>
  <c r="Q173" i="313"/>
  <c r="R122" i="313"/>
  <c r="Q122" i="313"/>
  <c r="O134" i="313"/>
  <c r="AF147" i="313"/>
  <c r="R127" i="313"/>
  <c r="Q127" i="313"/>
  <c r="R89" i="313"/>
  <c r="Q89" i="313"/>
  <c r="AF30" i="313"/>
  <c r="AG30" i="313"/>
  <c r="AH18" i="313" s="1"/>
  <c r="R141" i="313"/>
  <c r="Q141" i="313"/>
  <c r="O95" i="313"/>
  <c r="R83" i="313"/>
  <c r="Q83" i="313"/>
  <c r="R85" i="313"/>
  <c r="Q85" i="313"/>
  <c r="R32" i="313"/>
  <c r="Q32" i="313"/>
  <c r="R10" i="313"/>
  <c r="Q10" i="313"/>
  <c r="O69" i="313"/>
  <c r="R57" i="313"/>
  <c r="Q57" i="313"/>
  <c r="R48" i="313"/>
  <c r="Q48" i="313"/>
  <c r="Q60" i="313"/>
  <c r="R60" i="313"/>
  <c r="Q44" i="313"/>
  <c r="O56" i="313"/>
  <c r="R56" i="313" s="1"/>
  <c r="S44" i="313" s="1"/>
  <c r="R44" i="313"/>
  <c r="R37" i="313"/>
  <c r="Q37" i="313"/>
  <c r="R33" i="313"/>
  <c r="Q33" i="313"/>
  <c r="Q142" i="315"/>
  <c r="R142" i="315"/>
  <c r="Q135" i="315"/>
  <c r="O147" i="315"/>
  <c r="R135" i="315"/>
  <c r="R150" i="315"/>
  <c r="Q150" i="315"/>
  <c r="O173" i="315"/>
  <c r="R161" i="315"/>
  <c r="Q161" i="315"/>
  <c r="Q122" i="315"/>
  <c r="O134" i="315"/>
  <c r="R122" i="315"/>
  <c r="R141" i="315"/>
  <c r="Q141" i="315"/>
  <c r="R101" i="315"/>
  <c r="Q101" i="315"/>
  <c r="Q103" i="315"/>
  <c r="R103" i="315"/>
  <c r="Q91" i="315"/>
  <c r="R91" i="315"/>
  <c r="R75" i="315"/>
  <c r="Q75" i="315"/>
  <c r="R72" i="315"/>
  <c r="Q72" i="315"/>
  <c r="O95" i="315"/>
  <c r="R32" i="315"/>
  <c r="Q32" i="315"/>
  <c r="R166" i="315"/>
  <c r="Q166" i="315"/>
  <c r="R106" i="315"/>
  <c r="Q106" i="315"/>
  <c r="Q73" i="315"/>
  <c r="Q61" i="315"/>
  <c r="R61" i="315"/>
  <c r="Q46" i="315"/>
  <c r="R46" i="315"/>
  <c r="AG147" i="314"/>
  <c r="AH135" i="314" s="1"/>
  <c r="AF147" i="314"/>
  <c r="Q47" i="315"/>
  <c r="Q6" i="315"/>
  <c r="R6" i="315"/>
  <c r="O173" i="314"/>
  <c r="R161" i="314"/>
  <c r="Q161" i="314"/>
  <c r="R110" i="314"/>
  <c r="Q110" i="314"/>
  <c r="AF69" i="315"/>
  <c r="AG69" i="315"/>
  <c r="AH57" i="315" s="1"/>
  <c r="Q69" i="315"/>
  <c r="O43" i="315"/>
  <c r="R43" i="315" s="1"/>
  <c r="S31" i="315" s="1"/>
  <c r="AG160" i="314"/>
  <c r="AH148" i="314" s="1"/>
  <c r="AF160" i="314"/>
  <c r="Q142" i="314"/>
  <c r="R142" i="314"/>
  <c r="R137" i="315"/>
  <c r="Q137" i="315"/>
  <c r="Q59" i="315"/>
  <c r="R59" i="315"/>
  <c r="Q23" i="315"/>
  <c r="R23" i="315"/>
  <c r="R22" i="315"/>
  <c r="Q22" i="315"/>
  <c r="R126" i="314"/>
  <c r="Q126" i="314"/>
  <c r="AG95" i="314"/>
  <c r="AH83" i="314" s="1"/>
  <c r="AF95" i="314"/>
  <c r="Q22" i="314"/>
  <c r="R22" i="314"/>
  <c r="Q20" i="314"/>
  <c r="R20" i="314"/>
  <c r="Q50" i="315"/>
  <c r="R50" i="315"/>
  <c r="R114" i="314"/>
  <c r="Q114" i="314"/>
  <c r="AF82" i="314"/>
  <c r="Q82" i="314"/>
  <c r="AG82" i="314"/>
  <c r="AH70" i="314" s="1"/>
  <c r="O69" i="314"/>
  <c r="R69" i="314" s="1"/>
  <c r="S57" i="314" s="1"/>
  <c r="R57" i="314"/>
  <c r="Q57" i="314"/>
  <c r="AG56" i="314"/>
  <c r="AH44" i="314" s="1"/>
  <c r="Q56" i="314"/>
  <c r="AF56" i="314"/>
  <c r="AG134" i="314"/>
  <c r="AH122" i="314" s="1"/>
  <c r="AF134" i="314"/>
  <c r="Q102" i="314"/>
  <c r="R99" i="314"/>
  <c r="Q99" i="314"/>
  <c r="Q74" i="314"/>
  <c r="R74" i="314"/>
  <c r="Q123" i="314"/>
  <c r="R123" i="314"/>
  <c r="R71" i="314"/>
  <c r="Q71" i="314"/>
  <c r="R86" i="313"/>
  <c r="Q86" i="313"/>
  <c r="R52" i="314"/>
  <c r="Q52" i="314"/>
  <c r="O30" i="314"/>
  <c r="R18" i="314"/>
  <c r="Q18" i="314"/>
  <c r="R7" i="314"/>
  <c r="Q7" i="314"/>
  <c r="AG173" i="313"/>
  <c r="AH161" i="313" s="1"/>
  <c r="AF173" i="313"/>
  <c r="Q136" i="313"/>
  <c r="R136" i="313"/>
  <c r="Q124" i="313"/>
  <c r="R124" i="313"/>
  <c r="Q73" i="313"/>
  <c r="R73" i="313"/>
  <c r="R116" i="314"/>
  <c r="Q116" i="314"/>
  <c r="Q82" i="313"/>
  <c r="AG82" i="313"/>
  <c r="AH70" i="313" s="1"/>
  <c r="AF82" i="313"/>
  <c r="R150" i="313"/>
  <c r="Q150" i="313"/>
  <c r="R139" i="313"/>
  <c r="Q139" i="313"/>
  <c r="AG134" i="313"/>
  <c r="AH122" i="313" s="1"/>
  <c r="AF134" i="313"/>
  <c r="R101" i="313"/>
  <c r="Q101" i="313"/>
  <c r="R62" i="313"/>
  <c r="Q62" i="313"/>
  <c r="R152" i="313"/>
  <c r="Q152" i="313"/>
  <c r="R72" i="313"/>
  <c r="Q72" i="313"/>
  <c r="R115" i="313"/>
  <c r="Q115" i="313"/>
  <c r="AF95" i="313"/>
  <c r="AG95" i="313"/>
  <c r="AH83" i="313" s="1"/>
  <c r="Q47" i="313"/>
  <c r="R47" i="313"/>
  <c r="AG160" i="313"/>
  <c r="AH148" i="313" s="1"/>
  <c r="AF160" i="313"/>
  <c r="R113" i="313"/>
  <c r="Q113" i="313"/>
  <c r="R99" i="313"/>
  <c r="Q99" i="313"/>
  <c r="R31" i="313"/>
  <c r="Q31" i="313"/>
  <c r="O43" i="313"/>
  <c r="R43" i="313" s="1"/>
  <c r="S31" i="313" s="1"/>
  <c r="AG17" i="313"/>
  <c r="AH5" i="313" s="1"/>
  <c r="AF17" i="313"/>
  <c r="R35" i="313"/>
  <c r="Q35" i="313"/>
  <c r="AG69" i="313"/>
  <c r="AH57" i="313" s="1"/>
  <c r="Q69" i="313"/>
  <c r="AF69" i="313"/>
  <c r="Q20" i="313"/>
  <c r="R20" i="313"/>
  <c r="R9" i="313"/>
  <c r="Q9" i="313"/>
  <c r="O30" i="313"/>
  <c r="Q136" i="315"/>
  <c r="R136" i="315"/>
  <c r="Q140" i="315"/>
  <c r="R140" i="315"/>
  <c r="R152" i="315"/>
  <c r="Q152" i="315"/>
  <c r="R139" i="315"/>
  <c r="Q139" i="315"/>
  <c r="R117" i="315"/>
  <c r="Q117" i="315"/>
  <c r="R124" i="315"/>
  <c r="Q124" i="315"/>
  <c r="Q111" i="315"/>
  <c r="R104" i="315"/>
  <c r="Q104" i="315"/>
  <c r="AG95" i="315"/>
  <c r="AH83" i="315" s="1"/>
  <c r="AF95" i="315"/>
  <c r="Q82" i="315"/>
  <c r="AG82" i="315"/>
  <c r="AH70" i="315" s="1"/>
  <c r="AF82" i="315"/>
  <c r="AF121" i="315"/>
  <c r="AG121" i="315"/>
  <c r="AH109" i="315" s="1"/>
  <c r="R105" i="315"/>
  <c r="Q105" i="315"/>
  <c r="R99" i="315"/>
  <c r="Q99" i="315"/>
  <c r="Q48" i="315"/>
  <c r="R48" i="315"/>
  <c r="Q18" i="315"/>
  <c r="O30" i="315"/>
  <c r="R18" i="315"/>
  <c r="R51" i="315"/>
  <c r="Q51" i="315"/>
  <c r="Q12" i="315"/>
  <c r="R12" i="315"/>
  <c r="R11" i="315"/>
  <c r="Q11" i="315"/>
  <c r="R143" i="314"/>
  <c r="Q143" i="314"/>
  <c r="AG56" i="315"/>
  <c r="AH44" i="315" s="1"/>
  <c r="Q56" i="315"/>
  <c r="AF56" i="315"/>
  <c r="O160" i="315"/>
  <c r="R148" i="315"/>
  <c r="Q148" i="315"/>
  <c r="R88" i="315"/>
  <c r="Q88" i="315"/>
  <c r="Q21" i="315"/>
  <c r="R21" i="315"/>
  <c r="R20" i="315"/>
  <c r="Q20" i="315"/>
  <c r="O17" i="315"/>
  <c r="Q5" i="315"/>
  <c r="R5" i="315"/>
  <c r="Q31" i="314"/>
  <c r="O82" i="314"/>
  <c r="R82" i="314" s="1"/>
  <c r="S70" i="314" s="1"/>
  <c r="R70" i="314"/>
  <c r="Q70" i="314"/>
  <c r="Q122" i="314"/>
  <c r="O134" i="314"/>
  <c r="R122" i="314"/>
  <c r="Q49" i="314"/>
  <c r="R49" i="314"/>
  <c r="R48" i="314"/>
  <c r="Q48" i="314"/>
  <c r="Q21" i="314"/>
  <c r="R21" i="314"/>
  <c r="O121" i="314"/>
  <c r="R109" i="314"/>
  <c r="Q109" i="314"/>
  <c r="O95" i="314"/>
  <c r="O43" i="314"/>
  <c r="R43" i="314" s="1"/>
  <c r="S31" i="314" s="1"/>
  <c r="R8" i="314"/>
  <c r="Q8" i="314"/>
  <c r="R75" i="314"/>
  <c r="Q75" i="314"/>
  <c r="R162" i="313"/>
  <c r="Q162" i="313"/>
  <c r="R84" i="313"/>
  <c r="Q84" i="313"/>
  <c r="R19" i="314"/>
  <c r="Q19" i="314"/>
  <c r="AF30" i="314"/>
  <c r="AG30" i="314"/>
  <c r="AH18" i="314" s="1"/>
  <c r="R165" i="313"/>
  <c r="Q165" i="313"/>
  <c r="Q142" i="313"/>
  <c r="R142" i="313"/>
  <c r="Q135" i="313"/>
  <c r="O147" i="313"/>
  <c r="R135" i="313"/>
  <c r="Q121" i="313"/>
  <c r="R121" i="313"/>
  <c r="S109" i="313" s="1"/>
  <c r="Q71" i="313"/>
  <c r="R71" i="313"/>
  <c r="AG17" i="314"/>
  <c r="AH5" i="314" s="1"/>
  <c r="AF17" i="314"/>
  <c r="R143" i="313"/>
  <c r="Q143" i="313"/>
  <c r="R87" i="313"/>
  <c r="Q87" i="313"/>
  <c r="R123" i="313"/>
  <c r="Q123" i="313"/>
  <c r="Q45" i="313"/>
  <c r="R45" i="313"/>
  <c r="R103" i="313"/>
  <c r="Q103" i="313"/>
  <c r="R36" i="313"/>
  <c r="Q36" i="313"/>
  <c r="O17" i="313"/>
  <c r="AG56" i="313"/>
  <c r="AH44" i="313" s="1"/>
  <c r="Q56" i="313"/>
  <c r="AF56" i="313"/>
  <c r="Q24" i="313"/>
  <c r="R24" i="313"/>
  <c r="R7" i="313"/>
  <c r="Q7" i="313"/>
  <c r="R46" i="313"/>
  <c r="Q46" i="313"/>
  <c r="Q43" i="313"/>
  <c r="AG43" i="313"/>
  <c r="AH31" i="313" s="1"/>
  <c r="AF43" i="313"/>
  <c r="Q11" i="313"/>
  <c r="R11" i="313"/>
  <c r="G1" i="309"/>
  <c r="G2" i="309" s="1"/>
  <c r="AF18" i="309"/>
  <c r="AG19" i="309"/>
  <c r="AG8" i="309"/>
  <c r="P30" i="309"/>
  <c r="AG70" i="309"/>
  <c r="AG90" i="309"/>
  <c r="AG98" i="309"/>
  <c r="AG102" i="309"/>
  <c r="AG117" i="309"/>
  <c r="P136" i="309"/>
  <c r="P142" i="309"/>
  <c r="AG150" i="309"/>
  <c r="AG164" i="309"/>
  <c r="AG32" i="309"/>
  <c r="AF34" i="309"/>
  <c r="P44" i="309"/>
  <c r="AF74" i="309"/>
  <c r="AF135" i="309"/>
  <c r="AF138" i="309"/>
  <c r="AG83" i="309"/>
  <c r="R126" i="309"/>
  <c r="P148" i="309"/>
  <c r="AF164" i="309"/>
  <c r="P17" i="309"/>
  <c r="AG23" i="309"/>
  <c r="P31" i="309"/>
  <c r="P135" i="309"/>
  <c r="O22" i="309"/>
  <c r="AG22" i="309"/>
  <c r="AF22" i="309"/>
  <c r="O35" i="309"/>
  <c r="AG35" i="309"/>
  <c r="AF35" i="309"/>
  <c r="P43" i="309"/>
  <c r="O7" i="309"/>
  <c r="AG7" i="309"/>
  <c r="AF7" i="309"/>
  <c r="O11" i="309"/>
  <c r="AF11" i="309"/>
  <c r="AG11" i="309"/>
  <c r="O37" i="309"/>
  <c r="AG37" i="309"/>
  <c r="AF37" i="309"/>
  <c r="N69" i="309"/>
  <c r="O58" i="309"/>
  <c r="AG58" i="309"/>
  <c r="AF58" i="309"/>
  <c r="O60" i="309"/>
  <c r="AG60" i="309"/>
  <c r="AF60" i="309"/>
  <c r="O62" i="309"/>
  <c r="AG62" i="309"/>
  <c r="AF62" i="309"/>
  <c r="O20" i="309"/>
  <c r="AG20" i="309"/>
  <c r="AF20" i="309"/>
  <c r="O24" i="309"/>
  <c r="AF24" i="309"/>
  <c r="AG24" i="309"/>
  <c r="O44" i="309"/>
  <c r="AG44" i="309"/>
  <c r="N56" i="309"/>
  <c r="AF44" i="309"/>
  <c r="R57" i="309"/>
  <c r="O9" i="309"/>
  <c r="AF9" i="309"/>
  <c r="AG9" i="309"/>
  <c r="O33" i="309"/>
  <c r="AG33" i="309"/>
  <c r="AF33" i="309"/>
  <c r="R49" i="309"/>
  <c r="P56" i="309"/>
  <c r="AG59" i="309"/>
  <c r="AF59" i="309"/>
  <c r="O59" i="309"/>
  <c r="AG61" i="309"/>
  <c r="AF61" i="309"/>
  <c r="O61" i="309"/>
  <c r="O5" i="309"/>
  <c r="O6" i="309"/>
  <c r="O8" i="309"/>
  <c r="O10" i="309"/>
  <c r="O18" i="309"/>
  <c r="O19" i="309"/>
  <c r="O21" i="309"/>
  <c r="O23" i="309"/>
  <c r="AG31" i="309"/>
  <c r="N43" i="309"/>
  <c r="R45" i="309"/>
  <c r="AG45" i="309"/>
  <c r="O46" i="309"/>
  <c r="R47" i="309"/>
  <c r="AG47" i="309"/>
  <c r="O48" i="309"/>
  <c r="Q49" i="309"/>
  <c r="AG49" i="309"/>
  <c r="O50" i="309"/>
  <c r="R51" i="309"/>
  <c r="AG51" i="309"/>
  <c r="P57" i="309"/>
  <c r="P58" i="309"/>
  <c r="P60" i="309"/>
  <c r="P62" i="309"/>
  <c r="P69" i="309"/>
  <c r="O70" i="309"/>
  <c r="AG71" i="309"/>
  <c r="AF72" i="309"/>
  <c r="O72" i="309"/>
  <c r="R73" i="309"/>
  <c r="Q75" i="309"/>
  <c r="AF87" i="309"/>
  <c r="O87" i="309"/>
  <c r="AG87" i="309"/>
  <c r="AF97" i="309"/>
  <c r="O97" i="309"/>
  <c r="AG97" i="309"/>
  <c r="AF101" i="309"/>
  <c r="O101" i="309"/>
  <c r="AG101" i="309"/>
  <c r="O109" i="309"/>
  <c r="AG109" i="309"/>
  <c r="N121" i="309"/>
  <c r="AF109" i="309"/>
  <c r="AF114" i="309"/>
  <c r="O114" i="309"/>
  <c r="AG114" i="309"/>
  <c r="AG18" i="309"/>
  <c r="N30" i="309"/>
  <c r="P5" i="309"/>
  <c r="AF6" i="309"/>
  <c r="AF8" i="309"/>
  <c r="AF10" i="309"/>
  <c r="N17" i="309"/>
  <c r="AF19" i="309"/>
  <c r="AF21" i="309"/>
  <c r="AF23" i="309"/>
  <c r="O32" i="309"/>
  <c r="O34" i="309"/>
  <c r="O36" i="309"/>
  <c r="AF46" i="309"/>
  <c r="AF48" i="309"/>
  <c r="AF50" i="309"/>
  <c r="Q57" i="309"/>
  <c r="AF57" i="309"/>
  <c r="P82" i="309"/>
  <c r="P70" i="309"/>
  <c r="Q71" i="309"/>
  <c r="AF71" i="309"/>
  <c r="AF89" i="309"/>
  <c r="O89" i="309"/>
  <c r="AG89" i="309"/>
  <c r="P108" i="309"/>
  <c r="AF116" i="309"/>
  <c r="O116" i="309"/>
  <c r="AG116" i="309"/>
  <c r="P121" i="309"/>
  <c r="AF5" i="309"/>
  <c r="AG57" i="309"/>
  <c r="AG73" i="309"/>
  <c r="AF73" i="309"/>
  <c r="AG75" i="309"/>
  <c r="AF75" i="309"/>
  <c r="AF83" i="309"/>
  <c r="N95" i="309"/>
  <c r="O83" i="309"/>
  <c r="N108" i="309"/>
  <c r="O96" i="309"/>
  <c r="AG96" i="309"/>
  <c r="AF96" i="309"/>
  <c r="AF99" i="309"/>
  <c r="O99" i="309"/>
  <c r="AG99" i="309"/>
  <c r="AF103" i="309"/>
  <c r="O103" i="309"/>
  <c r="AG103" i="309"/>
  <c r="AF110" i="309"/>
  <c r="O110" i="309"/>
  <c r="AG110" i="309"/>
  <c r="Q124" i="309"/>
  <c r="N82" i="309"/>
  <c r="AF70" i="309"/>
  <c r="AG84" i="309"/>
  <c r="AF84" i="309"/>
  <c r="O84" i="309"/>
  <c r="AF85" i="309"/>
  <c r="O85" i="309"/>
  <c r="AG85" i="309"/>
  <c r="AF112" i="309"/>
  <c r="O112" i="309"/>
  <c r="AG112" i="309"/>
  <c r="O86" i="309"/>
  <c r="O88" i="309"/>
  <c r="O90" i="309"/>
  <c r="P95" i="309"/>
  <c r="O98" i="309"/>
  <c r="O100" i="309"/>
  <c r="O102" i="309"/>
  <c r="O104" i="309"/>
  <c r="O111" i="309"/>
  <c r="O113" i="309"/>
  <c r="O115" i="309"/>
  <c r="O117" i="309"/>
  <c r="N134" i="309"/>
  <c r="AF122" i="309"/>
  <c r="R124" i="309"/>
  <c r="Q126" i="309"/>
  <c r="O141" i="309"/>
  <c r="AG141" i="309"/>
  <c r="AF141" i="309"/>
  <c r="O74" i="309"/>
  <c r="P83" i="309"/>
  <c r="P84" i="309"/>
  <c r="P86" i="309"/>
  <c r="AF86" i="309"/>
  <c r="P88" i="309"/>
  <c r="AF88" i="309"/>
  <c r="P90" i="309"/>
  <c r="AF90" i="309"/>
  <c r="AF98" i="309"/>
  <c r="AF100" i="309"/>
  <c r="AF102" i="309"/>
  <c r="AF104" i="309"/>
  <c r="P111" i="309"/>
  <c r="AF111" i="309"/>
  <c r="P113" i="309"/>
  <c r="AF113" i="309"/>
  <c r="P115" i="309"/>
  <c r="AF115" i="309"/>
  <c r="P117" i="309"/>
  <c r="AF117" i="309"/>
  <c r="O122" i="309"/>
  <c r="AG123" i="309"/>
  <c r="AG125" i="309"/>
  <c r="AF125" i="309"/>
  <c r="AG127" i="309"/>
  <c r="AF127" i="309"/>
  <c r="R128" i="309"/>
  <c r="R129" i="309"/>
  <c r="Q129" i="309"/>
  <c r="AG147" i="309"/>
  <c r="AH135" i="309" s="1"/>
  <c r="AF147" i="309"/>
  <c r="O139" i="309"/>
  <c r="AG139" i="309"/>
  <c r="AF139" i="309"/>
  <c r="O161" i="309"/>
  <c r="N173" i="309"/>
  <c r="AG161" i="309"/>
  <c r="AF161" i="309"/>
  <c r="AG165" i="309"/>
  <c r="AF165" i="309"/>
  <c r="O165" i="309"/>
  <c r="P134" i="309"/>
  <c r="P122" i="309"/>
  <c r="AG122" i="309"/>
  <c r="O123" i="309"/>
  <c r="AF123" i="309"/>
  <c r="AF124" i="309"/>
  <c r="O125" i="309"/>
  <c r="O127" i="309"/>
  <c r="O137" i="309"/>
  <c r="AG137" i="309"/>
  <c r="AF137" i="309"/>
  <c r="O148" i="309"/>
  <c r="AG148" i="309"/>
  <c r="N160" i="309"/>
  <c r="AF148" i="309"/>
  <c r="AG124" i="309"/>
  <c r="Q130" i="309"/>
  <c r="O131" i="309"/>
  <c r="AG131" i="309"/>
  <c r="AF131" i="309"/>
  <c r="O143" i="309"/>
  <c r="AG143" i="309"/>
  <c r="AF143" i="309"/>
  <c r="P147" i="309"/>
  <c r="P160" i="309"/>
  <c r="AG163" i="309"/>
  <c r="AF163" i="309"/>
  <c r="O163" i="309"/>
  <c r="P173" i="309"/>
  <c r="AF129" i="309"/>
  <c r="AG135" i="309"/>
  <c r="R149" i="309"/>
  <c r="AG149" i="309"/>
  <c r="O150" i="309"/>
  <c r="AG129" i="309"/>
  <c r="O135" i="309"/>
  <c r="O136" i="309"/>
  <c r="O138" i="309"/>
  <c r="O140" i="309"/>
  <c r="O142" i="309"/>
  <c r="AF150" i="309"/>
  <c r="AF128" i="309"/>
  <c r="AF130" i="309"/>
  <c r="AF136" i="309"/>
  <c r="O162" i="309"/>
  <c r="O164" i="309"/>
  <c r="O166" i="309"/>
  <c r="Q128" i="309"/>
  <c r="R130" i="309"/>
  <c r="Q5" i="313" l="1"/>
  <c r="R5" i="313"/>
  <c r="Q149" i="314"/>
  <c r="R149" i="314"/>
  <c r="Q149" i="315"/>
  <c r="R149" i="315"/>
  <c r="Q43" i="314"/>
  <c r="AF43" i="314"/>
  <c r="AG43" i="314"/>
  <c r="AH31" i="314" s="1"/>
  <c r="Q87" i="315"/>
  <c r="R87" i="315"/>
  <c r="AF31" i="309"/>
  <c r="O31" i="309"/>
  <c r="O69" i="309"/>
  <c r="R69" i="309" s="1"/>
  <c r="S57" i="309" s="1"/>
  <c r="E2" i="314"/>
  <c r="Q17" i="313"/>
  <c r="E2" i="313"/>
  <c r="R17" i="313"/>
  <c r="S5" i="313" s="1"/>
  <c r="R147" i="313"/>
  <c r="S135" i="313" s="1"/>
  <c r="Q147" i="313"/>
  <c r="Q30" i="315"/>
  <c r="R30" i="315"/>
  <c r="S18" i="315" s="1"/>
  <c r="Q160" i="314"/>
  <c r="R160" i="314"/>
  <c r="S148" i="314" s="1"/>
  <c r="R69" i="315"/>
  <c r="S57" i="315" s="1"/>
  <c r="R30" i="314"/>
  <c r="S18" i="314" s="1"/>
  <c r="Q30" i="314"/>
  <c r="R134" i="315"/>
  <c r="S122" i="315" s="1"/>
  <c r="Q134" i="315"/>
  <c r="R173" i="315"/>
  <c r="S161" i="315" s="1"/>
  <c r="Q173" i="315"/>
  <c r="R147" i="315"/>
  <c r="S135" i="315" s="1"/>
  <c r="Q147" i="315"/>
  <c r="R134" i="313"/>
  <c r="S122" i="313" s="1"/>
  <c r="Q134" i="313"/>
  <c r="Q160" i="313"/>
  <c r="R160" i="313"/>
  <c r="S148" i="313" s="1"/>
  <c r="R121" i="314"/>
  <c r="S109" i="314" s="1"/>
  <c r="Q121" i="314"/>
  <c r="R134" i="314"/>
  <c r="S122" i="314" s="1"/>
  <c r="Q134" i="314"/>
  <c r="E2" i="315"/>
  <c r="R17" i="315"/>
  <c r="S5" i="315" s="1"/>
  <c r="Q17" i="315"/>
  <c r="R30" i="313"/>
  <c r="S18" i="313" s="1"/>
  <c r="Q30" i="313"/>
  <c r="R173" i="314"/>
  <c r="S161" i="314" s="1"/>
  <c r="Q173" i="314"/>
  <c r="R69" i="313"/>
  <c r="S57" i="313" s="1"/>
  <c r="R108" i="314"/>
  <c r="S96" i="314" s="1"/>
  <c r="Q108" i="314"/>
  <c r="Q121" i="315"/>
  <c r="R121" i="315"/>
  <c r="S109" i="315" s="1"/>
  <c r="R173" i="313"/>
  <c r="S161" i="313" s="1"/>
  <c r="Q95" i="314"/>
  <c r="R95" i="314"/>
  <c r="S83" i="314" s="1"/>
  <c r="Q160" i="315"/>
  <c r="R160" i="315"/>
  <c r="S148" i="315" s="1"/>
  <c r="Q95" i="315"/>
  <c r="R95" i="315"/>
  <c r="S83" i="315" s="1"/>
  <c r="R95" i="313"/>
  <c r="S83" i="313" s="1"/>
  <c r="Q95" i="313"/>
  <c r="R147" i="314"/>
  <c r="S135" i="314" s="1"/>
  <c r="Q147" i="314"/>
  <c r="Q108" i="315"/>
  <c r="R108" i="315"/>
  <c r="S96" i="315" s="1"/>
  <c r="Q47" i="309"/>
  <c r="Q45" i="309"/>
  <c r="Q149" i="309"/>
  <c r="O173" i="309"/>
  <c r="R161" i="309"/>
  <c r="Q161" i="309"/>
  <c r="R141" i="309"/>
  <c r="Q141" i="309"/>
  <c r="R111" i="309"/>
  <c r="Q111" i="309"/>
  <c r="O121" i="309"/>
  <c r="R109" i="309"/>
  <c r="Q109" i="309"/>
  <c r="R6" i="309"/>
  <c r="Q6" i="309"/>
  <c r="R35" i="309"/>
  <c r="Q35" i="309"/>
  <c r="Q138" i="309"/>
  <c r="R138" i="309"/>
  <c r="R150" i="309"/>
  <c r="Q150" i="309"/>
  <c r="R143" i="309"/>
  <c r="Q143" i="309"/>
  <c r="R137" i="309"/>
  <c r="Q137" i="309"/>
  <c r="R117" i="309"/>
  <c r="Q117" i="309"/>
  <c r="Q136" i="309"/>
  <c r="R136" i="309"/>
  <c r="O160" i="309"/>
  <c r="R148" i="309"/>
  <c r="Q148" i="309"/>
  <c r="Q127" i="309"/>
  <c r="R127" i="309"/>
  <c r="Q123" i="309"/>
  <c r="R123" i="309"/>
  <c r="R165" i="309"/>
  <c r="Q165" i="309"/>
  <c r="R115" i="309"/>
  <c r="Q115" i="309"/>
  <c r="R104" i="309"/>
  <c r="Q104" i="309"/>
  <c r="R86" i="309"/>
  <c r="Q86" i="309"/>
  <c r="AG95" i="309"/>
  <c r="AH83" i="309" s="1"/>
  <c r="AF95" i="309"/>
  <c r="Q34" i="309"/>
  <c r="R34" i="309"/>
  <c r="AG121" i="309"/>
  <c r="AH109" i="309" s="1"/>
  <c r="AF121" i="309"/>
  <c r="R101" i="309"/>
  <c r="Q101" i="309"/>
  <c r="R72" i="309"/>
  <c r="Q72" i="309"/>
  <c r="Q21" i="309"/>
  <c r="R21" i="309"/>
  <c r="Q8" i="309"/>
  <c r="R8" i="309"/>
  <c r="Q73" i="309"/>
  <c r="R9" i="309"/>
  <c r="Q9" i="309"/>
  <c r="R75" i="309"/>
  <c r="R62" i="309"/>
  <c r="Q62" i="309"/>
  <c r="Q51" i="309"/>
  <c r="R164" i="309"/>
  <c r="Q164" i="309"/>
  <c r="R163" i="309"/>
  <c r="Q163" i="309"/>
  <c r="AG160" i="309"/>
  <c r="AH148" i="309" s="1"/>
  <c r="AF160" i="309"/>
  <c r="R74" i="309"/>
  <c r="Q74" i="309"/>
  <c r="R100" i="309"/>
  <c r="Q100" i="309"/>
  <c r="AG108" i="309"/>
  <c r="AH96" i="309" s="1"/>
  <c r="AF108" i="309"/>
  <c r="R166" i="309"/>
  <c r="Q166" i="309"/>
  <c r="Q142" i="309"/>
  <c r="R142" i="309"/>
  <c r="Q135" i="309"/>
  <c r="O147" i="309"/>
  <c r="R135" i="309"/>
  <c r="Q125" i="309"/>
  <c r="R125" i="309"/>
  <c r="AG173" i="309"/>
  <c r="AH161" i="309" s="1"/>
  <c r="AF173" i="309"/>
  <c r="R139" i="309"/>
  <c r="Q139" i="309"/>
  <c r="Q122" i="309"/>
  <c r="O134" i="309"/>
  <c r="R122" i="309"/>
  <c r="R113" i="309"/>
  <c r="Q113" i="309"/>
  <c r="R102" i="309"/>
  <c r="Q102" i="309"/>
  <c r="R85" i="309"/>
  <c r="Q85" i="309"/>
  <c r="R99" i="309"/>
  <c r="Q99" i="309"/>
  <c r="R96" i="309"/>
  <c r="O108" i="309"/>
  <c r="Q96" i="309"/>
  <c r="Q32" i="309"/>
  <c r="R32" i="309"/>
  <c r="AF17" i="309"/>
  <c r="AG17" i="309"/>
  <c r="AH5" i="309" s="1"/>
  <c r="R114" i="309"/>
  <c r="Q114" i="309"/>
  <c r="R46" i="309"/>
  <c r="Q46" i="309"/>
  <c r="Q43" i="309"/>
  <c r="AG43" i="309"/>
  <c r="AH31" i="309" s="1"/>
  <c r="AF43" i="309"/>
  <c r="Q19" i="309"/>
  <c r="R19" i="309"/>
  <c r="Q59" i="309"/>
  <c r="R59" i="309"/>
  <c r="R33" i="309"/>
  <c r="Q33" i="309"/>
  <c r="O56" i="309"/>
  <c r="R56" i="309" s="1"/>
  <c r="S44" i="309" s="1"/>
  <c r="R44" i="309"/>
  <c r="Q44" i="309"/>
  <c r="R7" i="309"/>
  <c r="Q7" i="309"/>
  <c r="R22" i="309"/>
  <c r="Q22" i="309"/>
  <c r="R112" i="309"/>
  <c r="Q112" i="309"/>
  <c r="R48" i="309"/>
  <c r="Q48" i="309"/>
  <c r="Q61" i="309"/>
  <c r="R61" i="309"/>
  <c r="R58" i="309"/>
  <c r="Q58" i="309"/>
  <c r="R37" i="309"/>
  <c r="Q37" i="309"/>
  <c r="Q140" i="309"/>
  <c r="R140" i="309"/>
  <c r="AG134" i="309"/>
  <c r="AH122" i="309" s="1"/>
  <c r="AF134" i="309"/>
  <c r="R90" i="309"/>
  <c r="Q90" i="309"/>
  <c r="R103" i="309"/>
  <c r="Q103" i="309"/>
  <c r="AG30" i="309"/>
  <c r="AH18" i="309" s="1"/>
  <c r="AF30" i="309"/>
  <c r="Q18" i="309"/>
  <c r="R18" i="309"/>
  <c r="O30" i="309"/>
  <c r="R20" i="309"/>
  <c r="Q20" i="309"/>
  <c r="R11" i="309"/>
  <c r="Q11" i="309"/>
  <c r="R162" i="309"/>
  <c r="Q162" i="309"/>
  <c r="R131" i="309"/>
  <c r="Q131" i="309"/>
  <c r="R98" i="309"/>
  <c r="Q98" i="309"/>
  <c r="R88" i="309"/>
  <c r="Q88" i="309"/>
  <c r="Q84" i="309"/>
  <c r="R84" i="309"/>
  <c r="Q82" i="309"/>
  <c r="AG82" i="309"/>
  <c r="AH70" i="309" s="1"/>
  <c r="AF82" i="309"/>
  <c r="R110" i="309"/>
  <c r="Q110" i="309"/>
  <c r="Q83" i="309"/>
  <c r="O95" i="309"/>
  <c r="R83" i="309"/>
  <c r="R116" i="309"/>
  <c r="Q116" i="309"/>
  <c r="R89" i="309"/>
  <c r="Q89" i="309"/>
  <c r="Q36" i="309"/>
  <c r="R36" i="309"/>
  <c r="R97" i="309"/>
  <c r="Q97" i="309"/>
  <c r="R87" i="309"/>
  <c r="Q87" i="309"/>
  <c r="Q70" i="309"/>
  <c r="O82" i="309"/>
  <c r="R82" i="309" s="1"/>
  <c r="S70" i="309" s="1"/>
  <c r="R70" i="309"/>
  <c r="R50" i="309"/>
  <c r="Q50" i="309"/>
  <c r="Q23" i="309"/>
  <c r="R23" i="309"/>
  <c r="Q10" i="309"/>
  <c r="R10" i="309"/>
  <c r="R5" i="309"/>
  <c r="O17" i="309"/>
  <c r="Q5" i="309"/>
  <c r="AG56" i="309"/>
  <c r="AH44" i="309" s="1"/>
  <c r="Q56" i="309"/>
  <c r="AF56" i="309"/>
  <c r="O43" i="309"/>
  <c r="R43" i="309" s="1"/>
  <c r="S31" i="309" s="1"/>
  <c r="R24" i="309"/>
  <c r="Q24" i="309"/>
  <c r="R60" i="309"/>
  <c r="Q60" i="309"/>
  <c r="AG69" i="309"/>
  <c r="AH57" i="309" s="1"/>
  <c r="Q69" i="309"/>
  <c r="AF69" i="309"/>
  <c r="Q31" i="309" l="1"/>
  <c r="R31" i="309"/>
  <c r="R108" i="309"/>
  <c r="S96" i="309" s="1"/>
  <c r="Q108" i="309"/>
  <c r="E2" i="309"/>
  <c r="R17" i="309"/>
  <c r="S5" i="309" s="1"/>
  <c r="Q17" i="309"/>
  <c r="R173" i="309"/>
  <c r="S161" i="309" s="1"/>
  <c r="Q173" i="309"/>
  <c r="Q160" i="309"/>
  <c r="R160" i="309"/>
  <c r="S148" i="309" s="1"/>
  <c r="R121" i="309"/>
  <c r="S109" i="309" s="1"/>
  <c r="Q121" i="309"/>
  <c r="Q95" i="309"/>
  <c r="R95" i="309"/>
  <c r="S83" i="309" s="1"/>
  <c r="R134" i="309"/>
  <c r="S122" i="309" s="1"/>
  <c r="Q134" i="309"/>
  <c r="R147" i="309"/>
  <c r="S135" i="309" s="1"/>
  <c r="Q147" i="309"/>
  <c r="Q30" i="309"/>
  <c r="R30" i="309"/>
  <c r="S18" i="309" s="1"/>
  <c r="J124" i="308" l="1"/>
  <c r="H123" i="308"/>
  <c r="H122" i="308"/>
  <c r="H121" i="308"/>
  <c r="H120" i="308"/>
  <c r="H119" i="308"/>
  <c r="P118" i="308"/>
  <c r="K118" i="308" s="1"/>
  <c r="L118" i="308" s="1"/>
  <c r="H118" i="308"/>
  <c r="P117" i="308"/>
  <c r="H117" i="308"/>
  <c r="P116" i="308"/>
  <c r="K116" i="308" s="1"/>
  <c r="L116" i="308" s="1"/>
  <c r="H116" i="308"/>
  <c r="P115" i="308"/>
  <c r="H115" i="308"/>
  <c r="P114" i="308"/>
  <c r="K114" i="308" s="1"/>
  <c r="L114" i="308" s="1"/>
  <c r="H114" i="308"/>
  <c r="P113" i="308"/>
  <c r="K113" i="308"/>
  <c r="L113" i="308" s="1"/>
  <c r="H113" i="308"/>
  <c r="P112" i="308"/>
  <c r="K112" i="308" s="1"/>
  <c r="H112" i="308"/>
  <c r="J111" i="308"/>
  <c r="H110" i="308"/>
  <c r="H109" i="308"/>
  <c r="H108" i="308"/>
  <c r="H107" i="308"/>
  <c r="H106" i="308"/>
  <c r="P105" i="308"/>
  <c r="K105" i="308" s="1"/>
  <c r="L105" i="308" s="1"/>
  <c r="H105" i="308"/>
  <c r="P104" i="308"/>
  <c r="K104" i="308"/>
  <c r="L104" i="308" s="1"/>
  <c r="H104" i="308"/>
  <c r="P103" i="308"/>
  <c r="K103" i="308" s="1"/>
  <c r="L103" i="308" s="1"/>
  <c r="H103" i="308"/>
  <c r="P102" i="308"/>
  <c r="K102" i="308"/>
  <c r="L102" i="308" s="1"/>
  <c r="H102" i="308"/>
  <c r="P101" i="308"/>
  <c r="K101" i="308" s="1"/>
  <c r="H101" i="308"/>
  <c r="J100" i="308"/>
  <c r="H99" i="308"/>
  <c r="H98" i="308"/>
  <c r="H97" i="308"/>
  <c r="H96" i="308"/>
  <c r="H95" i="308"/>
  <c r="H94" i="308"/>
  <c r="P93" i="308"/>
  <c r="K93" i="308" s="1"/>
  <c r="L93" i="308" s="1"/>
  <c r="H93" i="308"/>
  <c r="P92" i="308"/>
  <c r="K92" i="308"/>
  <c r="K100" i="308" s="1"/>
  <c r="H92" i="308"/>
  <c r="J91" i="308"/>
  <c r="H90" i="308"/>
  <c r="H89" i="308"/>
  <c r="H88" i="308"/>
  <c r="H87" i="308"/>
  <c r="H86" i="308"/>
  <c r="H85" i="308"/>
  <c r="H84" i="308"/>
  <c r="H83" i="308"/>
  <c r="P82" i="308"/>
  <c r="K82" i="308" s="1"/>
  <c r="H82" i="308"/>
  <c r="L81" i="308"/>
  <c r="K81" i="308"/>
  <c r="J81" i="308"/>
  <c r="H80" i="308"/>
  <c r="H79" i="308"/>
  <c r="H78" i="308"/>
  <c r="H77" i="308"/>
  <c r="H76" i="308"/>
  <c r="J75" i="308"/>
  <c r="H74" i="308"/>
  <c r="H73" i="308"/>
  <c r="P72" i="308"/>
  <c r="K72" i="308"/>
  <c r="H72" i="308"/>
  <c r="P71" i="308"/>
  <c r="K71" i="308" s="1"/>
  <c r="L71" i="308" s="1"/>
  <c r="H71" i="308"/>
  <c r="P70" i="308"/>
  <c r="K70" i="308"/>
  <c r="H70" i="308"/>
  <c r="P69" i="308"/>
  <c r="K69" i="308" s="1"/>
  <c r="L69" i="308" s="1"/>
  <c r="H69" i="308"/>
  <c r="P68" i="308"/>
  <c r="K68" i="308"/>
  <c r="H68" i="308"/>
  <c r="P67" i="308"/>
  <c r="K67" i="308" s="1"/>
  <c r="L67" i="308" s="1"/>
  <c r="H67" i="308"/>
  <c r="P66" i="308"/>
  <c r="K66" i="308"/>
  <c r="H66" i="308"/>
  <c r="P65" i="308"/>
  <c r="K65" i="308" s="1"/>
  <c r="H65" i="308"/>
  <c r="J64" i="308"/>
  <c r="H63" i="308"/>
  <c r="H62" i="308"/>
  <c r="H61" i="308"/>
  <c r="H60" i="308"/>
  <c r="H59" i="308"/>
  <c r="H58" i="308"/>
  <c r="P57" i="308"/>
  <c r="K57" i="308" s="1"/>
  <c r="L57" i="308" s="1"/>
  <c r="H57" i="308"/>
  <c r="P56" i="308"/>
  <c r="K56" i="308"/>
  <c r="H56" i="308"/>
  <c r="P55" i="308"/>
  <c r="K55" i="308" s="1"/>
  <c r="L55" i="308" s="1"/>
  <c r="H55" i="308"/>
  <c r="P54" i="308"/>
  <c r="K54" i="308"/>
  <c r="H54" i="308"/>
  <c r="P53" i="308"/>
  <c r="K53" i="308" s="1"/>
  <c r="L53" i="308" s="1"/>
  <c r="H53" i="308"/>
  <c r="P52" i="308"/>
  <c r="K52" i="308"/>
  <c r="K64" i="308" s="1"/>
  <c r="H52" i="308"/>
  <c r="H50" i="308"/>
  <c r="H49" i="308"/>
  <c r="H47" i="308"/>
  <c r="H46" i="308"/>
  <c r="H45" i="308"/>
  <c r="H44" i="308"/>
  <c r="H43" i="308"/>
  <c r="H42" i="308"/>
  <c r="H41" i="308"/>
  <c r="H40" i="308"/>
  <c r="H39" i="308"/>
  <c r="J38" i="308"/>
  <c r="H37" i="308"/>
  <c r="H36" i="308"/>
  <c r="H35" i="308"/>
  <c r="H34" i="308"/>
  <c r="H33" i="308"/>
  <c r="H32" i="308"/>
  <c r="H31" i="308"/>
  <c r="H30" i="308"/>
  <c r="H29" i="308"/>
  <c r="P28" i="308"/>
  <c r="K28" i="308" s="1"/>
  <c r="L28" i="308" s="1"/>
  <c r="H28" i="308"/>
  <c r="P27" i="308"/>
  <c r="K27" i="308"/>
  <c r="L27" i="308" s="1"/>
  <c r="H27" i="308"/>
  <c r="P26" i="308"/>
  <c r="K26" i="308" s="1"/>
  <c r="L26" i="308" s="1"/>
  <c r="H26" i="308"/>
  <c r="P25" i="308"/>
  <c r="K25" i="308"/>
  <c r="H25" i="308"/>
  <c r="J24" i="308"/>
  <c r="H23" i="308"/>
  <c r="H22" i="308"/>
  <c r="H21" i="308"/>
  <c r="H20" i="308"/>
  <c r="H19" i="308"/>
  <c r="H18" i="308"/>
  <c r="P17" i="308"/>
  <c r="K17" i="308"/>
  <c r="K24" i="308" s="1"/>
  <c r="H17" i="308"/>
  <c r="J16" i="308"/>
  <c r="H15" i="308"/>
  <c r="H14" i="308"/>
  <c r="H13" i="308"/>
  <c r="H12" i="308"/>
  <c r="H11" i="308"/>
  <c r="P10" i="308"/>
  <c r="K10" i="308"/>
  <c r="H10" i="308"/>
  <c r="P9" i="308"/>
  <c r="K9" i="308" s="1"/>
  <c r="L9" i="308" s="1"/>
  <c r="H9" i="308"/>
  <c r="P8" i="308"/>
  <c r="K8" i="308"/>
  <c r="H8" i="308"/>
  <c r="P7" i="308"/>
  <c r="K7" i="308" s="1"/>
  <c r="L7" i="308" s="1"/>
  <c r="H7" i="308"/>
  <c r="P6" i="308"/>
  <c r="K6" i="308"/>
  <c r="L6" i="308" s="1"/>
  <c r="H6" i="308"/>
  <c r="P5" i="308"/>
  <c r="K5" i="308" s="1"/>
  <c r="H5" i="308"/>
  <c r="I2" i="308"/>
  <c r="I1" i="308"/>
  <c r="E1" i="308"/>
  <c r="M32" i="307"/>
  <c r="L32" i="307"/>
  <c r="K32" i="307"/>
  <c r="J32" i="307"/>
  <c r="I32" i="307"/>
  <c r="H32" i="307"/>
  <c r="G32" i="307"/>
  <c r="J8" i="307" s="1"/>
  <c r="F32" i="307"/>
  <c r="E32" i="307"/>
  <c r="D32" i="307"/>
  <c r="Q15" i="307"/>
  <c r="P15" i="307"/>
  <c r="O15" i="307"/>
  <c r="N15" i="307"/>
  <c r="M15" i="307"/>
  <c r="L15" i="307"/>
  <c r="K15" i="307"/>
  <c r="J15" i="307"/>
  <c r="I15" i="307"/>
  <c r="H15" i="307"/>
  <c r="G15" i="307"/>
  <c r="F15" i="307"/>
  <c r="E15" i="307"/>
  <c r="D15" i="307"/>
  <c r="H8" i="307" s="1"/>
  <c r="L7" i="307"/>
  <c r="J7" i="307"/>
  <c r="H7" i="307"/>
  <c r="F7" i="307"/>
  <c r="L6" i="307"/>
  <c r="J6" i="307"/>
  <c r="H6" i="307"/>
  <c r="F6" i="307"/>
  <c r="L72" i="308" l="1"/>
  <c r="L70" i="308"/>
  <c r="L68" i="308"/>
  <c r="L66" i="308"/>
  <c r="L56" i="308"/>
  <c r="L54" i="308"/>
  <c r="L52" i="308"/>
  <c r="K117" i="308"/>
  <c r="L117" i="308" s="1"/>
  <c r="K115" i="308"/>
  <c r="L115" i="308" s="1"/>
  <c r="L10" i="308"/>
  <c r="L8" i="308"/>
  <c r="L8" i="307"/>
  <c r="F8" i="307"/>
  <c r="K16" i="308"/>
  <c r="L5" i="308"/>
  <c r="L16" i="308" s="1"/>
  <c r="K75" i="308"/>
  <c r="L65" i="308"/>
  <c r="L75" i="308" s="1"/>
  <c r="L82" i="308"/>
  <c r="L91" i="308" s="1"/>
  <c r="K91" i="308"/>
  <c r="K38" i="308"/>
  <c r="L64" i="308"/>
  <c r="G1" i="308"/>
  <c r="G2" i="308" s="1"/>
  <c r="L101" i="308"/>
  <c r="L111" i="308" s="1"/>
  <c r="K111" i="308"/>
  <c r="L112" i="308"/>
  <c r="L124" i="308" s="1"/>
  <c r="K124" i="308"/>
  <c r="L92" i="308"/>
  <c r="L100" i="308" s="1"/>
  <c r="L17" i="308"/>
  <c r="L24" i="308" s="1"/>
  <c r="L25" i="308"/>
  <c r="L38" i="308" s="1"/>
  <c r="J124" i="306"/>
  <c r="H123" i="306"/>
  <c r="H122" i="306"/>
  <c r="H121" i="306"/>
  <c r="H120" i="306"/>
  <c r="H119" i="306"/>
  <c r="P118" i="306"/>
  <c r="K118" i="306" s="1"/>
  <c r="L118" i="306" s="1"/>
  <c r="H118" i="306"/>
  <c r="P117" i="306"/>
  <c r="K117" i="306"/>
  <c r="L117" i="306" s="1"/>
  <c r="H117" i="306"/>
  <c r="P116" i="306"/>
  <c r="K116" i="306" s="1"/>
  <c r="L116" i="306" s="1"/>
  <c r="H116" i="306"/>
  <c r="P115" i="306"/>
  <c r="K115" i="306"/>
  <c r="L115" i="306" s="1"/>
  <c r="H115" i="306"/>
  <c r="P114" i="306"/>
  <c r="K114" i="306" s="1"/>
  <c r="L114" i="306" s="1"/>
  <c r="H114" i="306"/>
  <c r="P113" i="306"/>
  <c r="K113" i="306"/>
  <c r="L113" i="306" s="1"/>
  <c r="H113" i="306"/>
  <c r="P112" i="306"/>
  <c r="K112" i="306" s="1"/>
  <c r="H112" i="306"/>
  <c r="J111" i="306"/>
  <c r="H110" i="306"/>
  <c r="H109" i="306"/>
  <c r="H108" i="306"/>
  <c r="H107" i="306"/>
  <c r="H106" i="306"/>
  <c r="P105" i="306"/>
  <c r="K105" i="306" s="1"/>
  <c r="L105" i="306" s="1"/>
  <c r="H105" i="306"/>
  <c r="P104" i="306"/>
  <c r="H104" i="306"/>
  <c r="P103" i="306"/>
  <c r="K103" i="306" s="1"/>
  <c r="L103" i="306" s="1"/>
  <c r="H103" i="306"/>
  <c r="P102" i="306"/>
  <c r="K102" i="306"/>
  <c r="L102" i="306" s="1"/>
  <c r="H102" i="306"/>
  <c r="P101" i="306"/>
  <c r="K101" i="306" s="1"/>
  <c r="H101" i="306"/>
  <c r="J100" i="306"/>
  <c r="H99" i="306"/>
  <c r="H98" i="306"/>
  <c r="H97" i="306"/>
  <c r="H96" i="306"/>
  <c r="H95" i="306"/>
  <c r="H94" i="306"/>
  <c r="P93" i="306"/>
  <c r="K93" i="306" s="1"/>
  <c r="L93" i="306" s="1"/>
  <c r="H93" i="306"/>
  <c r="P92" i="306"/>
  <c r="K92" i="306"/>
  <c r="K100" i="306" s="1"/>
  <c r="H92" i="306"/>
  <c r="J91" i="306"/>
  <c r="H90" i="306"/>
  <c r="H89" i="306"/>
  <c r="H88" i="306"/>
  <c r="H87" i="306"/>
  <c r="H86" i="306"/>
  <c r="H85" i="306"/>
  <c r="H84" i="306"/>
  <c r="H83" i="306"/>
  <c r="P82" i="306"/>
  <c r="K82" i="306" s="1"/>
  <c r="H82" i="306"/>
  <c r="L81" i="306"/>
  <c r="K81" i="306"/>
  <c r="J81" i="306"/>
  <c r="H80" i="306"/>
  <c r="H79" i="306"/>
  <c r="H78" i="306"/>
  <c r="H77" i="306"/>
  <c r="H76" i="306"/>
  <c r="J75" i="306"/>
  <c r="H74" i="306"/>
  <c r="H73" i="306"/>
  <c r="P72" i="306"/>
  <c r="K72" i="306"/>
  <c r="H72" i="306"/>
  <c r="P71" i="306"/>
  <c r="K71" i="306" s="1"/>
  <c r="L71" i="306" s="1"/>
  <c r="H71" i="306"/>
  <c r="P70" i="306"/>
  <c r="K70" i="306"/>
  <c r="H70" i="306"/>
  <c r="P69" i="306"/>
  <c r="K69" i="306" s="1"/>
  <c r="L69" i="306" s="1"/>
  <c r="H69" i="306"/>
  <c r="P68" i="306"/>
  <c r="K68" i="306"/>
  <c r="H68" i="306"/>
  <c r="P67" i="306"/>
  <c r="K67" i="306" s="1"/>
  <c r="L67" i="306" s="1"/>
  <c r="H67" i="306"/>
  <c r="P66" i="306"/>
  <c r="K66" i="306"/>
  <c r="H66" i="306"/>
  <c r="P65" i="306"/>
  <c r="K65" i="306" s="1"/>
  <c r="H65" i="306"/>
  <c r="J64" i="306"/>
  <c r="H63" i="306"/>
  <c r="H62" i="306"/>
  <c r="H61" i="306"/>
  <c r="H60" i="306"/>
  <c r="H59" i="306"/>
  <c r="H58" i="306"/>
  <c r="P57" i="306"/>
  <c r="K57" i="306" s="1"/>
  <c r="L57" i="306" s="1"/>
  <c r="H57" i="306"/>
  <c r="P56" i="306"/>
  <c r="K56" i="306"/>
  <c r="H56" i="306"/>
  <c r="P55" i="306"/>
  <c r="K55" i="306" s="1"/>
  <c r="L55" i="306" s="1"/>
  <c r="H55" i="306"/>
  <c r="P54" i="306"/>
  <c r="K54" i="306"/>
  <c r="H54" i="306"/>
  <c r="P53" i="306"/>
  <c r="K53" i="306" s="1"/>
  <c r="H53" i="306"/>
  <c r="P52" i="306"/>
  <c r="K52" i="306"/>
  <c r="H52" i="306"/>
  <c r="H50" i="306"/>
  <c r="H49" i="306"/>
  <c r="H47" i="306"/>
  <c r="H46" i="306"/>
  <c r="H45" i="306"/>
  <c r="H44" i="306"/>
  <c r="H43" i="306"/>
  <c r="H42" i="306"/>
  <c r="H41" i="306"/>
  <c r="H40" i="306"/>
  <c r="H39" i="306"/>
  <c r="J38" i="306"/>
  <c r="H37" i="306"/>
  <c r="H36" i="306"/>
  <c r="H35" i="306"/>
  <c r="H34" i="306"/>
  <c r="H33" i="306"/>
  <c r="H32" i="306"/>
  <c r="H31" i="306"/>
  <c r="H30" i="306"/>
  <c r="H29" i="306"/>
  <c r="P28" i="306"/>
  <c r="K28" i="306" s="1"/>
  <c r="L28" i="306" s="1"/>
  <c r="H28" i="306"/>
  <c r="P27" i="306"/>
  <c r="K27" i="306"/>
  <c r="L27" i="306" s="1"/>
  <c r="H27" i="306"/>
  <c r="P26" i="306"/>
  <c r="K26" i="306" s="1"/>
  <c r="L26" i="306" s="1"/>
  <c r="H26" i="306"/>
  <c r="P25" i="306"/>
  <c r="K25" i="306"/>
  <c r="K38" i="306" s="1"/>
  <c r="H25" i="306"/>
  <c r="J24" i="306"/>
  <c r="H23" i="306"/>
  <c r="H22" i="306"/>
  <c r="H21" i="306"/>
  <c r="H20" i="306"/>
  <c r="H19" i="306"/>
  <c r="H18" i="306"/>
  <c r="P17" i="306"/>
  <c r="K17" i="306"/>
  <c r="K24" i="306" s="1"/>
  <c r="H17" i="306"/>
  <c r="J16" i="306"/>
  <c r="H15" i="306"/>
  <c r="H14" i="306"/>
  <c r="H13" i="306"/>
  <c r="H12" i="306"/>
  <c r="H11" i="306"/>
  <c r="P10" i="306"/>
  <c r="K10" i="306"/>
  <c r="H10" i="306"/>
  <c r="P9" i="306"/>
  <c r="K9" i="306" s="1"/>
  <c r="L9" i="306" s="1"/>
  <c r="H9" i="306"/>
  <c r="P8" i="306"/>
  <c r="K8" i="306"/>
  <c r="H8" i="306"/>
  <c r="P7" i="306"/>
  <c r="K7" i="306" s="1"/>
  <c r="L7" i="306" s="1"/>
  <c r="H7" i="306"/>
  <c r="P6" i="306"/>
  <c r="K6" i="306"/>
  <c r="H6" i="306"/>
  <c r="P5" i="306"/>
  <c r="K5" i="306" s="1"/>
  <c r="H5" i="306"/>
  <c r="I2" i="306"/>
  <c r="E1" i="306"/>
  <c r="J124" i="305"/>
  <c r="H123" i="305"/>
  <c r="H122" i="305"/>
  <c r="H121" i="305"/>
  <c r="H120" i="305"/>
  <c r="H119" i="305"/>
  <c r="P118" i="305"/>
  <c r="K118" i="305" s="1"/>
  <c r="L118" i="305" s="1"/>
  <c r="H118" i="305"/>
  <c r="P117" i="305"/>
  <c r="K117" i="305"/>
  <c r="L117" i="305" s="1"/>
  <c r="H117" i="305"/>
  <c r="P116" i="305"/>
  <c r="K116" i="305" s="1"/>
  <c r="L116" i="305" s="1"/>
  <c r="H116" i="305"/>
  <c r="P115" i="305"/>
  <c r="K115" i="305"/>
  <c r="L115" i="305" s="1"/>
  <c r="H115" i="305"/>
  <c r="P114" i="305"/>
  <c r="K114" i="305" s="1"/>
  <c r="L114" i="305" s="1"/>
  <c r="H114" i="305"/>
  <c r="P113" i="305"/>
  <c r="K113" i="305"/>
  <c r="L113" i="305" s="1"/>
  <c r="H113" i="305"/>
  <c r="P112" i="305"/>
  <c r="K112" i="305" s="1"/>
  <c r="H112" i="305"/>
  <c r="J111" i="305"/>
  <c r="H110" i="305"/>
  <c r="H109" i="305"/>
  <c r="H108" i="305"/>
  <c r="H107" i="305"/>
  <c r="H106" i="305"/>
  <c r="P105" i="305"/>
  <c r="K105" i="305" s="1"/>
  <c r="L105" i="305" s="1"/>
  <c r="H105" i="305"/>
  <c r="P104" i="305"/>
  <c r="K104" i="305"/>
  <c r="H104" i="305"/>
  <c r="P103" i="305"/>
  <c r="K103" i="305" s="1"/>
  <c r="L103" i="305" s="1"/>
  <c r="H103" i="305"/>
  <c r="P102" i="305"/>
  <c r="K102" i="305"/>
  <c r="H102" i="305"/>
  <c r="P101" i="305"/>
  <c r="K101" i="305" s="1"/>
  <c r="H101" i="305"/>
  <c r="J100" i="305"/>
  <c r="H99" i="305"/>
  <c r="H98" i="305"/>
  <c r="H97" i="305"/>
  <c r="H96" i="305"/>
  <c r="H95" i="305"/>
  <c r="H94" i="305"/>
  <c r="P93" i="305"/>
  <c r="K93" i="305" s="1"/>
  <c r="L93" i="305" s="1"/>
  <c r="H93" i="305"/>
  <c r="P92" i="305"/>
  <c r="K92" i="305"/>
  <c r="K100" i="305" s="1"/>
  <c r="H92" i="305"/>
  <c r="J91" i="305"/>
  <c r="H90" i="305"/>
  <c r="H89" i="305"/>
  <c r="H88" i="305"/>
  <c r="H87" i="305"/>
  <c r="H86" i="305"/>
  <c r="H85" i="305"/>
  <c r="H84" i="305"/>
  <c r="H83" i="305"/>
  <c r="P82" i="305"/>
  <c r="K82" i="305" s="1"/>
  <c r="H82" i="305"/>
  <c r="L81" i="305"/>
  <c r="K81" i="305"/>
  <c r="J81" i="305"/>
  <c r="H80" i="305"/>
  <c r="H79" i="305"/>
  <c r="H78" i="305"/>
  <c r="H77" i="305"/>
  <c r="H76" i="305"/>
  <c r="J75" i="305"/>
  <c r="H74" i="305"/>
  <c r="H73" i="305"/>
  <c r="P72" i="305"/>
  <c r="K72" i="305"/>
  <c r="H72" i="305"/>
  <c r="P71" i="305"/>
  <c r="K71" i="305" s="1"/>
  <c r="L71" i="305" s="1"/>
  <c r="H71" i="305"/>
  <c r="P70" i="305"/>
  <c r="K70" i="305"/>
  <c r="L70" i="305" s="1"/>
  <c r="H70" i="305"/>
  <c r="P69" i="305"/>
  <c r="K69" i="305" s="1"/>
  <c r="L69" i="305" s="1"/>
  <c r="H69" i="305"/>
  <c r="P68" i="305"/>
  <c r="K68" i="305"/>
  <c r="H68" i="305"/>
  <c r="P67" i="305"/>
  <c r="K67" i="305" s="1"/>
  <c r="L67" i="305" s="1"/>
  <c r="H67" i="305"/>
  <c r="P66" i="305"/>
  <c r="K66" i="305"/>
  <c r="L66" i="305" s="1"/>
  <c r="H66" i="305"/>
  <c r="P65" i="305"/>
  <c r="K65" i="305" s="1"/>
  <c r="H65" i="305"/>
  <c r="J64" i="305"/>
  <c r="H63" i="305"/>
  <c r="H62" i="305"/>
  <c r="H61" i="305"/>
  <c r="H60" i="305"/>
  <c r="H59" i="305"/>
  <c r="H58" i="305"/>
  <c r="P57" i="305"/>
  <c r="K57" i="305" s="1"/>
  <c r="L57" i="305"/>
  <c r="H57" i="305"/>
  <c r="P56" i="305"/>
  <c r="K56" i="305"/>
  <c r="H56" i="305"/>
  <c r="P55" i="305"/>
  <c r="K55" i="305" s="1"/>
  <c r="L55" i="305"/>
  <c r="H55" i="305"/>
  <c r="P54" i="305"/>
  <c r="K54" i="305"/>
  <c r="H54" i="305"/>
  <c r="P53" i="305"/>
  <c r="K53" i="305" s="1"/>
  <c r="L53" i="305" s="1"/>
  <c r="H53" i="305"/>
  <c r="P52" i="305"/>
  <c r="K52" i="305"/>
  <c r="L52" i="305" s="1"/>
  <c r="H52" i="305"/>
  <c r="H50" i="305"/>
  <c r="H49" i="305"/>
  <c r="H47" i="305"/>
  <c r="H46" i="305"/>
  <c r="H45" i="305"/>
  <c r="H44" i="305"/>
  <c r="H43" i="305"/>
  <c r="H42" i="305"/>
  <c r="H41" i="305"/>
  <c r="H40" i="305"/>
  <c r="H39" i="305"/>
  <c r="J38" i="305"/>
  <c r="H37" i="305"/>
  <c r="H36" i="305"/>
  <c r="H35" i="305"/>
  <c r="H34" i="305"/>
  <c r="H33" i="305"/>
  <c r="H32" i="305"/>
  <c r="H31" i="305"/>
  <c r="H30" i="305"/>
  <c r="H29" i="305"/>
  <c r="P28" i="305"/>
  <c r="H28" i="305"/>
  <c r="P27" i="305"/>
  <c r="K27" i="305" s="1"/>
  <c r="L27" i="305" s="1"/>
  <c r="H27" i="305"/>
  <c r="P26" i="305"/>
  <c r="K26" i="305" s="1"/>
  <c r="L26" i="305" s="1"/>
  <c r="H26" i="305"/>
  <c r="P25" i="305"/>
  <c r="K25" i="305"/>
  <c r="H25" i="305"/>
  <c r="J24" i="305"/>
  <c r="H23" i="305"/>
  <c r="H22" i="305"/>
  <c r="H21" i="305"/>
  <c r="H20" i="305"/>
  <c r="H19" i="305"/>
  <c r="H18" i="305"/>
  <c r="P17" i="305"/>
  <c r="H17" i="305"/>
  <c r="J16" i="305"/>
  <c r="H15" i="305"/>
  <c r="H14" i="305"/>
  <c r="H13" i="305"/>
  <c r="H12" i="305"/>
  <c r="H11" i="305"/>
  <c r="P10" i="305"/>
  <c r="K10" i="305" s="1"/>
  <c r="L10" i="305" s="1"/>
  <c r="H10" i="305"/>
  <c r="P9" i="305"/>
  <c r="K9" i="305"/>
  <c r="L9" i="305" s="1"/>
  <c r="H9" i="305"/>
  <c r="P8" i="305"/>
  <c r="K8" i="305" s="1"/>
  <c r="L8" i="305" s="1"/>
  <c r="H8" i="305"/>
  <c r="P7" i="305"/>
  <c r="H7" i="305"/>
  <c r="P6" i="305"/>
  <c r="K6" i="305"/>
  <c r="L6" i="305" s="1"/>
  <c r="H6" i="305"/>
  <c r="P5" i="305"/>
  <c r="K5" i="305" s="1"/>
  <c r="H5" i="305"/>
  <c r="I2" i="305"/>
  <c r="E1" i="305"/>
  <c r="L8" i="306" l="1"/>
  <c r="L6" i="306"/>
  <c r="G1" i="306"/>
  <c r="G2" i="306" s="1"/>
  <c r="I1" i="306"/>
  <c r="L104" i="305"/>
  <c r="L102" i="305"/>
  <c r="L92" i="305"/>
  <c r="L72" i="305"/>
  <c r="L68" i="305"/>
  <c r="L56" i="305"/>
  <c r="L54" i="305"/>
  <c r="L64" i="305" s="1"/>
  <c r="K7" i="305"/>
  <c r="L7" i="305" s="1"/>
  <c r="I1" i="305"/>
  <c r="L68" i="306"/>
  <c r="L54" i="306"/>
  <c r="L52" i="306"/>
  <c r="K104" i="306"/>
  <c r="L104" i="306" s="1"/>
  <c r="L72" i="306"/>
  <c r="L70" i="306"/>
  <c r="L66" i="306"/>
  <c r="L56" i="306"/>
  <c r="K28" i="305"/>
  <c r="L28" i="305" s="1"/>
  <c r="L10" i="306"/>
  <c r="K17" i="305"/>
  <c r="L17" i="305" s="1"/>
  <c r="L24" i="305" s="1"/>
  <c r="E2" i="308"/>
  <c r="G1" i="305"/>
  <c r="G2" i="305" s="1"/>
  <c r="L5" i="305"/>
  <c r="L16" i="305" s="1"/>
  <c r="K16" i="305"/>
  <c r="K38" i="305"/>
  <c r="K24" i="305"/>
  <c r="L53" i="306"/>
  <c r="K64" i="306"/>
  <c r="K64" i="305"/>
  <c r="K75" i="305"/>
  <c r="L65" i="305"/>
  <c r="L75" i="305" s="1"/>
  <c r="L112" i="306"/>
  <c r="L124" i="306" s="1"/>
  <c r="K124" i="306"/>
  <c r="L25" i="305"/>
  <c r="L38" i="305" s="1"/>
  <c r="L101" i="305"/>
  <c r="L111" i="305" s="1"/>
  <c r="K111" i="305"/>
  <c r="K16" i="306"/>
  <c r="L5" i="306"/>
  <c r="L16" i="306" s="1"/>
  <c r="K75" i="306"/>
  <c r="L65" i="306"/>
  <c r="L75" i="306" s="1"/>
  <c r="L82" i="306"/>
  <c r="L91" i="306" s="1"/>
  <c r="K91" i="306"/>
  <c r="L82" i="305"/>
  <c r="L91" i="305" s="1"/>
  <c r="K91" i="305"/>
  <c r="L100" i="305"/>
  <c r="L112" i="305"/>
  <c r="L124" i="305" s="1"/>
  <c r="K124" i="305"/>
  <c r="L64" i="306"/>
  <c r="L101" i="306"/>
  <c r="L111" i="306" s="1"/>
  <c r="K111" i="306"/>
  <c r="L92" i="306"/>
  <c r="L100" i="306" s="1"/>
  <c r="L17" i="306"/>
  <c r="L24" i="306" s="1"/>
  <c r="L25" i="306"/>
  <c r="L38" i="306" s="1"/>
  <c r="E2" i="306" l="1"/>
  <c r="E2" i="305"/>
  <c r="AE173" i="304" l="1"/>
  <c r="AD173" i="304"/>
  <c r="AA173" i="304"/>
  <c r="Z173" i="304"/>
  <c r="M173" i="304"/>
  <c r="W172" i="304"/>
  <c r="H172" i="304"/>
  <c r="W171" i="304"/>
  <c r="H171" i="304"/>
  <c r="AG170" i="304"/>
  <c r="AF170" i="304"/>
  <c r="W170" i="304"/>
  <c r="H170" i="304"/>
  <c r="AG169" i="304"/>
  <c r="AF169" i="304"/>
  <c r="W169" i="304"/>
  <c r="H169" i="304"/>
  <c r="AG168" i="304"/>
  <c r="AF168" i="304"/>
  <c r="W168" i="304"/>
  <c r="H168" i="304"/>
  <c r="AG167" i="304"/>
  <c r="AF167" i="304"/>
  <c r="W167" i="304"/>
  <c r="W166" i="304"/>
  <c r="N166" i="304"/>
  <c r="AF166" i="304" s="1"/>
  <c r="P166" i="304"/>
  <c r="H166" i="304"/>
  <c r="W165" i="304"/>
  <c r="N165" i="304" s="1"/>
  <c r="P165" i="304"/>
  <c r="H165" i="304"/>
  <c r="W164" i="304"/>
  <c r="P164" i="304"/>
  <c r="H164" i="304"/>
  <c r="W163" i="304"/>
  <c r="N163" i="304" s="1"/>
  <c r="P163" i="304"/>
  <c r="H163" i="304"/>
  <c r="W162" i="304"/>
  <c r="N162" i="304"/>
  <c r="AF162" i="304" s="1"/>
  <c r="P162" i="304"/>
  <c r="H162" i="304"/>
  <c r="W161" i="304"/>
  <c r="N161" i="304" s="1"/>
  <c r="P161" i="304"/>
  <c r="H161" i="304"/>
  <c r="AE160" i="304"/>
  <c r="AD160" i="304"/>
  <c r="AA160" i="304"/>
  <c r="Z160" i="304"/>
  <c r="M160" i="304"/>
  <c r="W159" i="304"/>
  <c r="H159" i="304"/>
  <c r="W158" i="304"/>
  <c r="H158" i="304"/>
  <c r="W157" i="304"/>
  <c r="H157" i="304"/>
  <c r="W156" i="304"/>
  <c r="H156" i="304"/>
  <c r="W155" i="304"/>
  <c r="H155" i="304"/>
  <c r="AG154" i="304"/>
  <c r="AF154" i="304"/>
  <c r="W154" i="304"/>
  <c r="H154" i="304"/>
  <c r="AG153" i="304"/>
  <c r="AF153" i="304"/>
  <c r="W153" i="304"/>
  <c r="H153" i="304"/>
  <c r="AG152" i="304"/>
  <c r="AF152" i="304"/>
  <c r="W152" i="304"/>
  <c r="H152" i="304"/>
  <c r="W151" i="304"/>
  <c r="N151" i="304" s="1"/>
  <c r="P151" i="304"/>
  <c r="H151" i="304"/>
  <c r="W150" i="304"/>
  <c r="N150" i="304"/>
  <c r="AG150" i="304" s="1"/>
  <c r="H150" i="304"/>
  <c r="W149" i="304"/>
  <c r="N149" i="304" s="1"/>
  <c r="P149" i="304"/>
  <c r="H149" i="304"/>
  <c r="W148" i="304"/>
  <c r="N148" i="304" s="1"/>
  <c r="P148" i="304"/>
  <c r="H148" i="304"/>
  <c r="AE147" i="304"/>
  <c r="AD147" i="304"/>
  <c r="AA147" i="304"/>
  <c r="Z147" i="304"/>
  <c r="W147" i="304"/>
  <c r="M147" i="304"/>
  <c r="W146" i="304"/>
  <c r="H146" i="304"/>
  <c r="AG145" i="304"/>
  <c r="AF145" i="304"/>
  <c r="W145" i="304"/>
  <c r="H145" i="304"/>
  <c r="AG144" i="304"/>
  <c r="AF144" i="304"/>
  <c r="W144" i="304"/>
  <c r="H144" i="304"/>
  <c r="W143" i="304"/>
  <c r="N143" i="304" s="1"/>
  <c r="P143" i="304"/>
  <c r="H143" i="304"/>
  <c r="W142" i="304"/>
  <c r="P142" i="304"/>
  <c r="N142" i="304"/>
  <c r="AF142" i="304" s="1"/>
  <c r="H142" i="304"/>
  <c r="W141" i="304"/>
  <c r="N141" i="304" s="1"/>
  <c r="P141" i="304"/>
  <c r="H141" i="304"/>
  <c r="W140" i="304"/>
  <c r="P140" i="304"/>
  <c r="H140" i="304"/>
  <c r="W139" i="304"/>
  <c r="N139" i="304" s="1"/>
  <c r="P139" i="304"/>
  <c r="H139" i="304"/>
  <c r="W138" i="304"/>
  <c r="P138" i="304"/>
  <c r="N138" i="304"/>
  <c r="AF138" i="304" s="1"/>
  <c r="H138" i="304"/>
  <c r="W137" i="304"/>
  <c r="N137" i="304" s="1"/>
  <c r="H137" i="304"/>
  <c r="W136" i="304"/>
  <c r="P136" i="304"/>
  <c r="N136" i="304"/>
  <c r="AF136" i="304" s="1"/>
  <c r="H136" i="304"/>
  <c r="W135" i="304"/>
  <c r="P135" i="304"/>
  <c r="N135" i="304"/>
  <c r="H135" i="304"/>
  <c r="AE134" i="304"/>
  <c r="AD134" i="304"/>
  <c r="AA134" i="304"/>
  <c r="Z134" i="304"/>
  <c r="M134" i="304"/>
  <c r="W133" i="304"/>
  <c r="H133" i="304"/>
  <c r="W132" i="304"/>
  <c r="H132" i="304"/>
  <c r="AG131" i="304"/>
  <c r="AF131" i="304"/>
  <c r="W131" i="304"/>
  <c r="H131" i="304"/>
  <c r="W130" i="304"/>
  <c r="P130" i="304"/>
  <c r="N130" i="304"/>
  <c r="O130" i="304" s="1"/>
  <c r="H130" i="304"/>
  <c r="W129" i="304"/>
  <c r="N129" i="304"/>
  <c r="P129" i="304"/>
  <c r="H129" i="304"/>
  <c r="W128" i="304"/>
  <c r="P128" i="304"/>
  <c r="N128" i="304"/>
  <c r="O128" i="304" s="1"/>
  <c r="H128" i="304"/>
  <c r="W127" i="304"/>
  <c r="P127" i="304"/>
  <c r="H127" i="304"/>
  <c r="W126" i="304"/>
  <c r="P126" i="304"/>
  <c r="N126" i="304"/>
  <c r="O126" i="304" s="1"/>
  <c r="H126" i="304"/>
  <c r="W125" i="304"/>
  <c r="P125" i="304"/>
  <c r="H125" i="304"/>
  <c r="W124" i="304"/>
  <c r="P124" i="304"/>
  <c r="N124" i="304"/>
  <c r="O124" i="304" s="1"/>
  <c r="H124" i="304"/>
  <c r="W123" i="304"/>
  <c r="N123" i="304"/>
  <c r="P123" i="304"/>
  <c r="H123" i="304"/>
  <c r="W122" i="304"/>
  <c r="H122" i="304"/>
  <c r="AE121" i="304"/>
  <c r="AD121" i="304"/>
  <c r="AA121" i="304"/>
  <c r="Z121" i="304"/>
  <c r="W121" i="304"/>
  <c r="M121" i="304"/>
  <c r="AG120" i="304"/>
  <c r="AF120" i="304"/>
  <c r="W120" i="304"/>
  <c r="H120" i="304"/>
  <c r="AG119" i="304"/>
  <c r="AF119" i="304"/>
  <c r="W119" i="304"/>
  <c r="H119" i="304"/>
  <c r="AG118" i="304"/>
  <c r="AF118" i="304"/>
  <c r="W118" i="304"/>
  <c r="H118" i="304"/>
  <c r="W117" i="304"/>
  <c r="N117" i="304" s="1"/>
  <c r="P117" i="304"/>
  <c r="H117" i="304"/>
  <c r="W116" i="304"/>
  <c r="N116" i="304" s="1"/>
  <c r="O116" i="304"/>
  <c r="H116" i="304"/>
  <c r="W115" i="304"/>
  <c r="N115" i="304" s="1"/>
  <c r="P115" i="304"/>
  <c r="H115" i="304"/>
  <c r="W114" i="304"/>
  <c r="N114" i="304" s="1"/>
  <c r="P114" i="304"/>
  <c r="H114" i="304"/>
  <c r="W113" i="304"/>
  <c r="N113" i="304"/>
  <c r="AF113" i="304" s="1"/>
  <c r="P113" i="304"/>
  <c r="H113" i="304"/>
  <c r="W112" i="304"/>
  <c r="N112" i="304" s="1"/>
  <c r="O112" i="304"/>
  <c r="P112" i="304"/>
  <c r="H112" i="304"/>
  <c r="W111" i="304"/>
  <c r="N111" i="304"/>
  <c r="AF111" i="304" s="1"/>
  <c r="P111" i="304"/>
  <c r="H111" i="304"/>
  <c r="W110" i="304"/>
  <c r="N110" i="304" s="1"/>
  <c r="O110" i="304" s="1"/>
  <c r="P110" i="304"/>
  <c r="H110" i="304"/>
  <c r="W109" i="304"/>
  <c r="N109" i="304" s="1"/>
  <c r="O109" i="304" s="1"/>
  <c r="H109" i="304"/>
  <c r="AE108" i="304"/>
  <c r="AD108" i="304"/>
  <c r="AA108" i="304"/>
  <c r="Z108" i="304"/>
  <c r="W108" i="304"/>
  <c r="M108" i="304"/>
  <c r="W107" i="304"/>
  <c r="H107" i="304"/>
  <c r="AG106" i="304"/>
  <c r="AF106" i="304"/>
  <c r="H106" i="304"/>
  <c r="W105" i="304"/>
  <c r="N105" i="304" s="1"/>
  <c r="P105" i="304"/>
  <c r="H105" i="304"/>
  <c r="W104" i="304"/>
  <c r="N104" i="304"/>
  <c r="P104" i="304"/>
  <c r="H104" i="304"/>
  <c r="W103" i="304"/>
  <c r="N103" i="304" s="1"/>
  <c r="AG103" i="304" s="1"/>
  <c r="P103" i="304"/>
  <c r="H103" i="304"/>
  <c r="W102" i="304"/>
  <c r="P102" i="304"/>
  <c r="H102" i="304"/>
  <c r="W101" i="304"/>
  <c r="N101" i="304" s="1"/>
  <c r="AG101" i="304" s="1"/>
  <c r="P101" i="304"/>
  <c r="H101" i="304"/>
  <c r="W100" i="304"/>
  <c r="N100" i="304"/>
  <c r="AF100" i="304" s="1"/>
  <c r="P100" i="304"/>
  <c r="H100" i="304"/>
  <c r="W99" i="304"/>
  <c r="N99" i="304" s="1"/>
  <c r="AF99" i="304" s="1"/>
  <c r="P99" i="304"/>
  <c r="H99" i="304"/>
  <c r="W98" i="304"/>
  <c r="N98" i="304"/>
  <c r="AF98" i="304" s="1"/>
  <c r="P98" i="304"/>
  <c r="H98" i="304"/>
  <c r="W97" i="304"/>
  <c r="N97" i="304" s="1"/>
  <c r="P97" i="304"/>
  <c r="H97" i="304"/>
  <c r="W96" i="304"/>
  <c r="N96" i="304" s="1"/>
  <c r="H96" i="304"/>
  <c r="AE95" i="304"/>
  <c r="AD95" i="304"/>
  <c r="AA95" i="304"/>
  <c r="Z95" i="304"/>
  <c r="M95" i="304"/>
  <c r="AG94" i="304"/>
  <c r="AF94" i="304"/>
  <c r="W94" i="304"/>
  <c r="H94" i="304"/>
  <c r="AG93" i="304"/>
  <c r="AF93" i="304"/>
  <c r="W93" i="304"/>
  <c r="H93" i="304"/>
  <c r="AG92" i="304"/>
  <c r="AF92" i="304"/>
  <c r="W92" i="304"/>
  <c r="H92" i="304"/>
  <c r="AG91" i="304"/>
  <c r="AF91" i="304"/>
  <c r="W91" i="304"/>
  <c r="H91" i="304"/>
  <c r="W90" i="304"/>
  <c r="N90" i="304"/>
  <c r="AF90" i="304" s="1"/>
  <c r="P90" i="304"/>
  <c r="H90" i="304"/>
  <c r="W89" i="304"/>
  <c r="N89" i="304" s="1"/>
  <c r="AF89" i="304" s="1"/>
  <c r="P89" i="304"/>
  <c r="H89" i="304"/>
  <c r="W88" i="304"/>
  <c r="N88" i="304"/>
  <c r="AF88" i="304" s="1"/>
  <c r="P88" i="304"/>
  <c r="H88" i="304"/>
  <c r="W87" i="304"/>
  <c r="N87" i="304" s="1"/>
  <c r="AF87" i="304" s="1"/>
  <c r="H87" i="304"/>
  <c r="W86" i="304"/>
  <c r="N86" i="304" s="1"/>
  <c r="P86" i="304"/>
  <c r="H86" i="304"/>
  <c r="W85" i="304"/>
  <c r="N85" i="304" s="1"/>
  <c r="H85" i="304"/>
  <c r="W84" i="304"/>
  <c r="N84" i="304" s="1"/>
  <c r="P84" i="304"/>
  <c r="H84" i="304"/>
  <c r="W83" i="304"/>
  <c r="N83" i="304"/>
  <c r="N95" i="304" s="1"/>
  <c r="H83" i="304"/>
  <c r="AE82" i="304"/>
  <c r="AD82" i="304"/>
  <c r="AA82" i="304"/>
  <c r="Z82" i="304"/>
  <c r="M82" i="304"/>
  <c r="P82" i="304"/>
  <c r="W81" i="304"/>
  <c r="AG80" i="304"/>
  <c r="AF80" i="304"/>
  <c r="W80" i="304"/>
  <c r="H80" i="304"/>
  <c r="AG79" i="304"/>
  <c r="AF79" i="304"/>
  <c r="W79" i="304"/>
  <c r="H79" i="304"/>
  <c r="AG78" i="304"/>
  <c r="AF78" i="304"/>
  <c r="W78" i="304"/>
  <c r="H78" i="304"/>
  <c r="AG77" i="304"/>
  <c r="AF77" i="304"/>
  <c r="W77" i="304"/>
  <c r="H77" i="304"/>
  <c r="AG76" i="304"/>
  <c r="AF76" i="304"/>
  <c r="W76" i="304"/>
  <c r="H76" i="304"/>
  <c r="W75" i="304"/>
  <c r="P75" i="304"/>
  <c r="H75" i="304"/>
  <c r="W74" i="304"/>
  <c r="P74" i="304"/>
  <c r="N74" i="304"/>
  <c r="O74" i="304" s="1"/>
  <c r="H74" i="304"/>
  <c r="W73" i="304"/>
  <c r="P73" i="304"/>
  <c r="N73" i="304"/>
  <c r="AG73" i="304" s="1"/>
  <c r="H73" i="304"/>
  <c r="W72" i="304"/>
  <c r="P72" i="304"/>
  <c r="N72" i="304"/>
  <c r="O72" i="304" s="1"/>
  <c r="H72" i="304"/>
  <c r="W71" i="304"/>
  <c r="P71" i="304"/>
  <c r="N71" i="304"/>
  <c r="AG71" i="304" s="1"/>
  <c r="H71" i="304"/>
  <c r="W70" i="304"/>
  <c r="P70" i="304"/>
  <c r="N70" i="304"/>
  <c r="AF70" i="304" s="1"/>
  <c r="H70" i="304"/>
  <c r="AE69" i="304"/>
  <c r="AD69" i="304"/>
  <c r="AA69" i="304"/>
  <c r="Z69" i="304"/>
  <c r="W69" i="304"/>
  <c r="M69" i="304"/>
  <c r="W68" i="304"/>
  <c r="H68" i="304"/>
  <c r="AG67" i="304"/>
  <c r="AF67" i="304"/>
  <c r="W67" i="304"/>
  <c r="H67" i="304"/>
  <c r="AG66" i="304"/>
  <c r="AF66" i="304"/>
  <c r="W66" i="304"/>
  <c r="H66" i="304"/>
  <c r="AG65" i="304"/>
  <c r="AF65" i="304"/>
  <c r="W65" i="304"/>
  <c r="H65" i="304"/>
  <c r="AG64" i="304"/>
  <c r="AF64" i="304"/>
  <c r="W64" i="304"/>
  <c r="H64" i="304"/>
  <c r="AG63" i="304"/>
  <c r="AF63" i="304"/>
  <c r="W63" i="304"/>
  <c r="H63" i="304"/>
  <c r="W62" i="304"/>
  <c r="N62" i="304" s="1"/>
  <c r="H62" i="304"/>
  <c r="W61" i="304"/>
  <c r="N61" i="304" s="1"/>
  <c r="P61" i="304"/>
  <c r="H61" i="304"/>
  <c r="W60" i="304"/>
  <c r="N60" i="304" s="1"/>
  <c r="H60" i="304"/>
  <c r="W59" i="304"/>
  <c r="N59" i="304" s="1"/>
  <c r="P59" i="304"/>
  <c r="H59" i="304"/>
  <c r="W58" i="304"/>
  <c r="N58" i="304" s="1"/>
  <c r="H58" i="304"/>
  <c r="W57" i="304"/>
  <c r="N57" i="304"/>
  <c r="AG57" i="304" s="1"/>
  <c r="P69" i="304"/>
  <c r="H57" i="304"/>
  <c r="AE56" i="304"/>
  <c r="AD56" i="304"/>
  <c r="AA56" i="304"/>
  <c r="Z56" i="304"/>
  <c r="W56" i="304"/>
  <c r="M56" i="304"/>
  <c r="W55" i="304"/>
  <c r="H55" i="304"/>
  <c r="AG54" i="304"/>
  <c r="AF54" i="304"/>
  <c r="W54" i="304"/>
  <c r="H54" i="304"/>
  <c r="AG53" i="304"/>
  <c r="AF53" i="304"/>
  <c r="W53" i="304"/>
  <c r="H53" i="304"/>
  <c r="AG52" i="304"/>
  <c r="AF52" i="304"/>
  <c r="W52" i="304"/>
  <c r="H52" i="304"/>
  <c r="AG51" i="304"/>
  <c r="AF51" i="304"/>
  <c r="W51" i="304"/>
  <c r="H51" i="304"/>
  <c r="W50" i="304"/>
  <c r="P50" i="304"/>
  <c r="H50" i="304"/>
  <c r="W49" i="304"/>
  <c r="P49" i="304"/>
  <c r="H49" i="304"/>
  <c r="W48" i="304"/>
  <c r="P48" i="304"/>
  <c r="H48" i="304"/>
  <c r="W47" i="304"/>
  <c r="P47" i="304"/>
  <c r="N47" i="304"/>
  <c r="O47" i="304" s="1"/>
  <c r="H47" i="304"/>
  <c r="W46" i="304"/>
  <c r="P46" i="304"/>
  <c r="H46" i="304"/>
  <c r="W45" i="304"/>
  <c r="P45" i="304"/>
  <c r="H45" i="304"/>
  <c r="W44" i="304"/>
  <c r="N44" i="304" s="1"/>
  <c r="P44" i="304"/>
  <c r="H44" i="304"/>
  <c r="AE43" i="304"/>
  <c r="AD43" i="304"/>
  <c r="AA43" i="304"/>
  <c r="Z43" i="304"/>
  <c r="M43" i="304"/>
  <c r="W42" i="304"/>
  <c r="H42" i="304"/>
  <c r="W41" i="304"/>
  <c r="AG40" i="304"/>
  <c r="AF40" i="304"/>
  <c r="W40" i="304"/>
  <c r="H40" i="304"/>
  <c r="AG39" i="304"/>
  <c r="AF39" i="304"/>
  <c r="W39" i="304"/>
  <c r="H39" i="304"/>
  <c r="AG38" i="304"/>
  <c r="AF38" i="304"/>
  <c r="W38" i="304"/>
  <c r="H38" i="304"/>
  <c r="W37" i="304"/>
  <c r="N37" i="304" s="1"/>
  <c r="P37" i="304"/>
  <c r="H37" i="304"/>
  <c r="W36" i="304"/>
  <c r="P36" i="304"/>
  <c r="H36" i="304"/>
  <c r="W35" i="304"/>
  <c r="N35" i="304" s="1"/>
  <c r="P35" i="304"/>
  <c r="O35" i="304"/>
  <c r="H35" i="304"/>
  <c r="W34" i="304"/>
  <c r="P34" i="304"/>
  <c r="H34" i="304"/>
  <c r="W33" i="304"/>
  <c r="N33" i="304" s="1"/>
  <c r="AG33" i="304" s="1"/>
  <c r="P33" i="304"/>
  <c r="H33" i="304"/>
  <c r="W32" i="304"/>
  <c r="N32" i="304"/>
  <c r="AF32" i="304" s="1"/>
  <c r="P32" i="304"/>
  <c r="H32" i="304"/>
  <c r="W31" i="304"/>
  <c r="N31" i="304" s="1"/>
  <c r="P31" i="304"/>
  <c r="H31" i="304"/>
  <c r="AE30" i="304"/>
  <c r="AD30" i="304"/>
  <c r="AA30" i="304"/>
  <c r="Z30" i="304"/>
  <c r="M30" i="304"/>
  <c r="P30" i="304" s="1"/>
  <c r="AF29" i="304"/>
  <c r="W29" i="304"/>
  <c r="H29" i="304"/>
  <c r="AG28" i="304"/>
  <c r="AF28" i="304"/>
  <c r="W28" i="304"/>
  <c r="P28" i="304"/>
  <c r="H28" i="304"/>
  <c r="AG27" i="304"/>
  <c r="AF27" i="304"/>
  <c r="W27" i="304"/>
  <c r="P27" i="304"/>
  <c r="H27" i="304"/>
  <c r="AG26" i="304"/>
  <c r="AF26" i="304"/>
  <c r="W26" i="304"/>
  <c r="P26" i="304"/>
  <c r="H26" i="304"/>
  <c r="AG25" i="304"/>
  <c r="AF25" i="304"/>
  <c r="W25" i="304"/>
  <c r="P25" i="304"/>
  <c r="H25" i="304"/>
  <c r="W24" i="304"/>
  <c r="N24" i="304" s="1"/>
  <c r="P24" i="304"/>
  <c r="H24" i="304"/>
  <c r="W23" i="304"/>
  <c r="P23" i="304"/>
  <c r="H23" i="304"/>
  <c r="W22" i="304"/>
  <c r="N22" i="304" s="1"/>
  <c r="P22" i="304"/>
  <c r="H22" i="304"/>
  <c r="W21" i="304"/>
  <c r="N21" i="304"/>
  <c r="P21" i="304"/>
  <c r="H21" i="304"/>
  <c r="W20" i="304"/>
  <c r="N20" i="304" s="1"/>
  <c r="P20" i="304"/>
  <c r="H20" i="304"/>
  <c r="W19" i="304"/>
  <c r="N19" i="304"/>
  <c r="P19" i="304"/>
  <c r="H19" i="304"/>
  <c r="W18" i="304"/>
  <c r="N18" i="304"/>
  <c r="P18" i="304"/>
  <c r="H18" i="304"/>
  <c r="AE17" i="304"/>
  <c r="AD17" i="304"/>
  <c r="AA17" i="304"/>
  <c r="Z17" i="304"/>
  <c r="Z2" i="304" s="1"/>
  <c r="W17" i="304"/>
  <c r="M17" i="304"/>
  <c r="AG16" i="304"/>
  <c r="W16" i="304"/>
  <c r="H16" i="304"/>
  <c r="AG15" i="304"/>
  <c r="W15" i="304"/>
  <c r="H15" i="304"/>
  <c r="AG14" i="304"/>
  <c r="W14" i="304"/>
  <c r="H14" i="304"/>
  <c r="AG13" i="304"/>
  <c r="AF13" i="304"/>
  <c r="W13" i="304"/>
  <c r="H13" i="304"/>
  <c r="AG12" i="304"/>
  <c r="AF12" i="304"/>
  <c r="W12" i="304"/>
  <c r="H12" i="304"/>
  <c r="W11" i="304"/>
  <c r="N11" i="304" s="1"/>
  <c r="P11" i="304"/>
  <c r="H11" i="304"/>
  <c r="W10" i="304"/>
  <c r="N10" i="304"/>
  <c r="P10" i="304"/>
  <c r="H10" i="304"/>
  <c r="W9" i="304"/>
  <c r="N9" i="304" s="1"/>
  <c r="P9" i="304"/>
  <c r="H9" i="304"/>
  <c r="W8" i="304"/>
  <c r="N8" i="304"/>
  <c r="P8" i="304"/>
  <c r="H8" i="304"/>
  <c r="W7" i="304"/>
  <c r="N7" i="304" s="1"/>
  <c r="P7" i="304"/>
  <c r="H7" i="304"/>
  <c r="W6" i="304"/>
  <c r="N6" i="304"/>
  <c r="P6" i="304"/>
  <c r="H6" i="304"/>
  <c r="W5" i="304"/>
  <c r="N5" i="304"/>
  <c r="H5" i="304"/>
  <c r="I2" i="304"/>
  <c r="E1" i="304"/>
  <c r="AE173" i="303"/>
  <c r="AD173" i="303"/>
  <c r="AA173" i="303"/>
  <c r="Z173" i="303"/>
  <c r="M173" i="303"/>
  <c r="W172" i="303"/>
  <c r="H172" i="303"/>
  <c r="W171" i="303"/>
  <c r="H171" i="303"/>
  <c r="AG170" i="303"/>
  <c r="AF170" i="303"/>
  <c r="W170" i="303"/>
  <c r="H170" i="303"/>
  <c r="AG169" i="303"/>
  <c r="AF169" i="303"/>
  <c r="W169" i="303"/>
  <c r="H169" i="303"/>
  <c r="AG168" i="303"/>
  <c r="AF168" i="303"/>
  <c r="W168" i="303"/>
  <c r="H168" i="303"/>
  <c r="AG167" i="303"/>
  <c r="AF167" i="303"/>
  <c r="W167" i="303"/>
  <c r="W166" i="303"/>
  <c r="P166" i="303"/>
  <c r="N166" i="303"/>
  <c r="O166" i="303" s="1"/>
  <c r="AF166" i="303"/>
  <c r="H166" i="303"/>
  <c r="W165" i="303"/>
  <c r="N165" i="303" s="1"/>
  <c r="P165" i="303"/>
  <c r="H165" i="303"/>
  <c r="W164" i="303"/>
  <c r="P164" i="303"/>
  <c r="N164" i="303"/>
  <c r="O164" i="303" s="1"/>
  <c r="Q164" i="303"/>
  <c r="AF164" i="303"/>
  <c r="H164" i="303"/>
  <c r="W163" i="303"/>
  <c r="N163" i="303" s="1"/>
  <c r="O163" i="303" s="1"/>
  <c r="P163" i="303"/>
  <c r="H163" i="303"/>
  <c r="W162" i="303"/>
  <c r="P162" i="303"/>
  <c r="N162" i="303"/>
  <c r="O162" i="303" s="1"/>
  <c r="AF162" i="303"/>
  <c r="H162" i="303"/>
  <c r="W161" i="303"/>
  <c r="N161" i="303" s="1"/>
  <c r="P161" i="303"/>
  <c r="H161" i="303"/>
  <c r="AE160" i="303"/>
  <c r="AD160" i="303"/>
  <c r="AA160" i="303"/>
  <c r="Z160" i="303"/>
  <c r="M160" i="303"/>
  <c r="P160" i="303" s="1"/>
  <c r="W159" i="303"/>
  <c r="H159" i="303"/>
  <c r="W158" i="303"/>
  <c r="H158" i="303"/>
  <c r="W157" i="303"/>
  <c r="H157" i="303"/>
  <c r="W156" i="303"/>
  <c r="H156" i="303"/>
  <c r="W155" i="303"/>
  <c r="H155" i="303"/>
  <c r="AG154" i="303"/>
  <c r="AF154" i="303"/>
  <c r="W154" i="303"/>
  <c r="H154" i="303"/>
  <c r="AG153" i="303"/>
  <c r="AF153" i="303"/>
  <c r="W153" i="303"/>
  <c r="H153" i="303"/>
  <c r="AG152" i="303"/>
  <c r="AF152" i="303"/>
  <c r="W152" i="303"/>
  <c r="H152" i="303"/>
  <c r="AG151" i="303"/>
  <c r="AF151" i="303"/>
  <c r="H151" i="303"/>
  <c r="W150" i="303"/>
  <c r="P150" i="303"/>
  <c r="H150" i="303"/>
  <c r="W149" i="303"/>
  <c r="N149" i="303" s="1"/>
  <c r="P149" i="303"/>
  <c r="H149" i="303"/>
  <c r="W148" i="303"/>
  <c r="N148" i="303" s="1"/>
  <c r="P148" i="303"/>
  <c r="H148" i="303"/>
  <c r="AE147" i="303"/>
  <c r="AD147" i="303"/>
  <c r="AA147" i="303"/>
  <c r="Z147" i="303"/>
  <c r="W147" i="303"/>
  <c r="M147" i="303"/>
  <c r="W146" i="303"/>
  <c r="H146" i="303"/>
  <c r="AG145" i="303"/>
  <c r="AF145" i="303"/>
  <c r="W145" i="303"/>
  <c r="H145" i="303"/>
  <c r="AG144" i="303"/>
  <c r="AF144" i="303"/>
  <c r="W144" i="303"/>
  <c r="H144" i="303"/>
  <c r="W143" i="303"/>
  <c r="P143" i="303"/>
  <c r="H143" i="303"/>
  <c r="W142" i="303"/>
  <c r="N142" i="303" s="1"/>
  <c r="P142" i="303"/>
  <c r="H142" i="303"/>
  <c r="W141" i="303"/>
  <c r="P141" i="303"/>
  <c r="H141" i="303"/>
  <c r="W140" i="303"/>
  <c r="N140" i="303" s="1"/>
  <c r="P140" i="303"/>
  <c r="H140" i="303"/>
  <c r="W139" i="303"/>
  <c r="P139" i="303"/>
  <c r="H139" i="303"/>
  <c r="W138" i="303"/>
  <c r="N138" i="303" s="1"/>
  <c r="P138" i="303"/>
  <c r="H138" i="303"/>
  <c r="W137" i="303"/>
  <c r="P137" i="303"/>
  <c r="N137" i="303"/>
  <c r="H137" i="303"/>
  <c r="W136" i="303"/>
  <c r="N136" i="303" s="1"/>
  <c r="P136" i="303"/>
  <c r="H136" i="303"/>
  <c r="W135" i="303"/>
  <c r="N135" i="303" s="1"/>
  <c r="P135" i="303"/>
  <c r="H135" i="303"/>
  <c r="AE134" i="303"/>
  <c r="AD134" i="303"/>
  <c r="AA134" i="303"/>
  <c r="Z134" i="303"/>
  <c r="M134" i="303"/>
  <c r="W133" i="303"/>
  <c r="H133" i="303"/>
  <c r="W132" i="303"/>
  <c r="H132" i="303"/>
  <c r="AG131" i="303"/>
  <c r="AF131" i="303"/>
  <c r="W131" i="303"/>
  <c r="H131" i="303"/>
  <c r="W130" i="303"/>
  <c r="N130" i="303" s="1"/>
  <c r="P130" i="303"/>
  <c r="H130" i="303"/>
  <c r="W129" i="303"/>
  <c r="P129" i="303"/>
  <c r="H129" i="303"/>
  <c r="W128" i="303"/>
  <c r="N128" i="303" s="1"/>
  <c r="P128" i="303"/>
  <c r="H128" i="303"/>
  <c r="W127" i="303"/>
  <c r="N127" i="303"/>
  <c r="P127" i="303"/>
  <c r="H127" i="303"/>
  <c r="W126" i="303"/>
  <c r="N126" i="303" s="1"/>
  <c r="P126" i="303"/>
  <c r="H126" i="303"/>
  <c r="W125" i="303"/>
  <c r="P125" i="303"/>
  <c r="H125" i="303"/>
  <c r="W124" i="303"/>
  <c r="N124" i="303" s="1"/>
  <c r="P124" i="303"/>
  <c r="H124" i="303"/>
  <c r="W123" i="303"/>
  <c r="N123" i="303"/>
  <c r="P123" i="303"/>
  <c r="H123" i="303"/>
  <c r="W122" i="303"/>
  <c r="N122" i="303"/>
  <c r="P122" i="303"/>
  <c r="H122" i="303"/>
  <c r="AE121" i="303"/>
  <c r="AD121" i="303"/>
  <c r="AA121" i="303"/>
  <c r="Z121" i="303"/>
  <c r="W121" i="303"/>
  <c r="M121" i="303"/>
  <c r="AG120" i="303"/>
  <c r="AF120" i="303"/>
  <c r="W120" i="303"/>
  <c r="H120" i="303"/>
  <c r="AG119" i="303"/>
  <c r="AF119" i="303"/>
  <c r="W119" i="303"/>
  <c r="H119" i="303"/>
  <c r="AG118" i="303"/>
  <c r="AF118" i="303"/>
  <c r="W118" i="303"/>
  <c r="H118" i="303"/>
  <c r="W117" i="303"/>
  <c r="N117" i="303" s="1"/>
  <c r="O117" i="303" s="1"/>
  <c r="P117" i="303"/>
  <c r="H117" i="303"/>
  <c r="W116" i="303"/>
  <c r="P116" i="303"/>
  <c r="N116" i="303"/>
  <c r="O116" i="303" s="1"/>
  <c r="H116" i="303"/>
  <c r="W115" i="303"/>
  <c r="N115" i="303" s="1"/>
  <c r="P115" i="303"/>
  <c r="H115" i="303"/>
  <c r="W114" i="303"/>
  <c r="P114" i="303"/>
  <c r="N114" i="303"/>
  <c r="O114" i="303" s="1"/>
  <c r="R114" i="303" s="1"/>
  <c r="H114" i="303"/>
  <c r="W113" i="303"/>
  <c r="N113" i="303" s="1"/>
  <c r="O113" i="303"/>
  <c r="P113" i="303"/>
  <c r="H113" i="303"/>
  <c r="W112" i="303"/>
  <c r="P112" i="303"/>
  <c r="N112" i="303"/>
  <c r="O112" i="303" s="1"/>
  <c r="H112" i="303"/>
  <c r="W111" i="303"/>
  <c r="P111" i="303"/>
  <c r="H111" i="303"/>
  <c r="W110" i="303"/>
  <c r="N110" i="303" s="1"/>
  <c r="P110" i="303"/>
  <c r="H110" i="303"/>
  <c r="W109" i="303"/>
  <c r="N109" i="303" s="1"/>
  <c r="P109" i="303"/>
  <c r="H109" i="303"/>
  <c r="AE108" i="303"/>
  <c r="AD108" i="303"/>
  <c r="AA108" i="303"/>
  <c r="Z108" i="303"/>
  <c r="W108" i="303"/>
  <c r="M108" i="303"/>
  <c r="W107" i="303"/>
  <c r="H107" i="303"/>
  <c r="AG106" i="303"/>
  <c r="AF106" i="303"/>
  <c r="H106" i="303"/>
  <c r="W105" i="303"/>
  <c r="N105" i="303" s="1"/>
  <c r="P105" i="303"/>
  <c r="H105" i="303"/>
  <c r="W104" i="303"/>
  <c r="N104" i="303" s="1"/>
  <c r="P104" i="303"/>
  <c r="H104" i="303"/>
  <c r="W103" i="303"/>
  <c r="N103" i="303" s="1"/>
  <c r="AG103" i="303" s="1"/>
  <c r="P103" i="303"/>
  <c r="H103" i="303"/>
  <c r="W102" i="303"/>
  <c r="N102" i="303"/>
  <c r="AF102" i="303" s="1"/>
  <c r="P102" i="303"/>
  <c r="H102" i="303"/>
  <c r="W101" i="303"/>
  <c r="N101" i="303" s="1"/>
  <c r="P101" i="303"/>
  <c r="H101" i="303"/>
  <c r="W100" i="303"/>
  <c r="P100" i="303"/>
  <c r="N100" i="303"/>
  <c r="H100" i="303"/>
  <c r="W99" i="303"/>
  <c r="N99" i="303" s="1"/>
  <c r="P99" i="303"/>
  <c r="H99" i="303"/>
  <c r="W98" i="303"/>
  <c r="P98" i="303"/>
  <c r="N98" i="303"/>
  <c r="H98" i="303"/>
  <c r="W97" i="303"/>
  <c r="N97" i="303" s="1"/>
  <c r="P97" i="303"/>
  <c r="H97" i="303"/>
  <c r="W96" i="303"/>
  <c r="N96" i="303" s="1"/>
  <c r="P96" i="303"/>
  <c r="H96" i="303"/>
  <c r="AE95" i="303"/>
  <c r="AD95" i="303"/>
  <c r="AA95" i="303"/>
  <c r="Z95" i="303"/>
  <c r="M95" i="303"/>
  <c r="AG94" i="303"/>
  <c r="AF94" i="303"/>
  <c r="W94" i="303"/>
  <c r="H94" i="303"/>
  <c r="AG93" i="303"/>
  <c r="AF93" i="303"/>
  <c r="W93" i="303"/>
  <c r="H93" i="303"/>
  <c r="AG92" i="303"/>
  <c r="AF92" i="303"/>
  <c r="W92" i="303"/>
  <c r="H92" i="303"/>
  <c r="W91" i="303"/>
  <c r="N91" i="303" s="1"/>
  <c r="P91" i="303"/>
  <c r="H91" i="303"/>
  <c r="W90" i="303"/>
  <c r="P90" i="303"/>
  <c r="H90" i="303"/>
  <c r="W89" i="303"/>
  <c r="N89" i="303" s="1"/>
  <c r="P89" i="303"/>
  <c r="H89" i="303"/>
  <c r="W88" i="303"/>
  <c r="P88" i="303"/>
  <c r="H88" i="303"/>
  <c r="W87" i="303"/>
  <c r="N87" i="303" s="1"/>
  <c r="P87" i="303"/>
  <c r="H87" i="303"/>
  <c r="W86" i="303"/>
  <c r="P86" i="303"/>
  <c r="H86" i="303"/>
  <c r="W85" i="303"/>
  <c r="N85" i="303" s="1"/>
  <c r="P85" i="303"/>
  <c r="H85" i="303"/>
  <c r="W84" i="303"/>
  <c r="P84" i="303"/>
  <c r="H84" i="303"/>
  <c r="W83" i="303"/>
  <c r="N83" i="303"/>
  <c r="P83" i="303"/>
  <c r="H83" i="303"/>
  <c r="AE82" i="303"/>
  <c r="AD82" i="303"/>
  <c r="AA82" i="303"/>
  <c r="Z82" i="303"/>
  <c r="M82" i="303"/>
  <c r="W81" i="303"/>
  <c r="AG80" i="303"/>
  <c r="AF80" i="303"/>
  <c r="W80" i="303"/>
  <c r="H80" i="303"/>
  <c r="AG79" i="303"/>
  <c r="AF79" i="303"/>
  <c r="W79" i="303"/>
  <c r="H79" i="303"/>
  <c r="AG78" i="303"/>
  <c r="AF78" i="303"/>
  <c r="W78" i="303"/>
  <c r="H78" i="303"/>
  <c r="AG77" i="303"/>
  <c r="AF77" i="303"/>
  <c r="W77" i="303"/>
  <c r="H77" i="303"/>
  <c r="AG76" i="303"/>
  <c r="AF76" i="303"/>
  <c r="W76" i="303"/>
  <c r="H76" i="303"/>
  <c r="W75" i="303"/>
  <c r="N75" i="303" s="1"/>
  <c r="H75" i="303"/>
  <c r="W74" i="303"/>
  <c r="N74" i="303" s="1"/>
  <c r="P74" i="303"/>
  <c r="H74" i="303"/>
  <c r="W73" i="303"/>
  <c r="N73" i="303" s="1"/>
  <c r="H73" i="303"/>
  <c r="W72" i="303"/>
  <c r="N72" i="303" s="1"/>
  <c r="P72" i="303"/>
  <c r="H72" i="303"/>
  <c r="W71" i="303"/>
  <c r="N71" i="303" s="1"/>
  <c r="H71" i="303"/>
  <c r="W70" i="303"/>
  <c r="N70" i="303"/>
  <c r="N82" i="303" s="1"/>
  <c r="H70" i="303"/>
  <c r="AE69" i="303"/>
  <c r="AD69" i="303"/>
  <c r="AA69" i="303"/>
  <c r="Z69" i="303"/>
  <c r="W69" i="303"/>
  <c r="M69" i="303"/>
  <c r="W68" i="303"/>
  <c r="H68" i="303"/>
  <c r="AG67" i="303"/>
  <c r="AF67" i="303"/>
  <c r="W67" i="303"/>
  <c r="H67" i="303"/>
  <c r="AG66" i="303"/>
  <c r="AF66" i="303"/>
  <c r="W66" i="303"/>
  <c r="H66" i="303"/>
  <c r="AG65" i="303"/>
  <c r="AF65" i="303"/>
  <c r="W65" i="303"/>
  <c r="H65" i="303"/>
  <c r="AG64" i="303"/>
  <c r="AF64" i="303"/>
  <c r="W64" i="303"/>
  <c r="H64" i="303"/>
  <c r="AG63" i="303"/>
  <c r="AF63" i="303"/>
  <c r="W63" i="303"/>
  <c r="H63" i="303"/>
  <c r="W62" i="303"/>
  <c r="N62" i="303" s="1"/>
  <c r="P62" i="303"/>
  <c r="H62" i="303"/>
  <c r="W61" i="303"/>
  <c r="N61" i="303"/>
  <c r="P61" i="303"/>
  <c r="H61" i="303"/>
  <c r="W60" i="303"/>
  <c r="N60" i="303" s="1"/>
  <c r="P60" i="303"/>
  <c r="H60" i="303"/>
  <c r="W59" i="303"/>
  <c r="N59" i="303"/>
  <c r="P59" i="303"/>
  <c r="H59" i="303"/>
  <c r="W58" i="303"/>
  <c r="N58" i="303" s="1"/>
  <c r="P58" i="303"/>
  <c r="H58" i="303"/>
  <c r="W57" i="303"/>
  <c r="N57" i="303" s="1"/>
  <c r="P57" i="303"/>
  <c r="H57" i="303"/>
  <c r="AE56" i="303"/>
  <c r="AD56" i="303"/>
  <c r="AA56" i="303"/>
  <c r="Z56" i="303"/>
  <c r="W56" i="303"/>
  <c r="M56" i="303"/>
  <c r="W55" i="303"/>
  <c r="H55" i="303"/>
  <c r="AG54" i="303"/>
  <c r="AF54" i="303"/>
  <c r="W54" i="303"/>
  <c r="H54" i="303"/>
  <c r="AG53" i="303"/>
  <c r="AF53" i="303"/>
  <c r="W53" i="303"/>
  <c r="H53" i="303"/>
  <c r="AG52" i="303"/>
  <c r="AF52" i="303"/>
  <c r="W52" i="303"/>
  <c r="H52" i="303"/>
  <c r="AG51" i="303"/>
  <c r="AF51" i="303"/>
  <c r="W51" i="303"/>
  <c r="H51" i="303"/>
  <c r="W50" i="303"/>
  <c r="N50" i="303" s="1"/>
  <c r="O50" i="303"/>
  <c r="P50" i="303"/>
  <c r="H50" i="303"/>
  <c r="W49" i="303"/>
  <c r="P49" i="303"/>
  <c r="N49" i="303"/>
  <c r="O49" i="303" s="1"/>
  <c r="AF49" i="303"/>
  <c r="H49" i="303"/>
  <c r="W48" i="303"/>
  <c r="N48" i="303" s="1"/>
  <c r="O48" i="303" s="1"/>
  <c r="P48" i="303"/>
  <c r="H48" i="303"/>
  <c r="W47" i="303"/>
  <c r="P47" i="303"/>
  <c r="N47" i="303"/>
  <c r="O47" i="303" s="1"/>
  <c r="Q47" i="303" s="1"/>
  <c r="AF47" i="303"/>
  <c r="H47" i="303"/>
  <c r="W46" i="303"/>
  <c r="N46" i="303" s="1"/>
  <c r="P46" i="303"/>
  <c r="H46" i="303"/>
  <c r="W45" i="303"/>
  <c r="P45" i="303"/>
  <c r="N45" i="303"/>
  <c r="O45" i="303" s="1"/>
  <c r="R45" i="303" s="1"/>
  <c r="AF45" i="303"/>
  <c r="H45" i="303"/>
  <c r="W44" i="303"/>
  <c r="N44" i="303" s="1"/>
  <c r="P44" i="303"/>
  <c r="H44" i="303"/>
  <c r="AE43" i="303"/>
  <c r="AD43" i="303"/>
  <c r="AA43" i="303"/>
  <c r="Z43" i="303"/>
  <c r="M43" i="303"/>
  <c r="W42" i="303"/>
  <c r="H42" i="303"/>
  <c r="W41" i="303"/>
  <c r="AG40" i="303"/>
  <c r="AF40" i="303"/>
  <c r="W40" i="303"/>
  <c r="H40" i="303"/>
  <c r="AG39" i="303"/>
  <c r="AF39" i="303"/>
  <c r="W39" i="303"/>
  <c r="H39" i="303"/>
  <c r="AG38" i="303"/>
  <c r="AF38" i="303"/>
  <c r="W38" i="303"/>
  <c r="H38" i="303"/>
  <c r="W37" i="303"/>
  <c r="N37" i="303" s="1"/>
  <c r="AG37" i="303" s="1"/>
  <c r="P37" i="303"/>
  <c r="H37" i="303"/>
  <c r="W36" i="303"/>
  <c r="N36" i="303"/>
  <c r="P36" i="303"/>
  <c r="H36" i="303"/>
  <c r="W35" i="303"/>
  <c r="N35" i="303" s="1"/>
  <c r="AG35" i="303" s="1"/>
  <c r="P35" i="303"/>
  <c r="O35" i="303"/>
  <c r="H35" i="303"/>
  <c r="W34" i="303"/>
  <c r="N34" i="303"/>
  <c r="P34" i="303"/>
  <c r="H34" i="303"/>
  <c r="W33" i="303"/>
  <c r="N33" i="303" s="1"/>
  <c r="P33" i="303"/>
  <c r="O33" i="303"/>
  <c r="H33" i="303"/>
  <c r="W32" i="303"/>
  <c r="N32" i="303"/>
  <c r="P32" i="303"/>
  <c r="H32" i="303"/>
  <c r="W31" i="303"/>
  <c r="N31" i="303"/>
  <c r="O31" i="303" s="1"/>
  <c r="P31" i="303"/>
  <c r="H31" i="303"/>
  <c r="AE30" i="303"/>
  <c r="AD30" i="303"/>
  <c r="AA30" i="303"/>
  <c r="Z30" i="303"/>
  <c r="M30" i="303"/>
  <c r="AF29" i="303"/>
  <c r="W29" i="303"/>
  <c r="H29" i="303"/>
  <c r="AG28" i="303"/>
  <c r="AF28" i="303"/>
  <c r="W28" i="303"/>
  <c r="P28" i="303"/>
  <c r="H28" i="303"/>
  <c r="AG27" i="303"/>
  <c r="AF27" i="303"/>
  <c r="W27" i="303"/>
  <c r="P27" i="303"/>
  <c r="H27" i="303"/>
  <c r="AG26" i="303"/>
  <c r="AF26" i="303"/>
  <c r="W26" i="303"/>
  <c r="P26" i="303"/>
  <c r="H26" i="303"/>
  <c r="AG25" i="303"/>
  <c r="AF25" i="303"/>
  <c r="W25" i="303"/>
  <c r="P25" i="303"/>
  <c r="H25" i="303"/>
  <c r="W24" i="303"/>
  <c r="N24" i="303" s="1"/>
  <c r="O24" i="303"/>
  <c r="P24" i="303"/>
  <c r="H24" i="303"/>
  <c r="W23" i="303"/>
  <c r="N23" i="303"/>
  <c r="AF23" i="303" s="1"/>
  <c r="P23" i="303"/>
  <c r="H23" i="303"/>
  <c r="W22" i="303"/>
  <c r="N22" i="303" s="1"/>
  <c r="AG22" i="303" s="1"/>
  <c r="O22" i="303"/>
  <c r="R22" i="303" s="1"/>
  <c r="P22" i="303"/>
  <c r="H22" i="303"/>
  <c r="W21" i="303"/>
  <c r="N21" i="303"/>
  <c r="AF21" i="303" s="1"/>
  <c r="P21" i="303"/>
  <c r="H21" i="303"/>
  <c r="W20" i="303"/>
  <c r="N20" i="303" s="1"/>
  <c r="AG20" i="303" s="1"/>
  <c r="P20" i="303"/>
  <c r="H20" i="303"/>
  <c r="W19" i="303"/>
  <c r="N19" i="303"/>
  <c r="P19" i="303"/>
  <c r="H19" i="303"/>
  <c r="W18" i="303"/>
  <c r="N18" i="303" s="1"/>
  <c r="P18" i="303"/>
  <c r="H18" i="303"/>
  <c r="AE17" i="303"/>
  <c r="AD17" i="303"/>
  <c r="AA17" i="303"/>
  <c r="Z17" i="303"/>
  <c r="W17" i="303"/>
  <c r="M17" i="303"/>
  <c r="AG16" i="303"/>
  <c r="W16" i="303"/>
  <c r="H16" i="303"/>
  <c r="AG15" i="303"/>
  <c r="W15" i="303"/>
  <c r="H15" i="303"/>
  <c r="AG14" i="303"/>
  <c r="W14" i="303"/>
  <c r="H14" i="303"/>
  <c r="AG13" i="303"/>
  <c r="AF13" i="303"/>
  <c r="W13" i="303"/>
  <c r="H13" i="303"/>
  <c r="W12" i="303"/>
  <c r="N12" i="303" s="1"/>
  <c r="P12" i="303"/>
  <c r="H12" i="303"/>
  <c r="W11" i="303"/>
  <c r="N11" i="303"/>
  <c r="AF11" i="303" s="1"/>
  <c r="P11" i="303"/>
  <c r="H11" i="303"/>
  <c r="W10" i="303"/>
  <c r="N10" i="303" s="1"/>
  <c r="P10" i="303"/>
  <c r="H10" i="303"/>
  <c r="W9" i="303"/>
  <c r="N9" i="303"/>
  <c r="AF9" i="303" s="1"/>
  <c r="P9" i="303"/>
  <c r="H9" i="303"/>
  <c r="W8" i="303"/>
  <c r="N8" i="303" s="1"/>
  <c r="P8" i="303"/>
  <c r="H8" i="303"/>
  <c r="W7" i="303"/>
  <c r="N7" i="303"/>
  <c r="AF7" i="303" s="1"/>
  <c r="P7" i="303"/>
  <c r="H7" i="303"/>
  <c r="W6" i="303"/>
  <c r="N6" i="303" s="1"/>
  <c r="P6" i="303"/>
  <c r="H6" i="303"/>
  <c r="W5" i="303"/>
  <c r="N5" i="303" s="1"/>
  <c r="P5" i="303"/>
  <c r="H5" i="303"/>
  <c r="I2" i="303"/>
  <c r="E1" i="303"/>
  <c r="AG166" i="304" l="1"/>
  <c r="N164" i="304"/>
  <c r="AG136" i="304"/>
  <c r="AG128" i="304"/>
  <c r="AF123" i="304"/>
  <c r="AG97" i="304"/>
  <c r="N50" i="304"/>
  <c r="AG50" i="304" s="1"/>
  <c r="AG18" i="304"/>
  <c r="AG112" i="303"/>
  <c r="AG115" i="304"/>
  <c r="AG113" i="304"/>
  <c r="AG111" i="304"/>
  <c r="O100" i="304"/>
  <c r="O97" i="304"/>
  <c r="N75" i="304"/>
  <c r="AG75" i="304" s="1"/>
  <c r="AF57" i="304"/>
  <c r="O57" i="304"/>
  <c r="N45" i="304"/>
  <c r="O45" i="304" s="1"/>
  <c r="N36" i="304"/>
  <c r="N139" i="303"/>
  <c r="N129" i="303"/>
  <c r="Q112" i="303"/>
  <c r="AG102" i="303"/>
  <c r="O75" i="303"/>
  <c r="N88" i="303"/>
  <c r="AG5" i="304"/>
  <c r="P17" i="304"/>
  <c r="AD2" i="304"/>
  <c r="AA2" i="304"/>
  <c r="AG166" i="303"/>
  <c r="Q166" i="303"/>
  <c r="AG164" i="303"/>
  <c r="AG162" i="303"/>
  <c r="N141" i="303"/>
  <c r="O115" i="303"/>
  <c r="AG114" i="303"/>
  <c r="O73" i="303"/>
  <c r="AG49" i="303"/>
  <c r="Q49" i="303"/>
  <c r="AG47" i="303"/>
  <c r="AG45" i="303"/>
  <c r="AG31" i="303"/>
  <c r="Q31" i="303"/>
  <c r="AG24" i="303"/>
  <c r="AF24" i="303"/>
  <c r="AF22" i="303"/>
  <c r="O19" i="303"/>
  <c r="Q19" i="303" s="1"/>
  <c r="AF130" i="304"/>
  <c r="O129" i="304"/>
  <c r="AF128" i="304"/>
  <c r="N127" i="304"/>
  <c r="O127" i="304" s="1"/>
  <c r="AF126" i="304"/>
  <c r="N125" i="304"/>
  <c r="AF124" i="304"/>
  <c r="N122" i="304"/>
  <c r="O96" i="304"/>
  <c r="AG90" i="304"/>
  <c r="O90" i="304"/>
  <c r="AG89" i="304"/>
  <c r="N49" i="304"/>
  <c r="O49" i="304" s="1"/>
  <c r="N48" i="304"/>
  <c r="N46" i="304"/>
  <c r="O37" i="304"/>
  <c r="N34" i="304"/>
  <c r="AF33" i="304"/>
  <c r="O33" i="304"/>
  <c r="N23" i="304"/>
  <c r="N150" i="303"/>
  <c r="N143" i="303"/>
  <c r="N125" i="303"/>
  <c r="AG116" i="303"/>
  <c r="AF116" i="303"/>
  <c r="AF114" i="303"/>
  <c r="AF112" i="303"/>
  <c r="N111" i="303"/>
  <c r="AF103" i="303"/>
  <c r="N90" i="303"/>
  <c r="N86" i="303"/>
  <c r="N84" i="303"/>
  <c r="AF82" i="303"/>
  <c r="AG74" i="303"/>
  <c r="AG72" i="303"/>
  <c r="O71" i="303"/>
  <c r="AD2" i="303"/>
  <c r="AG9" i="303"/>
  <c r="AG7" i="303"/>
  <c r="AE2" i="303"/>
  <c r="AA2" i="303"/>
  <c r="Z2" i="303"/>
  <c r="I1" i="303"/>
  <c r="AG138" i="304"/>
  <c r="AF135" i="304"/>
  <c r="AF97" i="304"/>
  <c r="I1" i="304"/>
  <c r="O88" i="304"/>
  <c r="AF83" i="304"/>
  <c r="O70" i="303"/>
  <c r="AG162" i="304"/>
  <c r="AG142" i="304"/>
  <c r="N140" i="304"/>
  <c r="O123" i="304"/>
  <c r="O103" i="304"/>
  <c r="N102" i="304"/>
  <c r="AF102" i="304" s="1"/>
  <c r="AG100" i="304"/>
  <c r="AG99" i="304"/>
  <c r="AG88" i="304"/>
  <c r="AG87" i="304"/>
  <c r="O83" i="304"/>
  <c r="R83" i="304" s="1"/>
  <c r="AF110" i="303"/>
  <c r="O103" i="303"/>
  <c r="O102" i="303"/>
  <c r="P95" i="304"/>
  <c r="AG5" i="303"/>
  <c r="AF5" i="303"/>
  <c r="N17" i="303"/>
  <c r="O5" i="303"/>
  <c r="AG12" i="303"/>
  <c r="AF12" i="303"/>
  <c r="O12" i="303"/>
  <c r="G1" i="303"/>
  <c r="G2" i="303" s="1"/>
  <c r="AF6" i="303"/>
  <c r="AG6" i="303"/>
  <c r="O6" i="303"/>
  <c r="AG18" i="303"/>
  <c r="N30" i="303"/>
  <c r="AF18" i="303"/>
  <c r="O18" i="303"/>
  <c r="AF104" i="303"/>
  <c r="AG104" i="303"/>
  <c r="O104" i="303"/>
  <c r="AG8" i="303"/>
  <c r="AF8" i="303"/>
  <c r="O8" i="303"/>
  <c r="AG10" i="303"/>
  <c r="AF10" i="303"/>
  <c r="O10" i="303"/>
  <c r="R19" i="303"/>
  <c r="AG11" i="303"/>
  <c r="AG19" i="303"/>
  <c r="R24" i="303"/>
  <c r="AF31" i="303"/>
  <c r="AF32" i="303"/>
  <c r="O32" i="303"/>
  <c r="AG32" i="303"/>
  <c r="AF33" i="303"/>
  <c r="P43" i="303"/>
  <c r="AG46" i="303"/>
  <c r="AF46" i="303"/>
  <c r="Q82" i="303"/>
  <c r="AG82" i="303"/>
  <c r="AH70" i="303" s="1"/>
  <c r="P71" i="303"/>
  <c r="P73" i="303"/>
  <c r="P75" i="303"/>
  <c r="AF83" i="303"/>
  <c r="N95" i="303"/>
  <c r="O83" i="303"/>
  <c r="O97" i="303"/>
  <c r="AG97" i="303"/>
  <c r="AG98" i="303"/>
  <c r="AF98" i="303"/>
  <c r="O98" i="303"/>
  <c r="P108" i="303"/>
  <c r="AF122" i="303"/>
  <c r="N134" i="303"/>
  <c r="O122" i="303"/>
  <c r="AG122" i="303"/>
  <c r="AG137" i="303"/>
  <c r="AF137" i="303"/>
  <c r="O137" i="303"/>
  <c r="O142" i="303"/>
  <c r="AG142" i="303"/>
  <c r="AF142" i="303"/>
  <c r="O9" i="304"/>
  <c r="AG9" i="304"/>
  <c r="AF9" i="304"/>
  <c r="O20" i="304"/>
  <c r="AG20" i="304"/>
  <c r="AF20" i="304"/>
  <c r="O24" i="304"/>
  <c r="AG24" i="304"/>
  <c r="AF24" i="304"/>
  <c r="R33" i="304"/>
  <c r="Q33" i="304"/>
  <c r="O44" i="304"/>
  <c r="AG44" i="304"/>
  <c r="N56" i="304"/>
  <c r="AF44" i="304"/>
  <c r="AF61" i="304"/>
  <c r="O61" i="304"/>
  <c r="AG61" i="304"/>
  <c r="AF86" i="304"/>
  <c r="O86" i="304"/>
  <c r="AG86" i="304"/>
  <c r="R110" i="304"/>
  <c r="Q110" i="304"/>
  <c r="P17" i="303"/>
  <c r="P30" i="303"/>
  <c r="R33" i="303"/>
  <c r="Q33" i="303"/>
  <c r="N43" i="303"/>
  <c r="AG48" i="303"/>
  <c r="AF48" i="303"/>
  <c r="R50" i="303"/>
  <c r="Q50" i="303"/>
  <c r="O96" i="303"/>
  <c r="AG96" i="303"/>
  <c r="N108" i="303"/>
  <c r="AF96" i="303"/>
  <c r="AF97" i="303"/>
  <c r="R116" i="303"/>
  <c r="Q116" i="303"/>
  <c r="AF124" i="303"/>
  <c r="AF128" i="303"/>
  <c r="O136" i="303"/>
  <c r="AG136" i="303"/>
  <c r="AF136" i="303"/>
  <c r="AG141" i="303"/>
  <c r="AF141" i="303"/>
  <c r="O141" i="303"/>
  <c r="R162" i="303"/>
  <c r="Q162" i="303"/>
  <c r="AG165" i="303"/>
  <c r="AF165" i="303"/>
  <c r="O165" i="303"/>
  <c r="AG8" i="304"/>
  <c r="AF8" i="304"/>
  <c r="O8" i="304"/>
  <c r="AG19" i="304"/>
  <c r="AF19" i="304"/>
  <c r="O19" i="304"/>
  <c r="AG23" i="304"/>
  <c r="AF23" i="304"/>
  <c r="O23" i="304"/>
  <c r="O7" i="303"/>
  <c r="O9" i="303"/>
  <c r="O20" i="303"/>
  <c r="AF20" i="303"/>
  <c r="O23" i="303"/>
  <c r="AG23" i="303"/>
  <c r="Q24" i="303"/>
  <c r="R31" i="303"/>
  <c r="AF36" i="303"/>
  <c r="O36" i="303"/>
  <c r="AG36" i="303"/>
  <c r="AF37" i="303"/>
  <c r="O44" i="303"/>
  <c r="AG44" i="303"/>
  <c r="R47" i="303"/>
  <c r="AG50" i="303"/>
  <c r="AF50" i="303"/>
  <c r="P56" i="303"/>
  <c r="O58" i="303"/>
  <c r="AG58" i="303"/>
  <c r="AG59" i="303"/>
  <c r="AF59" i="303"/>
  <c r="O59" i="303"/>
  <c r="O60" i="303"/>
  <c r="AG60" i="303"/>
  <c r="AG61" i="303"/>
  <c r="AF61" i="303"/>
  <c r="O61" i="303"/>
  <c r="O62" i="303"/>
  <c r="AG62" i="303"/>
  <c r="P70" i="303"/>
  <c r="R71" i="303"/>
  <c r="Q71" i="303"/>
  <c r="R73" i="303"/>
  <c r="Q73" i="303"/>
  <c r="R75" i="303"/>
  <c r="Q75" i="303"/>
  <c r="AG84" i="303"/>
  <c r="AF84" i="303"/>
  <c r="O84" i="303"/>
  <c r="O85" i="303"/>
  <c r="AG85" i="303"/>
  <c r="AG86" i="303"/>
  <c r="AF86" i="303"/>
  <c r="O86" i="303"/>
  <c r="O87" i="303"/>
  <c r="AG87" i="303"/>
  <c r="AG88" i="303"/>
  <c r="AF88" i="303"/>
  <c r="O88" i="303"/>
  <c r="O89" i="303"/>
  <c r="AG89" i="303"/>
  <c r="AG90" i="303"/>
  <c r="AF90" i="303"/>
  <c r="O90" i="303"/>
  <c r="O91" i="303"/>
  <c r="AG91" i="303"/>
  <c r="O99" i="303"/>
  <c r="AG99" i="303"/>
  <c r="AG100" i="303"/>
  <c r="AF100" i="303"/>
  <c r="O100" i="303"/>
  <c r="AG105" i="303"/>
  <c r="O105" i="303"/>
  <c r="AF105" i="303"/>
  <c r="R113" i="303"/>
  <c r="Q113" i="303"/>
  <c r="O140" i="303"/>
  <c r="AG140" i="303"/>
  <c r="AF140" i="303"/>
  <c r="P173" i="303"/>
  <c r="O7" i="304"/>
  <c r="AG7" i="304"/>
  <c r="AF7" i="304"/>
  <c r="O11" i="304"/>
  <c r="AG11" i="304"/>
  <c r="AF11" i="304"/>
  <c r="O22" i="304"/>
  <c r="AG22" i="304"/>
  <c r="AF22" i="304"/>
  <c r="O11" i="303"/>
  <c r="AF19" i="303"/>
  <c r="O21" i="303"/>
  <c r="AG21" i="303"/>
  <c r="Q22" i="303"/>
  <c r="AG33" i="303"/>
  <c r="AF34" i="303"/>
  <c r="O34" i="303"/>
  <c r="AG34" i="303"/>
  <c r="R35" i="303"/>
  <c r="AF35" i="303"/>
  <c r="O37" i="303"/>
  <c r="AF44" i="303"/>
  <c r="Q45" i="303"/>
  <c r="O46" i="303"/>
  <c r="R48" i="303"/>
  <c r="R49" i="303"/>
  <c r="N56" i="303"/>
  <c r="O57" i="303"/>
  <c r="AG57" i="303"/>
  <c r="N69" i="303"/>
  <c r="AF57" i="303"/>
  <c r="AF58" i="303"/>
  <c r="AF60" i="303"/>
  <c r="AF62" i="303"/>
  <c r="P69" i="303"/>
  <c r="AG71" i="303"/>
  <c r="AF71" i="303"/>
  <c r="AF72" i="303"/>
  <c r="O72" i="303"/>
  <c r="AG73" i="303"/>
  <c r="AF73" i="303"/>
  <c r="AF74" i="303"/>
  <c r="O74" i="303"/>
  <c r="AG75" i="303"/>
  <c r="AF75" i="303"/>
  <c r="P82" i="303"/>
  <c r="AG83" i="303"/>
  <c r="AF85" i="303"/>
  <c r="AF87" i="303"/>
  <c r="AF89" i="303"/>
  <c r="AF91" i="303"/>
  <c r="AF99" i="303"/>
  <c r="AG101" i="303"/>
  <c r="AF101" i="303"/>
  <c r="O101" i="303"/>
  <c r="R103" i="303"/>
  <c r="Q103" i="303"/>
  <c r="AF126" i="303"/>
  <c r="AF130" i="303"/>
  <c r="AF138" i="303"/>
  <c r="AG143" i="303"/>
  <c r="AF143" i="303"/>
  <c r="O143" i="303"/>
  <c r="AG6" i="304"/>
  <c r="AF6" i="304"/>
  <c r="O6" i="304"/>
  <c r="AG10" i="304"/>
  <c r="AF10" i="304"/>
  <c r="O10" i="304"/>
  <c r="AG21" i="304"/>
  <c r="AF21" i="304"/>
  <c r="O21" i="304"/>
  <c r="N30" i="304"/>
  <c r="P95" i="303"/>
  <c r="O109" i="303"/>
  <c r="N121" i="303"/>
  <c r="AG109" i="303"/>
  <c r="AF109" i="303"/>
  <c r="AG113" i="303"/>
  <c r="AF113" i="303"/>
  <c r="Q114" i="303"/>
  <c r="R115" i="303"/>
  <c r="Q115" i="303"/>
  <c r="R117" i="303"/>
  <c r="O135" i="303"/>
  <c r="AG135" i="303"/>
  <c r="N147" i="303"/>
  <c r="AF135" i="303"/>
  <c r="P147" i="303"/>
  <c r="O149" i="303"/>
  <c r="AG149" i="303"/>
  <c r="AG150" i="303"/>
  <c r="AF150" i="303"/>
  <c r="O150" i="303"/>
  <c r="O161" i="303"/>
  <c r="N173" i="303"/>
  <c r="AG161" i="303"/>
  <c r="R163" i="303"/>
  <c r="R164" i="303"/>
  <c r="N43" i="304"/>
  <c r="O31" i="304"/>
  <c r="AG31" i="304"/>
  <c r="AF34" i="304"/>
  <c r="AG34" i="304"/>
  <c r="O34" i="304"/>
  <c r="AF70" i="303"/>
  <c r="P121" i="303"/>
  <c r="R112" i="303"/>
  <c r="AG115" i="303"/>
  <c r="AF115" i="303"/>
  <c r="AG123" i="303"/>
  <c r="AF123" i="303"/>
  <c r="O123" i="303"/>
  <c r="O124" i="303"/>
  <c r="AG124" i="303"/>
  <c r="AG125" i="303"/>
  <c r="AF125" i="303"/>
  <c r="O125" i="303"/>
  <c r="O126" i="303"/>
  <c r="AG126" i="303"/>
  <c r="AG127" i="303"/>
  <c r="AF127" i="303"/>
  <c r="O127" i="303"/>
  <c r="O128" i="303"/>
  <c r="AG128" i="303"/>
  <c r="AG129" i="303"/>
  <c r="AF129" i="303"/>
  <c r="O129" i="303"/>
  <c r="O130" i="303"/>
  <c r="AG130" i="303"/>
  <c r="O138" i="303"/>
  <c r="AG138" i="303"/>
  <c r="AG139" i="303"/>
  <c r="AF139" i="303"/>
  <c r="O139" i="303"/>
  <c r="O148" i="303"/>
  <c r="AG148" i="303"/>
  <c r="AF148" i="303"/>
  <c r="AF149" i="303"/>
  <c r="AF161" i="303"/>
  <c r="R166" i="303"/>
  <c r="G1" i="304"/>
  <c r="G2" i="304" s="1"/>
  <c r="AF5" i="304"/>
  <c r="N17" i="304"/>
  <c r="O5" i="304"/>
  <c r="AE2" i="304"/>
  <c r="AF18" i="304"/>
  <c r="O18" i="304"/>
  <c r="AF31" i="304"/>
  <c r="R47" i="304"/>
  <c r="Q47" i="304"/>
  <c r="AG70" i="303"/>
  <c r="O110" i="303"/>
  <c r="AG110" i="303"/>
  <c r="AG111" i="303"/>
  <c r="AF111" i="303"/>
  <c r="O111" i="303"/>
  <c r="AG117" i="303"/>
  <c r="AF117" i="303"/>
  <c r="AG163" i="303"/>
  <c r="AF163" i="303"/>
  <c r="P134" i="303"/>
  <c r="AG35" i="304"/>
  <c r="R37" i="304"/>
  <c r="Q37" i="304"/>
  <c r="AF45" i="304"/>
  <c r="AG48" i="304"/>
  <c r="AF48" i="304"/>
  <c r="O48" i="304"/>
  <c r="P56" i="304"/>
  <c r="AF59" i="304"/>
  <c r="O59" i="304"/>
  <c r="AG59" i="304"/>
  <c r="AG62" i="304"/>
  <c r="AF62" i="304"/>
  <c r="O62" i="304"/>
  <c r="AF84" i="304"/>
  <c r="O84" i="304"/>
  <c r="AG84" i="304"/>
  <c r="P5" i="304"/>
  <c r="P43" i="304"/>
  <c r="O32" i="304"/>
  <c r="AG32" i="304"/>
  <c r="AF35" i="304"/>
  <c r="AG37" i="304"/>
  <c r="AF37" i="304"/>
  <c r="R45" i="304"/>
  <c r="Q45" i="304"/>
  <c r="R49" i="304"/>
  <c r="Q49" i="304"/>
  <c r="AG60" i="304"/>
  <c r="AF60" i="304"/>
  <c r="O60" i="304"/>
  <c r="R72" i="304"/>
  <c r="Q72" i="304"/>
  <c r="R74" i="304"/>
  <c r="Q74" i="304"/>
  <c r="AG85" i="304"/>
  <c r="AF85" i="304"/>
  <c r="O85" i="304"/>
  <c r="R35" i="304"/>
  <c r="Q35" i="304"/>
  <c r="AG46" i="304"/>
  <c r="AF46" i="304"/>
  <c r="O46" i="304"/>
  <c r="AF47" i="304"/>
  <c r="AG58" i="304"/>
  <c r="AF58" i="304"/>
  <c r="O58" i="304"/>
  <c r="O69" i="304" s="1"/>
  <c r="R69" i="304" s="1"/>
  <c r="S57" i="304" s="1"/>
  <c r="AF49" i="304"/>
  <c r="AG70" i="304"/>
  <c r="AF72" i="304"/>
  <c r="AF74" i="304"/>
  <c r="N82" i="304"/>
  <c r="Q83" i="304"/>
  <c r="P87" i="304"/>
  <c r="AG96" i="304"/>
  <c r="N108" i="304"/>
  <c r="R97" i="304"/>
  <c r="AG105" i="304"/>
  <c r="AF105" i="304"/>
  <c r="AG114" i="304"/>
  <c r="AF114" i="304"/>
  <c r="R128" i="304"/>
  <c r="Q128" i="304"/>
  <c r="O141" i="304"/>
  <c r="AG141" i="304"/>
  <c r="AF141" i="304"/>
  <c r="AF149" i="304"/>
  <c r="O149" i="304"/>
  <c r="AG149" i="304"/>
  <c r="AG45" i="304"/>
  <c r="AG47" i="304"/>
  <c r="AG49" i="304"/>
  <c r="O50" i="304"/>
  <c r="P57" i="304"/>
  <c r="P58" i="304"/>
  <c r="P60" i="304"/>
  <c r="P62" i="304"/>
  <c r="O70" i="304"/>
  <c r="O71" i="304"/>
  <c r="AG72" i="304"/>
  <c r="O73" i="304"/>
  <c r="AG74" i="304"/>
  <c r="AG83" i="304"/>
  <c r="P85" i="304"/>
  <c r="P96" i="304"/>
  <c r="AF96" i="304"/>
  <c r="O98" i="304"/>
  <c r="AG98" i="304"/>
  <c r="P108" i="304"/>
  <c r="AG112" i="304"/>
  <c r="AF112" i="304"/>
  <c r="AF117" i="304"/>
  <c r="O117" i="304"/>
  <c r="R130" i="304"/>
  <c r="Q130" i="304"/>
  <c r="N69" i="304"/>
  <c r="AF71" i="304"/>
  <c r="AF73" i="304"/>
  <c r="O89" i="304"/>
  <c r="Q100" i="304"/>
  <c r="O101" i="304"/>
  <c r="AF101" i="304"/>
  <c r="AF104" i="304"/>
  <c r="O104" i="304"/>
  <c r="AG104" i="304"/>
  <c r="AG110" i="304"/>
  <c r="AF110" i="304"/>
  <c r="AG116" i="304"/>
  <c r="AF116" i="304"/>
  <c r="AG117" i="304"/>
  <c r="R124" i="304"/>
  <c r="Q124" i="304"/>
  <c r="P134" i="304"/>
  <c r="R57" i="304"/>
  <c r="AG95" i="304"/>
  <c r="AH83" i="304" s="1"/>
  <c r="P83" i="304"/>
  <c r="O87" i="304"/>
  <c r="O99" i="304"/>
  <c r="AF103" i="304"/>
  <c r="O105" i="304"/>
  <c r="P121" i="304"/>
  <c r="P109" i="304"/>
  <c r="AG109" i="304"/>
  <c r="N121" i="304"/>
  <c r="AF109" i="304"/>
  <c r="Q112" i="304"/>
  <c r="O114" i="304"/>
  <c r="AF115" i="304"/>
  <c r="O115" i="304"/>
  <c r="R116" i="304"/>
  <c r="P116" i="304"/>
  <c r="P122" i="304"/>
  <c r="R126" i="304"/>
  <c r="Q126" i="304"/>
  <c r="AG124" i="304"/>
  <c r="AG126" i="304"/>
  <c r="AG130" i="304"/>
  <c r="O139" i="304"/>
  <c r="AG139" i="304"/>
  <c r="AF139" i="304"/>
  <c r="AF151" i="304"/>
  <c r="O151" i="304"/>
  <c r="AG151" i="304"/>
  <c r="O161" i="304"/>
  <c r="N173" i="304"/>
  <c r="AG161" i="304"/>
  <c r="AF161" i="304"/>
  <c r="AG165" i="304"/>
  <c r="AF165" i="304"/>
  <c r="O165" i="304"/>
  <c r="R109" i="304"/>
  <c r="O111" i="304"/>
  <c r="O113" i="304"/>
  <c r="O137" i="304"/>
  <c r="AG137" i="304"/>
  <c r="AF137" i="304"/>
  <c r="O148" i="304"/>
  <c r="AG148" i="304"/>
  <c r="N160" i="304"/>
  <c r="AF148" i="304"/>
  <c r="AG123" i="304"/>
  <c r="AG125" i="304"/>
  <c r="AG127" i="304"/>
  <c r="AF127" i="304"/>
  <c r="AG129" i="304"/>
  <c r="AF129" i="304"/>
  <c r="O143" i="304"/>
  <c r="AG143" i="304"/>
  <c r="AF143" i="304"/>
  <c r="P147" i="304"/>
  <c r="P160" i="304"/>
  <c r="AG163" i="304"/>
  <c r="AF163" i="304"/>
  <c r="O163" i="304"/>
  <c r="AG135" i="304"/>
  <c r="P137" i="304"/>
  <c r="O150" i="304"/>
  <c r="O135" i="304"/>
  <c r="O136" i="304"/>
  <c r="O138" i="304"/>
  <c r="O142" i="304"/>
  <c r="P150" i="304"/>
  <c r="AF150" i="304"/>
  <c r="P173" i="304"/>
  <c r="O162" i="304"/>
  <c r="O164" i="304"/>
  <c r="O166" i="304"/>
  <c r="AG164" i="304" l="1"/>
  <c r="AF164" i="304"/>
  <c r="AG36" i="304"/>
  <c r="AF36" i="304"/>
  <c r="O125" i="304"/>
  <c r="Q125" i="304" s="1"/>
  <c r="AF125" i="304"/>
  <c r="AG122" i="304"/>
  <c r="N134" i="304"/>
  <c r="AF134" i="304" s="1"/>
  <c r="AG140" i="304"/>
  <c r="N147" i="304"/>
  <c r="AF140" i="304"/>
  <c r="Q102" i="303"/>
  <c r="R102" i="303"/>
  <c r="N160" i="303"/>
  <c r="O75" i="304"/>
  <c r="Q90" i="304"/>
  <c r="O108" i="304"/>
  <c r="O36" i="304"/>
  <c r="AF50" i="304"/>
  <c r="AF75" i="304"/>
  <c r="R88" i="304"/>
  <c r="Q96" i="304"/>
  <c r="Q97" i="304"/>
  <c r="O102" i="304"/>
  <c r="AG102" i="304"/>
  <c r="Q103" i="304"/>
  <c r="R129" i="304"/>
  <c r="AF122" i="304"/>
  <c r="R123" i="304"/>
  <c r="R127" i="304"/>
  <c r="Q129" i="304"/>
  <c r="O122" i="304"/>
  <c r="O140" i="304"/>
  <c r="O43" i="303"/>
  <c r="Q140" i="304"/>
  <c r="R140" i="304"/>
  <c r="R150" i="304"/>
  <c r="Q150" i="304"/>
  <c r="R143" i="304"/>
  <c r="Q143" i="304"/>
  <c r="Q122" i="304"/>
  <c r="O134" i="304"/>
  <c r="R122" i="304"/>
  <c r="O160" i="304"/>
  <c r="R148" i="304"/>
  <c r="Q148" i="304"/>
  <c r="R165" i="304"/>
  <c r="Q165" i="304"/>
  <c r="R151" i="304"/>
  <c r="Q151" i="304"/>
  <c r="R139" i="304"/>
  <c r="Q139" i="304"/>
  <c r="Q127" i="304"/>
  <c r="AG134" i="304"/>
  <c r="AH122" i="304" s="1"/>
  <c r="Q104" i="304"/>
  <c r="R104" i="304"/>
  <c r="R89" i="304"/>
  <c r="Q89" i="304"/>
  <c r="R117" i="304"/>
  <c r="Q117" i="304"/>
  <c r="Q70" i="304"/>
  <c r="O82" i="304"/>
  <c r="R82" i="304" s="1"/>
  <c r="S70" i="304" s="1"/>
  <c r="R70" i="304"/>
  <c r="Q123" i="304"/>
  <c r="R112" i="304"/>
  <c r="R103" i="304"/>
  <c r="Q82" i="304"/>
  <c r="AG82" i="304"/>
  <c r="AH70" i="304" s="1"/>
  <c r="AF82" i="304"/>
  <c r="Q48" i="304"/>
  <c r="R48" i="304"/>
  <c r="Q111" i="303"/>
  <c r="R111" i="303"/>
  <c r="R110" i="303"/>
  <c r="Q110" i="303"/>
  <c r="R130" i="303"/>
  <c r="Q130" i="303"/>
  <c r="Q123" i="303"/>
  <c r="R123" i="303"/>
  <c r="Q150" i="303"/>
  <c r="R150" i="303"/>
  <c r="R149" i="303"/>
  <c r="Q149" i="303"/>
  <c r="O121" i="303"/>
  <c r="R109" i="303"/>
  <c r="Q109" i="303"/>
  <c r="Q21" i="304"/>
  <c r="R21" i="304"/>
  <c r="O69" i="303"/>
  <c r="R69" i="303" s="1"/>
  <c r="S57" i="303" s="1"/>
  <c r="R57" i="303"/>
  <c r="Q57" i="303"/>
  <c r="R46" i="303"/>
  <c r="Q46" i="303"/>
  <c r="R37" i="303"/>
  <c r="Q37" i="303"/>
  <c r="R34" i="303"/>
  <c r="Q34" i="303"/>
  <c r="R11" i="303"/>
  <c r="Q11" i="303"/>
  <c r="Q117" i="303"/>
  <c r="Q88" i="303"/>
  <c r="R88" i="303"/>
  <c r="R87" i="303"/>
  <c r="Q87" i="303"/>
  <c r="Q61" i="303"/>
  <c r="R61" i="303"/>
  <c r="R60" i="303"/>
  <c r="Q60" i="303"/>
  <c r="O56" i="303"/>
  <c r="R56" i="303" s="1"/>
  <c r="S44" i="303" s="1"/>
  <c r="R44" i="303"/>
  <c r="Q44" i="303"/>
  <c r="Q36" i="303"/>
  <c r="R36" i="303"/>
  <c r="R20" i="303"/>
  <c r="Q20" i="303"/>
  <c r="Q23" i="304"/>
  <c r="R23" i="304"/>
  <c r="AF95" i="304"/>
  <c r="O56" i="304"/>
  <c r="R56" i="304" s="1"/>
  <c r="S44" i="304" s="1"/>
  <c r="R44" i="304"/>
  <c r="Q44" i="304"/>
  <c r="R20" i="304"/>
  <c r="Q20" i="304"/>
  <c r="AG134" i="303"/>
  <c r="AH122" i="303" s="1"/>
  <c r="AF134" i="303"/>
  <c r="Q83" i="303"/>
  <c r="O95" i="303"/>
  <c r="R83" i="303"/>
  <c r="R5" i="303"/>
  <c r="Q5" i="303"/>
  <c r="O17" i="303"/>
  <c r="R166" i="304"/>
  <c r="Q166" i="304"/>
  <c r="Q138" i="304"/>
  <c r="R138" i="304"/>
  <c r="R163" i="304"/>
  <c r="Q163" i="304"/>
  <c r="R113" i="304"/>
  <c r="Q113" i="304"/>
  <c r="AG173" i="304"/>
  <c r="AH161" i="304" s="1"/>
  <c r="AF173" i="304"/>
  <c r="R115" i="304"/>
  <c r="Q115" i="304"/>
  <c r="R108" i="304"/>
  <c r="S96" i="304" s="1"/>
  <c r="R125" i="304"/>
  <c r="R98" i="304"/>
  <c r="Q98" i="304"/>
  <c r="Q73" i="304"/>
  <c r="R73" i="304"/>
  <c r="Q50" i="304"/>
  <c r="R50" i="304"/>
  <c r="R96" i="304"/>
  <c r="Q109" i="304"/>
  <c r="R58" i="304"/>
  <c r="Q58" i="304"/>
  <c r="Q46" i="304"/>
  <c r="R46" i="304"/>
  <c r="R60" i="304"/>
  <c r="Q60" i="304"/>
  <c r="R90" i="304"/>
  <c r="R62" i="304"/>
  <c r="Q62" i="304"/>
  <c r="R59" i="304"/>
  <c r="Q59" i="304"/>
  <c r="Q18" i="304"/>
  <c r="O30" i="304"/>
  <c r="R18" i="304"/>
  <c r="R148" i="303"/>
  <c r="O160" i="303"/>
  <c r="Q148" i="303"/>
  <c r="Q129" i="303"/>
  <c r="R129" i="303"/>
  <c r="R128" i="303"/>
  <c r="Q128" i="303"/>
  <c r="R34" i="304"/>
  <c r="Q34" i="304"/>
  <c r="O43" i="304"/>
  <c r="R43" i="304" s="1"/>
  <c r="S31" i="304" s="1"/>
  <c r="R31" i="304"/>
  <c r="Q31" i="304"/>
  <c r="O147" i="303"/>
  <c r="R135" i="303"/>
  <c r="Q135" i="303"/>
  <c r="R74" i="303"/>
  <c r="Q74" i="303"/>
  <c r="R72" i="303"/>
  <c r="Q72" i="303"/>
  <c r="AG56" i="303"/>
  <c r="AH44" i="303" s="1"/>
  <c r="Q56" i="303"/>
  <c r="AF56" i="303"/>
  <c r="R7" i="304"/>
  <c r="Q7" i="304"/>
  <c r="R105" i="303"/>
  <c r="Q105" i="303"/>
  <c r="Q86" i="303"/>
  <c r="R86" i="303"/>
  <c r="R85" i="303"/>
  <c r="Q85" i="303"/>
  <c r="Q59" i="303"/>
  <c r="R59" i="303"/>
  <c r="R58" i="303"/>
  <c r="Q58" i="303"/>
  <c r="Q141" i="303"/>
  <c r="R141" i="303"/>
  <c r="O108" i="303"/>
  <c r="R96" i="303"/>
  <c r="Q96" i="303"/>
  <c r="R86" i="304"/>
  <c r="Q86" i="304"/>
  <c r="R24" i="304"/>
  <c r="Q24" i="304"/>
  <c r="AG95" i="303"/>
  <c r="AH83" i="303" s="1"/>
  <c r="AF95" i="303"/>
  <c r="R10" i="303"/>
  <c r="Q10" i="303"/>
  <c r="O82" i="303"/>
  <c r="R82" i="303" s="1"/>
  <c r="S70" i="303" s="1"/>
  <c r="O30" i="303"/>
  <c r="R18" i="303"/>
  <c r="Q18" i="303"/>
  <c r="R6" i="303"/>
  <c r="Q6" i="303"/>
  <c r="R12" i="303"/>
  <c r="Q12" i="303"/>
  <c r="AF17" i="303"/>
  <c r="AG17" i="303"/>
  <c r="AH5" i="303" s="1"/>
  <c r="Q136" i="304"/>
  <c r="R136" i="304"/>
  <c r="R111" i="304"/>
  <c r="Q111" i="304"/>
  <c r="O173" i="304"/>
  <c r="R161" i="304"/>
  <c r="Q161" i="304"/>
  <c r="AF121" i="304"/>
  <c r="AG121" i="304"/>
  <c r="AH109" i="304" s="1"/>
  <c r="R105" i="304"/>
  <c r="Q105" i="304"/>
  <c r="R102" i="304"/>
  <c r="Q102" i="304"/>
  <c r="R87" i="304"/>
  <c r="Q87" i="304"/>
  <c r="O95" i="304"/>
  <c r="AG69" i="304"/>
  <c r="AH57" i="304" s="1"/>
  <c r="Q69" i="304"/>
  <c r="AF69" i="304"/>
  <c r="R36" i="304"/>
  <c r="Q36" i="304"/>
  <c r="Q116" i="304"/>
  <c r="R149" i="304"/>
  <c r="Q149" i="304"/>
  <c r="R141" i="304"/>
  <c r="Q141" i="304"/>
  <c r="AF108" i="304"/>
  <c r="AG108" i="304"/>
  <c r="AH96" i="304" s="1"/>
  <c r="R85" i="304"/>
  <c r="Q85" i="304"/>
  <c r="Q32" i="304"/>
  <c r="R32" i="304"/>
  <c r="O17" i="304"/>
  <c r="Q5" i="304"/>
  <c r="R5" i="304"/>
  <c r="Q139" i="303"/>
  <c r="R139" i="303"/>
  <c r="R138" i="303"/>
  <c r="Q138" i="303"/>
  <c r="Q127" i="303"/>
  <c r="R127" i="303"/>
  <c r="R126" i="303"/>
  <c r="Q126" i="303"/>
  <c r="AG43" i="304"/>
  <c r="AH31" i="304" s="1"/>
  <c r="AF43" i="304"/>
  <c r="Q43" i="304"/>
  <c r="AG173" i="303"/>
  <c r="AH161" i="303" s="1"/>
  <c r="AF173" i="303"/>
  <c r="Q6" i="304"/>
  <c r="R6" i="304"/>
  <c r="R101" i="303"/>
  <c r="Q101" i="303"/>
  <c r="AF69" i="303"/>
  <c r="AG69" i="303"/>
  <c r="AH57" i="303" s="1"/>
  <c r="Q69" i="303"/>
  <c r="R21" i="303"/>
  <c r="Q21" i="303"/>
  <c r="R11" i="304"/>
  <c r="Q11" i="304"/>
  <c r="Q163" i="303"/>
  <c r="R91" i="303"/>
  <c r="Q91" i="303"/>
  <c r="Q84" i="303"/>
  <c r="R84" i="303"/>
  <c r="Q23" i="303"/>
  <c r="R23" i="303"/>
  <c r="R9" i="303"/>
  <c r="Q9" i="303"/>
  <c r="Q8" i="304"/>
  <c r="R8" i="304"/>
  <c r="R165" i="303"/>
  <c r="Q165" i="303"/>
  <c r="R136" i="303"/>
  <c r="Q136" i="303"/>
  <c r="Q70" i="303"/>
  <c r="R100" i="304"/>
  <c r="R61" i="304"/>
  <c r="Q61" i="304"/>
  <c r="AF56" i="304"/>
  <c r="AG56" i="304"/>
  <c r="AH44" i="304" s="1"/>
  <c r="Q56" i="304"/>
  <c r="R142" i="303"/>
  <c r="Q142" i="303"/>
  <c r="Q35" i="303"/>
  <c r="R32" i="303"/>
  <c r="Q32" i="303"/>
  <c r="Q48" i="303"/>
  <c r="R8" i="303"/>
  <c r="Q8" i="303"/>
  <c r="R104" i="303"/>
  <c r="Q104" i="303"/>
  <c r="R164" i="304"/>
  <c r="Q164" i="304"/>
  <c r="AG160" i="304"/>
  <c r="AH148" i="304" s="1"/>
  <c r="AF160" i="304"/>
  <c r="R162" i="304"/>
  <c r="Q162" i="304"/>
  <c r="Q142" i="304"/>
  <c r="R142" i="304"/>
  <c r="Q135" i="304"/>
  <c r="O147" i="304"/>
  <c r="R135" i="304"/>
  <c r="R137" i="304"/>
  <c r="Q137" i="304"/>
  <c r="R114" i="304"/>
  <c r="Q114" i="304"/>
  <c r="R99" i="304"/>
  <c r="Q99" i="304"/>
  <c r="R101" i="304"/>
  <c r="Q101" i="304"/>
  <c r="Q57" i="304"/>
  <c r="Q88" i="304"/>
  <c r="Q75" i="304"/>
  <c r="R75" i="304"/>
  <c r="Q71" i="304"/>
  <c r="R71" i="304"/>
  <c r="O121" i="304"/>
  <c r="R84" i="304"/>
  <c r="Q84" i="304"/>
  <c r="AG17" i="304"/>
  <c r="AH5" i="304" s="1"/>
  <c r="AF17" i="304"/>
  <c r="Q125" i="303"/>
  <c r="R125" i="303"/>
  <c r="R124" i="303"/>
  <c r="Q124" i="303"/>
  <c r="O173" i="303"/>
  <c r="R161" i="303"/>
  <c r="Q161" i="303"/>
  <c r="AF147" i="303"/>
  <c r="AG147" i="303"/>
  <c r="AH135" i="303" s="1"/>
  <c r="AG121" i="303"/>
  <c r="AH109" i="303" s="1"/>
  <c r="AF121" i="303"/>
  <c r="AG30" i="304"/>
  <c r="AH18" i="304" s="1"/>
  <c r="AF30" i="304"/>
  <c r="Q10" i="304"/>
  <c r="R10" i="304"/>
  <c r="Q143" i="303"/>
  <c r="R143" i="303"/>
  <c r="R43" i="303"/>
  <c r="S31" i="303" s="1"/>
  <c r="R22" i="304"/>
  <c r="Q22" i="304"/>
  <c r="R140" i="303"/>
  <c r="Q140" i="303"/>
  <c r="Q100" i="303"/>
  <c r="R100" i="303"/>
  <c r="R99" i="303"/>
  <c r="Q99" i="303"/>
  <c r="Q90" i="303"/>
  <c r="R90" i="303"/>
  <c r="R89" i="303"/>
  <c r="Q89" i="303"/>
  <c r="R62" i="303"/>
  <c r="Q62" i="303"/>
  <c r="R7" i="303"/>
  <c r="Q7" i="303"/>
  <c r="Q19" i="304"/>
  <c r="R19" i="304"/>
  <c r="AG108" i="303"/>
  <c r="AH96" i="303" s="1"/>
  <c r="AF108" i="303"/>
  <c r="R70" i="303"/>
  <c r="Q43" i="303"/>
  <c r="AG43" i="303"/>
  <c r="AH31" i="303" s="1"/>
  <c r="AF43" i="303"/>
  <c r="R9" i="304"/>
  <c r="Q9" i="304"/>
  <c r="Q137" i="303"/>
  <c r="R137" i="303"/>
  <c r="Q122" i="303"/>
  <c r="O134" i="303"/>
  <c r="R122" i="303"/>
  <c r="Q98" i="303"/>
  <c r="R98" i="303"/>
  <c r="R97" i="303"/>
  <c r="Q97" i="303"/>
  <c r="AG30" i="303"/>
  <c r="AH18" i="303" s="1"/>
  <c r="AF30" i="303"/>
  <c r="AG147" i="304" l="1"/>
  <c r="AH135" i="304" s="1"/>
  <c r="AF147" i="304"/>
  <c r="AF160" i="303"/>
  <c r="AG160" i="303"/>
  <c r="AH148" i="303" s="1"/>
  <c r="Q108" i="304"/>
  <c r="R121" i="304"/>
  <c r="S109" i="304" s="1"/>
  <c r="Q121" i="304"/>
  <c r="R95" i="304"/>
  <c r="S83" i="304" s="1"/>
  <c r="Q95" i="304"/>
  <c r="Q30" i="303"/>
  <c r="R30" i="303"/>
  <c r="S18" i="303" s="1"/>
  <c r="Q108" i="303"/>
  <c r="R108" i="303"/>
  <c r="S96" i="303" s="1"/>
  <c r="R147" i="303"/>
  <c r="S135" i="303" s="1"/>
  <c r="Q147" i="303"/>
  <c r="R134" i="303"/>
  <c r="S122" i="303" s="1"/>
  <c r="Q134" i="303"/>
  <c r="R173" i="303"/>
  <c r="S161" i="303" s="1"/>
  <c r="Q173" i="303"/>
  <c r="Q134" i="304"/>
  <c r="R134" i="304"/>
  <c r="S122" i="304" s="1"/>
  <c r="R121" i="303"/>
  <c r="S109" i="303" s="1"/>
  <c r="Q121" i="303"/>
  <c r="R147" i="304"/>
  <c r="S135" i="304" s="1"/>
  <c r="Q147" i="304"/>
  <c r="E2" i="304"/>
  <c r="R17" i="304"/>
  <c r="S5" i="304" s="1"/>
  <c r="Q17" i="304"/>
  <c r="R173" i="304"/>
  <c r="S161" i="304" s="1"/>
  <c r="Q173" i="304"/>
  <c r="Q160" i="303"/>
  <c r="R160" i="303"/>
  <c r="S148" i="303" s="1"/>
  <c r="Q30" i="304"/>
  <c r="R30" i="304"/>
  <c r="S18" i="304" s="1"/>
  <c r="E2" i="303"/>
  <c r="R17" i="303"/>
  <c r="S5" i="303" s="1"/>
  <c r="Q17" i="303"/>
  <c r="R95" i="303"/>
  <c r="S83" i="303" s="1"/>
  <c r="Q95" i="303"/>
  <c r="Q160" i="304"/>
  <c r="R160" i="304"/>
  <c r="S148" i="304" s="1"/>
  <c r="M32" i="302" l="1"/>
  <c r="L32" i="302"/>
  <c r="K32" i="302"/>
  <c r="J32" i="302"/>
  <c r="I32" i="302"/>
  <c r="H32" i="302"/>
  <c r="G32" i="302"/>
  <c r="F32" i="302"/>
  <c r="E32" i="302"/>
  <c r="D32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E15" i="302"/>
  <c r="D15" i="302"/>
  <c r="L7" i="302"/>
  <c r="J7" i="302"/>
  <c r="H7" i="302"/>
  <c r="F7" i="302"/>
  <c r="L6" i="302"/>
  <c r="J6" i="302"/>
  <c r="H6" i="302"/>
  <c r="F6" i="302"/>
  <c r="M32" i="301"/>
  <c r="L32" i="301"/>
  <c r="K32" i="301"/>
  <c r="J32" i="301"/>
  <c r="I32" i="301"/>
  <c r="H32" i="301"/>
  <c r="G32" i="301"/>
  <c r="F32" i="301"/>
  <c r="E32" i="301"/>
  <c r="D32" i="301"/>
  <c r="Q15" i="301"/>
  <c r="P15" i="301"/>
  <c r="O15" i="301"/>
  <c r="N15" i="301"/>
  <c r="M15" i="301"/>
  <c r="L15" i="301"/>
  <c r="K15" i="301"/>
  <c r="J15" i="301"/>
  <c r="I15" i="301"/>
  <c r="H15" i="301"/>
  <c r="G15" i="301"/>
  <c r="F15" i="301"/>
  <c r="E15" i="301"/>
  <c r="D15" i="301"/>
  <c r="H8" i="301"/>
  <c r="L7" i="301"/>
  <c r="J7" i="301"/>
  <c r="H7" i="301"/>
  <c r="F7" i="301"/>
  <c r="L6" i="301"/>
  <c r="J6" i="301"/>
  <c r="H6" i="301"/>
  <c r="F6" i="301"/>
  <c r="H8" i="302" l="1"/>
  <c r="L8" i="302"/>
  <c r="J8" i="302"/>
  <c r="F8" i="302"/>
  <c r="J8" i="301"/>
  <c r="L8" i="301"/>
  <c r="F8" i="301"/>
  <c r="J124" i="300"/>
  <c r="H123" i="300"/>
  <c r="H122" i="300"/>
  <c r="H121" i="300"/>
  <c r="H120" i="300"/>
  <c r="H119" i="300"/>
  <c r="P118" i="300"/>
  <c r="K118" i="300" s="1"/>
  <c r="L118" i="300" s="1"/>
  <c r="H118" i="300"/>
  <c r="P117" i="300"/>
  <c r="K117" i="300"/>
  <c r="L117" i="300" s="1"/>
  <c r="H117" i="300"/>
  <c r="P116" i="300"/>
  <c r="K116" i="300" s="1"/>
  <c r="L116" i="300" s="1"/>
  <c r="H116" i="300"/>
  <c r="P115" i="300"/>
  <c r="K115" i="300"/>
  <c r="L115" i="300" s="1"/>
  <c r="H115" i="300"/>
  <c r="P114" i="300"/>
  <c r="K114" i="300" s="1"/>
  <c r="L114" i="300" s="1"/>
  <c r="H114" i="300"/>
  <c r="P113" i="300"/>
  <c r="H113" i="300"/>
  <c r="P112" i="300"/>
  <c r="K112" i="300" s="1"/>
  <c r="H112" i="300"/>
  <c r="J111" i="300"/>
  <c r="H110" i="300"/>
  <c r="H109" i="300"/>
  <c r="H108" i="300"/>
  <c r="H107" i="300"/>
  <c r="H106" i="300"/>
  <c r="P105" i="300"/>
  <c r="K105" i="300" s="1"/>
  <c r="L105" i="300" s="1"/>
  <c r="H105" i="300"/>
  <c r="P104" i="300"/>
  <c r="H104" i="300"/>
  <c r="P103" i="300"/>
  <c r="K103" i="300" s="1"/>
  <c r="L103" i="300" s="1"/>
  <c r="H103" i="300"/>
  <c r="P102" i="300"/>
  <c r="K102" i="300"/>
  <c r="L102" i="300" s="1"/>
  <c r="H102" i="300"/>
  <c r="P101" i="300"/>
  <c r="K101" i="300" s="1"/>
  <c r="H101" i="300"/>
  <c r="J100" i="300"/>
  <c r="H99" i="300"/>
  <c r="H98" i="300"/>
  <c r="H97" i="300"/>
  <c r="H96" i="300"/>
  <c r="H95" i="300"/>
  <c r="H94" i="300"/>
  <c r="P93" i="300"/>
  <c r="K93" i="300" s="1"/>
  <c r="L93" i="300" s="1"/>
  <c r="H93" i="300"/>
  <c r="P92" i="300"/>
  <c r="K92" i="300"/>
  <c r="K100" i="300" s="1"/>
  <c r="H92" i="300"/>
  <c r="J91" i="300"/>
  <c r="H90" i="300"/>
  <c r="H89" i="300"/>
  <c r="H88" i="300"/>
  <c r="H87" i="300"/>
  <c r="H86" i="300"/>
  <c r="H85" i="300"/>
  <c r="H84" i="300"/>
  <c r="H83" i="300"/>
  <c r="P82" i="300"/>
  <c r="K82" i="300" s="1"/>
  <c r="H82" i="300"/>
  <c r="L81" i="300"/>
  <c r="K81" i="300"/>
  <c r="J81" i="300"/>
  <c r="H80" i="300"/>
  <c r="H79" i="300"/>
  <c r="H78" i="300"/>
  <c r="H77" i="300"/>
  <c r="H76" i="300"/>
  <c r="J75" i="300"/>
  <c r="H74" i="300"/>
  <c r="H73" i="300"/>
  <c r="P72" i="300"/>
  <c r="K72" i="300"/>
  <c r="H72" i="300"/>
  <c r="P71" i="300"/>
  <c r="K71" i="300" s="1"/>
  <c r="L71" i="300" s="1"/>
  <c r="H71" i="300"/>
  <c r="P70" i="300"/>
  <c r="K70" i="300"/>
  <c r="H70" i="300"/>
  <c r="P69" i="300"/>
  <c r="K69" i="300" s="1"/>
  <c r="L69" i="300" s="1"/>
  <c r="H69" i="300"/>
  <c r="P68" i="300"/>
  <c r="K68" i="300"/>
  <c r="H68" i="300"/>
  <c r="P67" i="300"/>
  <c r="K67" i="300" s="1"/>
  <c r="L67" i="300" s="1"/>
  <c r="H67" i="300"/>
  <c r="P66" i="300"/>
  <c r="K66" i="300"/>
  <c r="H66" i="300"/>
  <c r="P65" i="300"/>
  <c r="K65" i="300" s="1"/>
  <c r="H65" i="300"/>
  <c r="J64" i="300"/>
  <c r="H63" i="300"/>
  <c r="H62" i="300"/>
  <c r="H61" i="300"/>
  <c r="H60" i="300"/>
  <c r="H59" i="300"/>
  <c r="H58" i="300"/>
  <c r="P57" i="300"/>
  <c r="K57" i="300" s="1"/>
  <c r="L57" i="300" s="1"/>
  <c r="H57" i="300"/>
  <c r="P56" i="300"/>
  <c r="K56" i="300"/>
  <c r="H56" i="300"/>
  <c r="P55" i="300"/>
  <c r="K55" i="300" s="1"/>
  <c r="L55" i="300" s="1"/>
  <c r="H55" i="300"/>
  <c r="P54" i="300"/>
  <c r="H54" i="300"/>
  <c r="P53" i="300"/>
  <c r="K53" i="300" s="1"/>
  <c r="L53" i="300" s="1"/>
  <c r="H53" i="300"/>
  <c r="P52" i="300"/>
  <c r="K52" i="300"/>
  <c r="H52" i="300"/>
  <c r="H50" i="300"/>
  <c r="H49" i="300"/>
  <c r="H47" i="300"/>
  <c r="H46" i="300"/>
  <c r="H45" i="300"/>
  <c r="H44" i="300"/>
  <c r="H43" i="300"/>
  <c r="H42" i="300"/>
  <c r="H41" i="300"/>
  <c r="H40" i="300"/>
  <c r="H39" i="300"/>
  <c r="J38" i="300"/>
  <c r="H37" i="300"/>
  <c r="H36" i="300"/>
  <c r="H35" i="300"/>
  <c r="H34" i="300"/>
  <c r="H33" i="300"/>
  <c r="H32" i="300"/>
  <c r="H31" i="300"/>
  <c r="H30" i="300"/>
  <c r="H29" i="300"/>
  <c r="P28" i="300"/>
  <c r="K28" i="300" s="1"/>
  <c r="L28" i="300" s="1"/>
  <c r="H28" i="300"/>
  <c r="P27" i="300"/>
  <c r="H27" i="300"/>
  <c r="P26" i="300"/>
  <c r="K26" i="300" s="1"/>
  <c r="L26" i="300" s="1"/>
  <c r="H26" i="300"/>
  <c r="P25" i="300"/>
  <c r="K25" i="300"/>
  <c r="H25" i="300"/>
  <c r="J24" i="300"/>
  <c r="H23" i="300"/>
  <c r="H22" i="300"/>
  <c r="H21" i="300"/>
  <c r="H20" i="300"/>
  <c r="H19" i="300"/>
  <c r="H18" i="300"/>
  <c r="P17" i="300"/>
  <c r="K17" i="300"/>
  <c r="K24" i="300" s="1"/>
  <c r="H17" i="300"/>
  <c r="J16" i="300"/>
  <c r="H15" i="300"/>
  <c r="H14" i="300"/>
  <c r="H13" i="300"/>
  <c r="H12" i="300"/>
  <c r="H11" i="300"/>
  <c r="P10" i="300"/>
  <c r="K10" i="300" s="1"/>
  <c r="L10" i="300" s="1"/>
  <c r="H10" i="300"/>
  <c r="P9" i="300"/>
  <c r="K9" i="300"/>
  <c r="L9" i="300" s="1"/>
  <c r="H9" i="300"/>
  <c r="P8" i="300"/>
  <c r="K8" i="300" s="1"/>
  <c r="L8" i="300" s="1"/>
  <c r="H8" i="300"/>
  <c r="P7" i="300"/>
  <c r="K7" i="300"/>
  <c r="L7" i="300" s="1"/>
  <c r="H7" i="300"/>
  <c r="P6" i="300"/>
  <c r="K6" i="300" s="1"/>
  <c r="L6" i="300" s="1"/>
  <c r="H6" i="300"/>
  <c r="P5" i="300"/>
  <c r="K5" i="300"/>
  <c r="H5" i="300"/>
  <c r="I2" i="300"/>
  <c r="E1" i="300"/>
  <c r="L72" i="300" l="1"/>
  <c r="L70" i="300"/>
  <c r="L68" i="300"/>
  <c r="L56" i="300"/>
  <c r="K54" i="300"/>
  <c r="L52" i="300"/>
  <c r="K27" i="300"/>
  <c r="I1" i="300"/>
  <c r="K113" i="300"/>
  <c r="L113" i="300" s="1"/>
  <c r="L66" i="300"/>
  <c r="K104" i="300"/>
  <c r="L104" i="300" s="1"/>
  <c r="K16" i="300"/>
  <c r="L82" i="300"/>
  <c r="L91" i="300" s="1"/>
  <c r="K91" i="300"/>
  <c r="L112" i="300"/>
  <c r="L124" i="300" s="1"/>
  <c r="K124" i="300"/>
  <c r="K75" i="300"/>
  <c r="L65" i="300"/>
  <c r="L75" i="300" s="1"/>
  <c r="L101" i="300"/>
  <c r="L111" i="300" s="1"/>
  <c r="K111" i="300"/>
  <c r="G1" i="300"/>
  <c r="G2" i="300" s="1"/>
  <c r="L92" i="300"/>
  <c r="L100" i="300" s="1"/>
  <c r="L17" i="300"/>
  <c r="L24" i="300" s="1"/>
  <c r="L25" i="300"/>
  <c r="L5" i="300"/>
  <c r="L16" i="300" s="1"/>
  <c r="L54" i="300" l="1"/>
  <c r="L64" i="300" s="1"/>
  <c r="K64" i="300"/>
  <c r="K38" i="300"/>
  <c r="L27" i="300"/>
  <c r="L38" i="300" s="1"/>
  <c r="E2" i="300"/>
  <c r="AE173" i="299" l="1"/>
  <c r="AD173" i="299"/>
  <c r="AA173" i="299"/>
  <c r="Z173" i="299"/>
  <c r="M173" i="299"/>
  <c r="W172" i="299"/>
  <c r="H172" i="299"/>
  <c r="W171" i="299"/>
  <c r="H171" i="299"/>
  <c r="AG170" i="299"/>
  <c r="AF170" i="299"/>
  <c r="W170" i="299"/>
  <c r="H170" i="299"/>
  <c r="AG169" i="299"/>
  <c r="AF169" i="299"/>
  <c r="W169" i="299"/>
  <c r="H169" i="299"/>
  <c r="AG168" i="299"/>
  <c r="AF168" i="299"/>
  <c r="W168" i="299"/>
  <c r="H168" i="299"/>
  <c r="AG167" i="299"/>
  <c r="AF167" i="299"/>
  <c r="W167" i="299"/>
  <c r="W166" i="299"/>
  <c r="N166" i="299"/>
  <c r="AF166" i="299" s="1"/>
  <c r="AG166" i="299"/>
  <c r="P166" i="299"/>
  <c r="H166" i="299"/>
  <c r="W165" i="299"/>
  <c r="N165" i="299"/>
  <c r="AG165" i="299" s="1"/>
  <c r="H165" i="299"/>
  <c r="W164" i="299"/>
  <c r="N164" i="299"/>
  <c r="AF164" i="299" s="1"/>
  <c r="AG164" i="299"/>
  <c r="P164" i="299"/>
  <c r="H164" i="299"/>
  <c r="W163" i="299"/>
  <c r="N163" i="299"/>
  <c r="AG163" i="299" s="1"/>
  <c r="P163" i="299"/>
  <c r="H163" i="299"/>
  <c r="W162" i="299"/>
  <c r="N162" i="299"/>
  <c r="AF162" i="299" s="1"/>
  <c r="AG162" i="299"/>
  <c r="P162" i="299"/>
  <c r="H162" i="299"/>
  <c r="W161" i="299"/>
  <c r="N161" i="299" s="1"/>
  <c r="P161" i="299"/>
  <c r="H161" i="299"/>
  <c r="AE160" i="299"/>
  <c r="AD160" i="299"/>
  <c r="AA160" i="299"/>
  <c r="Z160" i="299"/>
  <c r="M160" i="299"/>
  <c r="W159" i="299"/>
  <c r="H159" i="299"/>
  <c r="W158" i="299"/>
  <c r="H158" i="299"/>
  <c r="W157" i="299"/>
  <c r="H157" i="299"/>
  <c r="W156" i="299"/>
  <c r="H156" i="299"/>
  <c r="W155" i="299"/>
  <c r="H155" i="299"/>
  <c r="AG154" i="299"/>
  <c r="AF154" i="299"/>
  <c r="W154" i="299"/>
  <c r="H154" i="299"/>
  <c r="AG153" i="299"/>
  <c r="AF153" i="299"/>
  <c r="W153" i="299"/>
  <c r="H153" i="299"/>
  <c r="W152" i="299"/>
  <c r="N152" i="299"/>
  <c r="AG152" i="299" s="1"/>
  <c r="H152" i="299"/>
  <c r="W151" i="299"/>
  <c r="N151" i="299" s="1"/>
  <c r="P151" i="299"/>
  <c r="H151" i="299"/>
  <c r="W150" i="299"/>
  <c r="H150" i="299"/>
  <c r="W149" i="299"/>
  <c r="N149" i="299" s="1"/>
  <c r="P149" i="299"/>
  <c r="H149" i="299"/>
  <c r="W148" i="299"/>
  <c r="N148" i="299" s="1"/>
  <c r="P148" i="299"/>
  <c r="H148" i="299"/>
  <c r="AE147" i="299"/>
  <c r="AD147" i="299"/>
  <c r="AA147" i="299"/>
  <c r="Z147" i="299"/>
  <c r="W147" i="299"/>
  <c r="M147" i="299"/>
  <c r="P147" i="299" s="1"/>
  <c r="W146" i="299"/>
  <c r="H146" i="299"/>
  <c r="AG145" i="299"/>
  <c r="AF145" i="299"/>
  <c r="W145" i="299"/>
  <c r="H145" i="299"/>
  <c r="W144" i="299"/>
  <c r="P144" i="299"/>
  <c r="N144" i="299"/>
  <c r="AF144" i="299" s="1"/>
  <c r="H144" i="299"/>
  <c r="W143" i="299"/>
  <c r="N143" i="299" s="1"/>
  <c r="P143" i="299"/>
  <c r="H143" i="299"/>
  <c r="W142" i="299"/>
  <c r="P142" i="299"/>
  <c r="H142" i="299"/>
  <c r="W141" i="299"/>
  <c r="N141" i="299" s="1"/>
  <c r="P141" i="299"/>
  <c r="H141" i="299"/>
  <c r="W140" i="299"/>
  <c r="P140" i="299"/>
  <c r="N140" i="299"/>
  <c r="AF140" i="299" s="1"/>
  <c r="H140" i="299"/>
  <c r="W139" i="299"/>
  <c r="N139" i="299" s="1"/>
  <c r="P139" i="299"/>
  <c r="H139" i="299"/>
  <c r="W138" i="299"/>
  <c r="P138" i="299"/>
  <c r="N138" i="299"/>
  <c r="AF138" i="299" s="1"/>
  <c r="H138" i="299"/>
  <c r="W137" i="299"/>
  <c r="N137" i="299" s="1"/>
  <c r="P137" i="299"/>
  <c r="H137" i="299"/>
  <c r="W136" i="299"/>
  <c r="P136" i="299"/>
  <c r="N136" i="299"/>
  <c r="AF136" i="299" s="1"/>
  <c r="H136" i="299"/>
  <c r="W135" i="299"/>
  <c r="P135" i="299"/>
  <c r="N135" i="299"/>
  <c r="H135" i="299"/>
  <c r="AE134" i="299"/>
  <c r="AD134" i="299"/>
  <c r="AA134" i="299"/>
  <c r="Z134" i="299"/>
  <c r="M134" i="299"/>
  <c r="W133" i="299"/>
  <c r="H133" i="299"/>
  <c r="W132" i="299"/>
  <c r="H132" i="299"/>
  <c r="AG131" i="299"/>
  <c r="AF131" i="299"/>
  <c r="W131" i="299"/>
  <c r="H131" i="299"/>
  <c r="AG130" i="299"/>
  <c r="AF130" i="299"/>
  <c r="W130" i="299"/>
  <c r="H130" i="299"/>
  <c r="W129" i="299"/>
  <c r="N129" i="299" s="1"/>
  <c r="P129" i="299"/>
  <c r="H129" i="299"/>
  <c r="W128" i="299"/>
  <c r="P128" i="299"/>
  <c r="N128" i="299"/>
  <c r="O128" i="299" s="1"/>
  <c r="H128" i="299"/>
  <c r="W127" i="299"/>
  <c r="N127" i="299" s="1"/>
  <c r="P127" i="299"/>
  <c r="H127" i="299"/>
  <c r="W126" i="299"/>
  <c r="P126" i="299"/>
  <c r="N126" i="299"/>
  <c r="O126" i="299" s="1"/>
  <c r="H126" i="299"/>
  <c r="W125" i="299"/>
  <c r="P125" i="299"/>
  <c r="H125" i="299"/>
  <c r="W124" i="299"/>
  <c r="P124" i="299"/>
  <c r="N124" i="299"/>
  <c r="O124" i="299" s="1"/>
  <c r="H124" i="299"/>
  <c r="W123" i="299"/>
  <c r="N123" i="299"/>
  <c r="AF123" i="299"/>
  <c r="P123" i="299"/>
  <c r="H123" i="299"/>
  <c r="W122" i="299"/>
  <c r="N122" i="299"/>
  <c r="AG122" i="299" s="1"/>
  <c r="H122" i="299"/>
  <c r="AE121" i="299"/>
  <c r="AD121" i="299"/>
  <c r="AA121" i="299"/>
  <c r="Z121" i="299"/>
  <c r="W121" i="299"/>
  <c r="M121" i="299"/>
  <c r="AG120" i="299"/>
  <c r="AF120" i="299"/>
  <c r="W120" i="299"/>
  <c r="H120" i="299"/>
  <c r="AG119" i="299"/>
  <c r="AF119" i="299"/>
  <c r="W119" i="299"/>
  <c r="H119" i="299"/>
  <c r="W118" i="299"/>
  <c r="H118" i="299"/>
  <c r="W117" i="299"/>
  <c r="N117" i="299" s="1"/>
  <c r="P117" i="299"/>
  <c r="H117" i="299"/>
  <c r="W116" i="299"/>
  <c r="N116" i="299"/>
  <c r="O116" i="299" s="1"/>
  <c r="H116" i="299"/>
  <c r="W115" i="299"/>
  <c r="N115" i="299" s="1"/>
  <c r="P115" i="299"/>
  <c r="H115" i="299"/>
  <c r="W114" i="299"/>
  <c r="N114" i="299"/>
  <c r="O114" i="299" s="1"/>
  <c r="P114" i="299"/>
  <c r="H114" i="299"/>
  <c r="W113" i="299"/>
  <c r="N113" i="299" s="1"/>
  <c r="P113" i="299"/>
  <c r="H113" i="299"/>
  <c r="W112" i="299"/>
  <c r="N112" i="299"/>
  <c r="O112" i="299" s="1"/>
  <c r="P112" i="299"/>
  <c r="H112" i="299"/>
  <c r="W111" i="299"/>
  <c r="N111" i="299" s="1"/>
  <c r="P111" i="299"/>
  <c r="H111" i="299"/>
  <c r="W110" i="299"/>
  <c r="N110" i="299"/>
  <c r="O110" i="299" s="1"/>
  <c r="P110" i="299"/>
  <c r="H110" i="299"/>
  <c r="W109" i="299"/>
  <c r="H109" i="299"/>
  <c r="AE108" i="299"/>
  <c r="AD108" i="299"/>
  <c r="AA108" i="299"/>
  <c r="Z108" i="299"/>
  <c r="W108" i="299"/>
  <c r="M108" i="299"/>
  <c r="W107" i="299"/>
  <c r="H107" i="299"/>
  <c r="AG106" i="299"/>
  <c r="AF106" i="299"/>
  <c r="H106" i="299"/>
  <c r="W105" i="299"/>
  <c r="N105" i="299" s="1"/>
  <c r="P105" i="299"/>
  <c r="H105" i="299"/>
  <c r="W104" i="299"/>
  <c r="N104" i="299"/>
  <c r="H104" i="299"/>
  <c r="W103" i="299"/>
  <c r="N103" i="299" s="1"/>
  <c r="P103" i="299"/>
  <c r="H103" i="299"/>
  <c r="W102" i="299"/>
  <c r="N102" i="299"/>
  <c r="H102" i="299"/>
  <c r="W101" i="299"/>
  <c r="N101" i="299" s="1"/>
  <c r="P101" i="299"/>
  <c r="H101" i="299"/>
  <c r="W100" i="299"/>
  <c r="N100" i="299"/>
  <c r="H100" i="299"/>
  <c r="W99" i="299"/>
  <c r="N99" i="299" s="1"/>
  <c r="P99" i="299"/>
  <c r="H99" i="299"/>
  <c r="W98" i="299"/>
  <c r="N98" i="299"/>
  <c r="H98" i="299"/>
  <c r="W97" i="299"/>
  <c r="N97" i="299" s="1"/>
  <c r="O97" i="299" s="1"/>
  <c r="P97" i="299"/>
  <c r="H97" i="299"/>
  <c r="W96" i="299"/>
  <c r="N96" i="299" s="1"/>
  <c r="P96" i="299"/>
  <c r="H96" i="299"/>
  <c r="AE95" i="299"/>
  <c r="AD95" i="299"/>
  <c r="AA95" i="299"/>
  <c r="Z95" i="299"/>
  <c r="M95" i="299"/>
  <c r="AG94" i="299"/>
  <c r="AF94" i="299"/>
  <c r="W94" i="299"/>
  <c r="H94" i="299"/>
  <c r="AG93" i="299"/>
  <c r="AF93" i="299"/>
  <c r="W93" i="299"/>
  <c r="H93" i="299"/>
  <c r="AG92" i="299"/>
  <c r="AF92" i="299"/>
  <c r="W92" i="299"/>
  <c r="H92" i="299"/>
  <c r="W91" i="299"/>
  <c r="N91" i="299" s="1"/>
  <c r="O91" i="299" s="1"/>
  <c r="P91" i="299"/>
  <c r="H91" i="299"/>
  <c r="W90" i="299"/>
  <c r="N90" i="299" s="1"/>
  <c r="H90" i="299"/>
  <c r="W89" i="299"/>
  <c r="N89" i="299" s="1"/>
  <c r="O89" i="299" s="1"/>
  <c r="Q89" i="299"/>
  <c r="P89" i="299"/>
  <c r="H89" i="299"/>
  <c r="W88" i="299"/>
  <c r="N88" i="299"/>
  <c r="H88" i="299"/>
  <c r="W87" i="299"/>
  <c r="N87" i="299" s="1"/>
  <c r="AF87" i="299" s="1"/>
  <c r="H87" i="299"/>
  <c r="W86" i="299"/>
  <c r="N86" i="299"/>
  <c r="AF86" i="299" s="1"/>
  <c r="P86" i="299"/>
  <c r="H86" i="299"/>
  <c r="W85" i="299"/>
  <c r="N85" i="299" s="1"/>
  <c r="AG85" i="299" s="1"/>
  <c r="O85" i="299"/>
  <c r="P85" i="299"/>
  <c r="H85" i="299"/>
  <c r="W84" i="299"/>
  <c r="N84" i="299" s="1"/>
  <c r="H84" i="299"/>
  <c r="W83" i="299"/>
  <c r="N83" i="299" s="1"/>
  <c r="H83" i="299"/>
  <c r="AE82" i="299"/>
  <c r="AD82" i="299"/>
  <c r="AA82" i="299"/>
  <c r="Z82" i="299"/>
  <c r="M82" i="299"/>
  <c r="W81" i="299"/>
  <c r="AG80" i="299"/>
  <c r="AF80" i="299"/>
  <c r="W80" i="299"/>
  <c r="H80" i="299"/>
  <c r="AG79" i="299"/>
  <c r="AF79" i="299"/>
  <c r="W79" i="299"/>
  <c r="H79" i="299"/>
  <c r="AG78" i="299"/>
  <c r="AF78" i="299"/>
  <c r="W78" i="299"/>
  <c r="H78" i="299"/>
  <c r="AG77" i="299"/>
  <c r="AF77" i="299"/>
  <c r="W77" i="299"/>
  <c r="H77" i="299"/>
  <c r="AG76" i="299"/>
  <c r="AF76" i="299"/>
  <c r="W76" i="299"/>
  <c r="H76" i="299"/>
  <c r="W75" i="299"/>
  <c r="P75" i="299"/>
  <c r="N75" i="299"/>
  <c r="O75" i="299" s="1"/>
  <c r="H75" i="299"/>
  <c r="W74" i="299"/>
  <c r="P74" i="299"/>
  <c r="N74" i="299"/>
  <c r="AG74" i="299" s="1"/>
  <c r="H74" i="299"/>
  <c r="W73" i="299"/>
  <c r="P73" i="299"/>
  <c r="N73" i="299"/>
  <c r="O73" i="299" s="1"/>
  <c r="H73" i="299"/>
  <c r="W72" i="299"/>
  <c r="P72" i="299"/>
  <c r="N72" i="299"/>
  <c r="AG72" i="299" s="1"/>
  <c r="H72" i="299"/>
  <c r="W71" i="299"/>
  <c r="P71" i="299"/>
  <c r="N71" i="299"/>
  <c r="O71" i="299" s="1"/>
  <c r="H71" i="299"/>
  <c r="W70" i="299"/>
  <c r="N70" i="299" s="1"/>
  <c r="P70" i="299"/>
  <c r="H70" i="299"/>
  <c r="AE69" i="299"/>
  <c r="AD69" i="299"/>
  <c r="AA69" i="299"/>
  <c r="Z69" i="299"/>
  <c r="W69" i="299"/>
  <c r="M69" i="299"/>
  <c r="W68" i="299"/>
  <c r="H68" i="299"/>
  <c r="AG67" i="299"/>
  <c r="AF67" i="299"/>
  <c r="W67" i="299"/>
  <c r="H67" i="299"/>
  <c r="AG66" i="299"/>
  <c r="AF66" i="299"/>
  <c r="W66" i="299"/>
  <c r="H66" i="299"/>
  <c r="AG65" i="299"/>
  <c r="AF65" i="299"/>
  <c r="W65" i="299"/>
  <c r="H65" i="299"/>
  <c r="AG64" i="299"/>
  <c r="AF64" i="299"/>
  <c r="W64" i="299"/>
  <c r="H64" i="299"/>
  <c r="AG63" i="299"/>
  <c r="AF63" i="299"/>
  <c r="W63" i="299"/>
  <c r="H63" i="299"/>
  <c r="AG62" i="299"/>
  <c r="AF62" i="299"/>
  <c r="W62" i="299"/>
  <c r="H62" i="299"/>
  <c r="W61" i="299"/>
  <c r="N61" i="299" s="1"/>
  <c r="P61" i="299"/>
  <c r="H61" i="299"/>
  <c r="W60" i="299"/>
  <c r="N60" i="299"/>
  <c r="AF60" i="299" s="1"/>
  <c r="P60" i="299"/>
  <c r="H60" i="299"/>
  <c r="W59" i="299"/>
  <c r="N59" i="299" s="1"/>
  <c r="H59" i="299"/>
  <c r="W58" i="299"/>
  <c r="N58" i="299" s="1"/>
  <c r="P58" i="299"/>
  <c r="H58" i="299"/>
  <c r="W57" i="299"/>
  <c r="N57" i="299"/>
  <c r="AG57" i="299" s="1"/>
  <c r="P57" i="299"/>
  <c r="H57" i="299"/>
  <c r="AE56" i="299"/>
  <c r="AD56" i="299"/>
  <c r="AA56" i="299"/>
  <c r="Z56" i="299"/>
  <c r="W56" i="299"/>
  <c r="M56" i="299"/>
  <c r="W55" i="299"/>
  <c r="H55" i="299"/>
  <c r="AG54" i="299"/>
  <c r="AF54" i="299"/>
  <c r="W54" i="299"/>
  <c r="H54" i="299"/>
  <c r="AG53" i="299"/>
  <c r="AF53" i="299"/>
  <c r="W53" i="299"/>
  <c r="H53" i="299"/>
  <c r="AG52" i="299"/>
  <c r="AF52" i="299"/>
  <c r="W52" i="299"/>
  <c r="H52" i="299"/>
  <c r="AG51" i="299"/>
  <c r="AF51" i="299"/>
  <c r="W51" i="299"/>
  <c r="H51" i="299"/>
  <c r="W50" i="299"/>
  <c r="P50" i="299"/>
  <c r="N50" i="299"/>
  <c r="O50" i="299" s="1"/>
  <c r="H50" i="299"/>
  <c r="W49" i="299"/>
  <c r="P49" i="299"/>
  <c r="N49" i="299"/>
  <c r="H49" i="299"/>
  <c r="W48" i="299"/>
  <c r="P48" i="299"/>
  <c r="H48" i="299"/>
  <c r="W47" i="299"/>
  <c r="P47" i="299"/>
  <c r="N47" i="299"/>
  <c r="H47" i="299"/>
  <c r="W46" i="299"/>
  <c r="P46" i="299"/>
  <c r="H46" i="299"/>
  <c r="W45" i="299"/>
  <c r="P45" i="299"/>
  <c r="N45" i="299"/>
  <c r="H45" i="299"/>
  <c r="W44" i="299"/>
  <c r="P44" i="299"/>
  <c r="N44" i="299"/>
  <c r="H44" i="299"/>
  <c r="AE43" i="299"/>
  <c r="AD43" i="299"/>
  <c r="AA43" i="299"/>
  <c r="Z43" i="299"/>
  <c r="M43" i="299"/>
  <c r="W42" i="299"/>
  <c r="H42" i="299"/>
  <c r="W41" i="299"/>
  <c r="AG40" i="299"/>
  <c r="AF40" i="299"/>
  <c r="W40" i="299"/>
  <c r="H40" i="299"/>
  <c r="AG39" i="299"/>
  <c r="AF39" i="299"/>
  <c r="W39" i="299"/>
  <c r="H39" i="299"/>
  <c r="W38" i="299"/>
  <c r="N38" i="299" s="1"/>
  <c r="AF38" i="299" s="1"/>
  <c r="P38" i="299"/>
  <c r="H38" i="299"/>
  <c r="W37" i="299"/>
  <c r="N37" i="299"/>
  <c r="AF37" i="299" s="1"/>
  <c r="P37" i="299"/>
  <c r="H37" i="299"/>
  <c r="W36" i="299"/>
  <c r="N36" i="299" s="1"/>
  <c r="AG36" i="299" s="1"/>
  <c r="P36" i="299"/>
  <c r="H36" i="299"/>
  <c r="W35" i="299"/>
  <c r="N35" i="299"/>
  <c r="AG35" i="299" s="1"/>
  <c r="H35" i="299"/>
  <c r="W34" i="299"/>
  <c r="N34" i="299" s="1"/>
  <c r="P34" i="299"/>
  <c r="H34" i="299"/>
  <c r="W33" i="299"/>
  <c r="N33" i="299"/>
  <c r="AG33" i="299" s="1"/>
  <c r="H33" i="299"/>
  <c r="W32" i="299"/>
  <c r="N32" i="299" s="1"/>
  <c r="P32" i="299"/>
  <c r="H32" i="299"/>
  <c r="W31" i="299"/>
  <c r="N31" i="299" s="1"/>
  <c r="P31" i="299"/>
  <c r="H31" i="299"/>
  <c r="AE30" i="299"/>
  <c r="AD30" i="299"/>
  <c r="AA30" i="299"/>
  <c r="Z30" i="299"/>
  <c r="M30" i="299"/>
  <c r="AF29" i="299"/>
  <c r="W29" i="299"/>
  <c r="H29" i="299"/>
  <c r="AG28" i="299"/>
  <c r="AF28" i="299"/>
  <c r="W28" i="299"/>
  <c r="P28" i="299"/>
  <c r="H28" i="299"/>
  <c r="AG27" i="299"/>
  <c r="AF27" i="299"/>
  <c r="W27" i="299"/>
  <c r="P27" i="299"/>
  <c r="H27" i="299"/>
  <c r="AG26" i="299"/>
  <c r="AF26" i="299"/>
  <c r="W26" i="299"/>
  <c r="P26" i="299"/>
  <c r="H26" i="299"/>
  <c r="AG25" i="299"/>
  <c r="AF25" i="299"/>
  <c r="W25" i="299"/>
  <c r="P25" i="299"/>
  <c r="H25" i="299"/>
  <c r="W24" i="299"/>
  <c r="N24" i="299" s="1"/>
  <c r="P24" i="299"/>
  <c r="H24" i="299"/>
  <c r="W23" i="299"/>
  <c r="P23" i="299"/>
  <c r="N23" i="299"/>
  <c r="AF23" i="299" s="1"/>
  <c r="H23" i="299"/>
  <c r="W22" i="299"/>
  <c r="N22" i="299" s="1"/>
  <c r="P22" i="299"/>
  <c r="H22" i="299"/>
  <c r="W21" i="299"/>
  <c r="N21" i="299"/>
  <c r="AF21" i="299" s="1"/>
  <c r="P21" i="299"/>
  <c r="H21" i="299"/>
  <c r="W20" i="299"/>
  <c r="N20" i="299" s="1"/>
  <c r="P20" i="299"/>
  <c r="H20" i="299"/>
  <c r="W19" i="299"/>
  <c r="N19" i="299"/>
  <c r="AF19" i="299" s="1"/>
  <c r="P19" i="299"/>
  <c r="H19" i="299"/>
  <c r="W18" i="299"/>
  <c r="P18" i="299"/>
  <c r="N18" i="299"/>
  <c r="O18" i="299" s="1"/>
  <c r="H18" i="299"/>
  <c r="AE17" i="299"/>
  <c r="AD17" i="299"/>
  <c r="AA17" i="299"/>
  <c r="Z17" i="299"/>
  <c r="W17" i="299"/>
  <c r="M17" i="299"/>
  <c r="AG16" i="299"/>
  <c r="W16" i="299"/>
  <c r="H16" i="299"/>
  <c r="AG15" i="299"/>
  <c r="W15" i="299"/>
  <c r="H15" i="299"/>
  <c r="AG14" i="299"/>
  <c r="W14" i="299"/>
  <c r="H14" i="299"/>
  <c r="AG13" i="299"/>
  <c r="AF13" i="299"/>
  <c r="W13" i="299"/>
  <c r="H13" i="299"/>
  <c r="W12" i="299"/>
  <c r="P12" i="299"/>
  <c r="N12" i="299"/>
  <c r="AF12" i="299" s="1"/>
  <c r="H12" i="299"/>
  <c r="W11" i="299"/>
  <c r="N11" i="299" s="1"/>
  <c r="P11" i="299"/>
  <c r="H11" i="299"/>
  <c r="W10" i="299"/>
  <c r="P10" i="299"/>
  <c r="N10" i="299"/>
  <c r="AF10" i="299" s="1"/>
  <c r="H10" i="299"/>
  <c r="W9" i="299"/>
  <c r="N9" i="299" s="1"/>
  <c r="P9" i="299"/>
  <c r="H9" i="299"/>
  <c r="W8" i="299"/>
  <c r="P8" i="299"/>
  <c r="N8" i="299"/>
  <c r="AF8" i="299" s="1"/>
  <c r="H8" i="299"/>
  <c r="W7" i="299"/>
  <c r="N7" i="299" s="1"/>
  <c r="P7" i="299"/>
  <c r="H7" i="299"/>
  <c r="W6" i="299"/>
  <c r="P6" i="299"/>
  <c r="N6" i="299"/>
  <c r="AF6" i="299" s="1"/>
  <c r="H6" i="299"/>
  <c r="W5" i="299"/>
  <c r="N5" i="299" s="1"/>
  <c r="P5" i="299"/>
  <c r="P17" i="299"/>
  <c r="H5" i="299"/>
  <c r="I2" i="299"/>
  <c r="E1" i="299"/>
  <c r="P82" i="299" l="1"/>
  <c r="AG60" i="299"/>
  <c r="AF57" i="299"/>
  <c r="O57" i="299"/>
  <c r="N46" i="299"/>
  <c r="O46" i="299" s="1"/>
  <c r="AG38" i="299"/>
  <c r="AG37" i="299"/>
  <c r="O37" i="299"/>
  <c r="AG23" i="299"/>
  <c r="AG21" i="299"/>
  <c r="AG19" i="299"/>
  <c r="AF18" i="299"/>
  <c r="AE2" i="299"/>
  <c r="AG12" i="299"/>
  <c r="AG10" i="299"/>
  <c r="AG8" i="299"/>
  <c r="AG6" i="299"/>
  <c r="AD2" i="299"/>
  <c r="AA2" i="299"/>
  <c r="Z2" i="299"/>
  <c r="I1" i="299"/>
  <c r="N48" i="299"/>
  <c r="O48" i="299" s="1"/>
  <c r="N150" i="299"/>
  <c r="AG150" i="299" s="1"/>
  <c r="AG144" i="299"/>
  <c r="N142" i="299"/>
  <c r="AG140" i="299"/>
  <c r="AG138" i="299"/>
  <c r="AG136" i="299"/>
  <c r="AF135" i="299"/>
  <c r="AG128" i="299"/>
  <c r="N125" i="299"/>
  <c r="N118" i="299"/>
  <c r="O118" i="299" s="1"/>
  <c r="AG114" i="299"/>
  <c r="AG112" i="299"/>
  <c r="N109" i="299"/>
  <c r="AF109" i="299" s="1"/>
  <c r="AF99" i="299"/>
  <c r="AG97" i="299"/>
  <c r="Q97" i="299"/>
  <c r="AF89" i="299"/>
  <c r="AG87" i="299"/>
  <c r="AF85" i="299"/>
  <c r="O123" i="299"/>
  <c r="AG110" i="299"/>
  <c r="G1" i="299"/>
  <c r="G2" i="299" s="1"/>
  <c r="AF5" i="299"/>
  <c r="N17" i="299"/>
  <c r="O5" i="299"/>
  <c r="AG5" i="299"/>
  <c r="O20" i="299"/>
  <c r="AG20" i="299"/>
  <c r="AF20" i="299"/>
  <c r="AG11" i="299"/>
  <c r="O11" i="299"/>
  <c r="AF11" i="299"/>
  <c r="O24" i="299"/>
  <c r="AG24" i="299"/>
  <c r="AF24" i="299"/>
  <c r="P30" i="299"/>
  <c r="AF32" i="299"/>
  <c r="O32" i="299"/>
  <c r="AG32" i="299"/>
  <c r="O7" i="299"/>
  <c r="AG7" i="299"/>
  <c r="AF7" i="299"/>
  <c r="R18" i="299"/>
  <c r="Q18" i="299"/>
  <c r="N43" i="299"/>
  <c r="O31" i="299"/>
  <c r="AG31" i="299"/>
  <c r="AF31" i="299"/>
  <c r="AG9" i="299"/>
  <c r="AF9" i="299"/>
  <c r="O9" i="299"/>
  <c r="O22" i="299"/>
  <c r="AG22" i="299"/>
  <c r="AF22" i="299"/>
  <c r="AF34" i="299"/>
  <c r="O34" i="299"/>
  <c r="AG34" i="299"/>
  <c r="AG18" i="299"/>
  <c r="N30" i="299"/>
  <c r="O33" i="299"/>
  <c r="O35" i="299"/>
  <c r="O38" i="299"/>
  <c r="N56" i="299"/>
  <c r="AF44" i="299"/>
  <c r="O44" i="299"/>
  <c r="AG44" i="299"/>
  <c r="AG47" i="299"/>
  <c r="AF47" i="299"/>
  <c r="O47" i="299"/>
  <c r="AF48" i="299"/>
  <c r="AG59" i="299"/>
  <c r="AF59" i="299"/>
  <c r="O59" i="299"/>
  <c r="O70" i="299"/>
  <c r="N82" i="299"/>
  <c r="AG70" i="299"/>
  <c r="AF70" i="299"/>
  <c r="O6" i="299"/>
  <c r="O8" i="299"/>
  <c r="O10" i="299"/>
  <c r="O12" i="299"/>
  <c r="O19" i="299"/>
  <c r="O21" i="299"/>
  <c r="O23" i="299"/>
  <c r="P33" i="299"/>
  <c r="AF33" i="299"/>
  <c r="P35" i="299"/>
  <c r="AF35" i="299"/>
  <c r="O36" i="299"/>
  <c r="AF36" i="299"/>
  <c r="R48" i="299"/>
  <c r="Q48" i="299"/>
  <c r="AG61" i="299"/>
  <c r="AF61" i="299"/>
  <c r="O61" i="299"/>
  <c r="AG90" i="299"/>
  <c r="AF90" i="299"/>
  <c r="O90" i="299"/>
  <c r="AG45" i="299"/>
  <c r="AF45" i="299"/>
  <c r="O45" i="299"/>
  <c r="AF46" i="299"/>
  <c r="AG49" i="299"/>
  <c r="AF49" i="299"/>
  <c r="O49" i="299"/>
  <c r="R71" i="299"/>
  <c r="Q71" i="299"/>
  <c r="R73" i="299"/>
  <c r="Q73" i="299"/>
  <c r="R75" i="299"/>
  <c r="Q75" i="299"/>
  <c r="N95" i="299"/>
  <c r="AG83" i="299"/>
  <c r="AF83" i="299"/>
  <c r="O83" i="299"/>
  <c r="P43" i="299"/>
  <c r="R46" i="299"/>
  <c r="Q46" i="299"/>
  <c r="R50" i="299"/>
  <c r="Q50" i="299"/>
  <c r="P56" i="299"/>
  <c r="AF58" i="299"/>
  <c r="O58" i="299"/>
  <c r="AG58" i="299"/>
  <c r="AG84" i="299"/>
  <c r="AF84" i="299"/>
  <c r="O84" i="299"/>
  <c r="AF50" i="299"/>
  <c r="Q57" i="299"/>
  <c r="P69" i="299"/>
  <c r="N69" i="299"/>
  <c r="AF71" i="299"/>
  <c r="AF73" i="299"/>
  <c r="AF75" i="299"/>
  <c r="R85" i="299"/>
  <c r="P87" i="299"/>
  <c r="P88" i="299"/>
  <c r="R91" i="299"/>
  <c r="P98" i="299"/>
  <c r="AG104" i="299"/>
  <c r="AF104" i="299"/>
  <c r="O104" i="299"/>
  <c r="O105" i="299"/>
  <c r="AG105" i="299"/>
  <c r="AG111" i="299"/>
  <c r="AF111" i="299"/>
  <c r="O111" i="299"/>
  <c r="R118" i="299"/>
  <c r="Q118" i="299"/>
  <c r="AG46" i="299"/>
  <c r="AG48" i="299"/>
  <c r="AG50" i="299"/>
  <c r="R57" i="299"/>
  <c r="P59" i="299"/>
  <c r="AG71" i="299"/>
  <c r="O72" i="299"/>
  <c r="AG73" i="299"/>
  <c r="O74" i="299"/>
  <c r="AG75" i="299"/>
  <c r="P83" i="299"/>
  <c r="P84" i="299"/>
  <c r="O86" i="299"/>
  <c r="AG86" i="299"/>
  <c r="R89" i="299"/>
  <c r="AF91" i="299"/>
  <c r="P95" i="299"/>
  <c r="O96" i="299"/>
  <c r="AG96" i="299"/>
  <c r="AG102" i="299"/>
  <c r="AF102" i="299"/>
  <c r="O102" i="299"/>
  <c r="O103" i="299"/>
  <c r="AG103" i="299"/>
  <c r="AF105" i="299"/>
  <c r="N108" i="299"/>
  <c r="N121" i="299"/>
  <c r="R110" i="299"/>
  <c r="Q110" i="299"/>
  <c r="AG113" i="299"/>
  <c r="AF113" i="299"/>
  <c r="O113" i="299"/>
  <c r="R126" i="299"/>
  <c r="Q126" i="299"/>
  <c r="O60" i="299"/>
  <c r="AF72" i="299"/>
  <c r="AF74" i="299"/>
  <c r="Q85" i="299"/>
  <c r="AG88" i="299"/>
  <c r="AF88" i="299"/>
  <c r="AG91" i="299"/>
  <c r="AF96" i="299"/>
  <c r="R97" i="299"/>
  <c r="AG98" i="299"/>
  <c r="AF98" i="299"/>
  <c r="AG100" i="299"/>
  <c r="AF100" i="299"/>
  <c r="O100" i="299"/>
  <c r="O101" i="299"/>
  <c r="AG101" i="299"/>
  <c r="AF103" i="299"/>
  <c r="R112" i="299"/>
  <c r="Q112" i="299"/>
  <c r="AG115" i="299"/>
  <c r="AF115" i="299"/>
  <c r="O115" i="299"/>
  <c r="AG117" i="299"/>
  <c r="AF117" i="299"/>
  <c r="O117" i="299"/>
  <c r="P121" i="299"/>
  <c r="R124" i="299"/>
  <c r="Q124" i="299"/>
  <c r="AG127" i="299"/>
  <c r="AF127" i="299"/>
  <c r="O127" i="299"/>
  <c r="O87" i="299"/>
  <c r="O88" i="299"/>
  <c r="AG89" i="299"/>
  <c r="P90" i="299"/>
  <c r="Q91" i="299"/>
  <c r="AF97" i="299"/>
  <c r="O98" i="299"/>
  <c r="O99" i="299"/>
  <c r="AG99" i="299"/>
  <c r="AF101" i="299"/>
  <c r="P108" i="299"/>
  <c r="R114" i="299"/>
  <c r="Q114" i="299"/>
  <c r="R116" i="299"/>
  <c r="Q116" i="299"/>
  <c r="AG129" i="299"/>
  <c r="AF129" i="299"/>
  <c r="O129" i="299"/>
  <c r="P109" i="299"/>
  <c r="AF110" i="299"/>
  <c r="AF112" i="299"/>
  <c r="AF114" i="299"/>
  <c r="P116" i="299"/>
  <c r="AF116" i="299"/>
  <c r="P118" i="299"/>
  <c r="AF118" i="299"/>
  <c r="O122" i="299"/>
  <c r="AG123" i="299"/>
  <c r="AG125" i="299"/>
  <c r="Q128" i="299"/>
  <c r="N134" i="299"/>
  <c r="O141" i="299"/>
  <c r="AG141" i="299"/>
  <c r="AF141" i="299"/>
  <c r="AF149" i="299"/>
  <c r="O149" i="299"/>
  <c r="AG149" i="299"/>
  <c r="P160" i="299"/>
  <c r="AG116" i="299"/>
  <c r="AG118" i="299"/>
  <c r="P122" i="299"/>
  <c r="AF124" i="299"/>
  <c r="AF126" i="299"/>
  <c r="R128" i="299"/>
  <c r="AF128" i="299"/>
  <c r="O139" i="299"/>
  <c r="AG139" i="299"/>
  <c r="AF139" i="299"/>
  <c r="AF151" i="299"/>
  <c r="O151" i="299"/>
  <c r="AG151" i="299"/>
  <c r="O161" i="299"/>
  <c r="N173" i="299"/>
  <c r="AG161" i="299"/>
  <c r="AF161" i="299"/>
  <c r="P100" i="299"/>
  <c r="P102" i="299"/>
  <c r="P104" i="299"/>
  <c r="AG109" i="299"/>
  <c r="AG124" i="299"/>
  <c r="AG126" i="299"/>
  <c r="O137" i="299"/>
  <c r="AG137" i="299"/>
  <c r="AF137" i="299"/>
  <c r="O148" i="299"/>
  <c r="AG148" i="299"/>
  <c r="N160" i="299"/>
  <c r="AF148" i="299"/>
  <c r="O109" i="299"/>
  <c r="AF122" i="299"/>
  <c r="R123" i="299"/>
  <c r="P134" i="299"/>
  <c r="N147" i="299"/>
  <c r="O143" i="299"/>
  <c r="AG143" i="299"/>
  <c r="AF143" i="299"/>
  <c r="AG135" i="299"/>
  <c r="O150" i="299"/>
  <c r="O152" i="299"/>
  <c r="O163" i="299"/>
  <c r="O165" i="299"/>
  <c r="O135" i="299"/>
  <c r="O136" i="299"/>
  <c r="O138" i="299"/>
  <c r="O140" i="299"/>
  <c r="O142" i="299"/>
  <c r="O144" i="299"/>
  <c r="P150" i="299"/>
  <c r="AF150" i="299"/>
  <c r="P152" i="299"/>
  <c r="AF152" i="299"/>
  <c r="AF163" i="299"/>
  <c r="P165" i="299"/>
  <c r="AF165" i="299"/>
  <c r="P173" i="299"/>
  <c r="O162" i="299"/>
  <c r="O164" i="299"/>
  <c r="O166" i="299"/>
  <c r="Q37" i="299" l="1"/>
  <c r="R37" i="299"/>
  <c r="AG142" i="299"/>
  <c r="AF142" i="299"/>
  <c r="O125" i="299"/>
  <c r="R125" i="299" s="1"/>
  <c r="AF125" i="299"/>
  <c r="Q136" i="299"/>
  <c r="R136" i="299"/>
  <c r="R166" i="299"/>
  <c r="Q166" i="299"/>
  <c r="Q142" i="299"/>
  <c r="R142" i="299"/>
  <c r="O147" i="299"/>
  <c r="R135" i="299"/>
  <c r="Q135" i="299"/>
  <c r="R163" i="299"/>
  <c r="Q163" i="299"/>
  <c r="R150" i="299"/>
  <c r="Q150" i="299"/>
  <c r="O121" i="299"/>
  <c r="R109" i="299"/>
  <c r="Q109" i="299"/>
  <c r="O160" i="299"/>
  <c r="R148" i="299"/>
  <c r="Q148" i="299"/>
  <c r="Q88" i="299"/>
  <c r="R88" i="299"/>
  <c r="Q115" i="299"/>
  <c r="R115" i="299"/>
  <c r="Q100" i="299"/>
  <c r="R100" i="299"/>
  <c r="AG108" i="299"/>
  <c r="AH96" i="299" s="1"/>
  <c r="AF108" i="299"/>
  <c r="Q102" i="299"/>
  <c r="R102" i="299"/>
  <c r="R96" i="299"/>
  <c r="O108" i="299"/>
  <c r="Q96" i="299"/>
  <c r="Q104" i="299"/>
  <c r="R104" i="299"/>
  <c r="O95" i="299"/>
  <c r="R83" i="299"/>
  <c r="Q83" i="299"/>
  <c r="R36" i="299"/>
  <c r="Q36" i="299"/>
  <c r="Q12" i="299"/>
  <c r="R12" i="299"/>
  <c r="O82" i="299"/>
  <c r="R82" i="299" s="1"/>
  <c r="S70" i="299" s="1"/>
  <c r="R70" i="299"/>
  <c r="Q70" i="299"/>
  <c r="R38" i="299"/>
  <c r="Q38" i="299"/>
  <c r="AG30" i="299"/>
  <c r="AH18" i="299" s="1"/>
  <c r="AF30" i="299"/>
  <c r="AG43" i="299"/>
  <c r="AH31" i="299" s="1"/>
  <c r="AF43" i="299"/>
  <c r="Q43" i="299"/>
  <c r="R32" i="299"/>
  <c r="Q32" i="299"/>
  <c r="AG147" i="299"/>
  <c r="AH135" i="299" s="1"/>
  <c r="AF147" i="299"/>
  <c r="R164" i="299"/>
  <c r="Q164" i="299"/>
  <c r="Q140" i="299"/>
  <c r="R140" i="299"/>
  <c r="R143" i="299"/>
  <c r="Q143" i="299"/>
  <c r="R151" i="299"/>
  <c r="Q151" i="299"/>
  <c r="R139" i="299"/>
  <c r="Q139" i="299"/>
  <c r="Q125" i="299"/>
  <c r="R149" i="299"/>
  <c r="Q149" i="299"/>
  <c r="R141" i="299"/>
  <c r="Q141" i="299"/>
  <c r="R99" i="299"/>
  <c r="Q99" i="299"/>
  <c r="R87" i="299"/>
  <c r="Q87" i="299"/>
  <c r="Q117" i="299"/>
  <c r="R117" i="299"/>
  <c r="Q72" i="299"/>
  <c r="R72" i="299"/>
  <c r="AG69" i="299"/>
  <c r="AH57" i="299" s="1"/>
  <c r="Q69" i="299"/>
  <c r="AF69" i="299"/>
  <c r="R84" i="299"/>
  <c r="Q84" i="299"/>
  <c r="R58" i="299"/>
  <c r="Q58" i="299"/>
  <c r="R61" i="299"/>
  <c r="Q61" i="299"/>
  <c r="Q23" i="299"/>
  <c r="R23" i="299"/>
  <c r="Q10" i="299"/>
  <c r="R10" i="299"/>
  <c r="R59" i="299"/>
  <c r="Q59" i="299"/>
  <c r="Q47" i="299"/>
  <c r="R47" i="299"/>
  <c r="Q44" i="299"/>
  <c r="O56" i="299"/>
  <c r="R56" i="299" s="1"/>
  <c r="S44" i="299" s="1"/>
  <c r="R44" i="299"/>
  <c r="R35" i="299"/>
  <c r="Q35" i="299"/>
  <c r="R9" i="299"/>
  <c r="Q9" i="299"/>
  <c r="R24" i="299"/>
  <c r="Q24" i="299"/>
  <c r="O17" i="299"/>
  <c r="Q5" i="299"/>
  <c r="R5" i="299"/>
  <c r="Q138" i="299"/>
  <c r="R138" i="299"/>
  <c r="AG160" i="299"/>
  <c r="AH148" i="299" s="1"/>
  <c r="AF160" i="299"/>
  <c r="AG173" i="299"/>
  <c r="AH161" i="299" s="1"/>
  <c r="AF173" i="299"/>
  <c r="AG134" i="299"/>
  <c r="AH122" i="299" s="1"/>
  <c r="AF134" i="299"/>
  <c r="Q122" i="299"/>
  <c r="O134" i="299"/>
  <c r="R122" i="299"/>
  <c r="Q98" i="299"/>
  <c r="R98" i="299"/>
  <c r="Q113" i="299"/>
  <c r="R113" i="299"/>
  <c r="R86" i="299"/>
  <c r="Q86" i="299"/>
  <c r="Q49" i="299"/>
  <c r="R49" i="299"/>
  <c r="Q45" i="299"/>
  <c r="R45" i="299"/>
  <c r="Q90" i="299"/>
  <c r="R90" i="299"/>
  <c r="Q21" i="299"/>
  <c r="R21" i="299"/>
  <c r="R8" i="299"/>
  <c r="Q8" i="299"/>
  <c r="R33" i="299"/>
  <c r="Q33" i="299"/>
  <c r="R7" i="299"/>
  <c r="Q7" i="299"/>
  <c r="AG17" i="299"/>
  <c r="AH5" i="299" s="1"/>
  <c r="AF17" i="299"/>
  <c r="R162" i="299"/>
  <c r="Q162" i="299"/>
  <c r="R165" i="299"/>
  <c r="Q165" i="299"/>
  <c r="Q144" i="299"/>
  <c r="R144" i="299"/>
  <c r="R152" i="299"/>
  <c r="Q152" i="299"/>
  <c r="R137" i="299"/>
  <c r="Q137" i="299"/>
  <c r="O173" i="299"/>
  <c r="R161" i="299"/>
  <c r="Q161" i="299"/>
  <c r="Q123" i="299"/>
  <c r="Q129" i="299"/>
  <c r="R129" i="299"/>
  <c r="Q127" i="299"/>
  <c r="R127" i="299"/>
  <c r="R101" i="299"/>
  <c r="Q101" i="299"/>
  <c r="R60" i="299"/>
  <c r="Q60" i="299"/>
  <c r="AG121" i="299"/>
  <c r="AH109" i="299" s="1"/>
  <c r="AF121" i="299"/>
  <c r="R103" i="299"/>
  <c r="Q103" i="299"/>
  <c r="Q74" i="299"/>
  <c r="R74" i="299"/>
  <c r="Q111" i="299"/>
  <c r="R111" i="299"/>
  <c r="R105" i="299"/>
  <c r="Q105" i="299"/>
  <c r="O69" i="299"/>
  <c r="R69" i="299" s="1"/>
  <c r="S57" i="299" s="1"/>
  <c r="AG95" i="299"/>
  <c r="AH83" i="299" s="1"/>
  <c r="AF95" i="299"/>
  <c r="Q19" i="299"/>
  <c r="R19" i="299"/>
  <c r="Q6" i="299"/>
  <c r="R6" i="299"/>
  <c r="AF82" i="299"/>
  <c r="Q82" i="299"/>
  <c r="AG82" i="299"/>
  <c r="AH70" i="299" s="1"/>
  <c r="AG56" i="299"/>
  <c r="AH44" i="299" s="1"/>
  <c r="Q56" i="299"/>
  <c r="AF56" i="299"/>
  <c r="R34" i="299"/>
  <c r="Q34" i="299"/>
  <c r="R22" i="299"/>
  <c r="Q22" i="299"/>
  <c r="R31" i="299"/>
  <c r="O43" i="299"/>
  <c r="R43" i="299" s="1"/>
  <c r="S31" i="299" s="1"/>
  <c r="Q31" i="299"/>
  <c r="O30" i="299"/>
  <c r="R11" i="299"/>
  <c r="Q11" i="299"/>
  <c r="R20" i="299"/>
  <c r="Q20" i="299"/>
  <c r="R173" i="299" l="1"/>
  <c r="S161" i="299" s="1"/>
  <c r="Q173" i="299"/>
  <c r="R95" i="299"/>
  <c r="S83" i="299" s="1"/>
  <c r="Q95" i="299"/>
  <c r="Q108" i="299"/>
  <c r="R108" i="299"/>
  <c r="S96" i="299" s="1"/>
  <c r="R147" i="299"/>
  <c r="S135" i="299" s="1"/>
  <c r="Q147" i="299"/>
  <c r="R121" i="299"/>
  <c r="S109" i="299" s="1"/>
  <c r="Q121" i="299"/>
  <c r="Q30" i="299"/>
  <c r="R30" i="299"/>
  <c r="S18" i="299" s="1"/>
  <c r="Q134" i="299"/>
  <c r="R134" i="299"/>
  <c r="S122" i="299" s="1"/>
  <c r="R17" i="299"/>
  <c r="S5" i="299" s="1"/>
  <c r="Q17" i="299"/>
  <c r="E2" i="299"/>
  <c r="Q160" i="299"/>
  <c r="R160" i="299"/>
  <c r="S148" i="299" s="1"/>
  <c r="H32" i="298" l="1"/>
  <c r="G32" i="298"/>
  <c r="F32" i="298"/>
  <c r="E32" i="298"/>
  <c r="D32" i="298"/>
  <c r="J8" i="298"/>
  <c r="M32" i="298"/>
  <c r="L32" i="298"/>
  <c r="K32" i="298"/>
  <c r="J32" i="298"/>
  <c r="I32" i="298"/>
  <c r="Q15" i="298"/>
  <c r="P15" i="298"/>
  <c r="O15" i="298"/>
  <c r="N15" i="298"/>
  <c r="M15" i="298"/>
  <c r="L15" i="298"/>
  <c r="K15" i="298"/>
  <c r="J15" i="298"/>
  <c r="I15" i="298"/>
  <c r="H15" i="298"/>
  <c r="G15" i="298"/>
  <c r="F15" i="298"/>
  <c r="E15" i="298"/>
  <c r="D15" i="298"/>
  <c r="H8" i="298"/>
  <c r="L7" i="298"/>
  <c r="J7" i="298"/>
  <c r="H7" i="298"/>
  <c r="F7" i="298"/>
  <c r="L6" i="298"/>
  <c r="J6" i="298"/>
  <c r="H6" i="298"/>
  <c r="F6" i="298"/>
  <c r="L8" i="298" l="1"/>
  <c r="F8" i="298"/>
</calcChain>
</file>

<file path=xl/sharedStrings.xml><?xml version="1.0" encoding="utf-8"?>
<sst xmlns="http://schemas.openxmlformats.org/spreadsheetml/2006/main" count="5775" uniqueCount="815">
  <si>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</si>
  <si>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</si>
  <si>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</si>
  <si>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</si>
  <si>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</si>
  <si>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</si>
  <si>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</si>
  <si>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</si>
  <si>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</si>
  <si>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</si>
  <si>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</si>
  <si>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</si>
  <si>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</si>
  <si>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</si>
  <si>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</si>
  <si>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</si>
  <si>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</si>
  <si>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</si>
  <si>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</si>
  <si>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</si>
  <si>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</si>
  <si>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</si>
  <si>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</si>
  <si>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</si>
  <si>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</si>
  <si>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</si>
  <si>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</si>
  <si>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</si>
  <si>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</si>
  <si>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</si>
  <si>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</si>
  <si>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</si>
  <si>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</si>
  <si>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</si>
  <si>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</si>
  <si>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</si>
  <si>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</si>
  <si>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</si>
  <si>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</si>
  <si>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</si>
  <si>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</si>
  <si>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</si>
  <si>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</si>
  <si>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</si>
  <si>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</si>
  <si>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</si>
  <si>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</si>
  <si>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</si>
  <si>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</si>
  <si>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</si>
  <si>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</si>
  <si>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</si>
  <si>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</si>
  <si>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</si>
  <si>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</si>
  <si>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</si>
  <si>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</si>
  <si>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</si>
  <si>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</si>
  <si>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</si>
  <si>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</si>
  <si>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</si>
  <si>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</si>
  <si>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</si>
  <si>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</si>
  <si>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</si>
  <si>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</si>
  <si>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</si>
  <si>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</si>
  <si>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</si>
  <si>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</si>
  <si>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嘉義劉里長雞肉飯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</si>
  <si>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</si>
  <si>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</si>
  <si>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</si>
  <si>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</si>
  <si>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</si>
  <si>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</si>
  <si>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鐵板滑蛋炸豬排丼</t>
  </si>
  <si>
    <t>壹號醬雞豚雙拼</t>
  </si>
  <si>
    <t>好多蒜燒豚飯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</si>
  <si>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</si>
  <si>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</si>
  <si>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</si>
  <si>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</si>
  <si>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</si>
  <si>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</si>
  <si>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</si>
  <si>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</si>
  <si>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</si>
  <si>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</si>
  <si>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</si>
  <si>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</si>
  <si>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</si>
  <si>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</si>
  <si>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</si>
  <si>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</si>
  <si>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</si>
  <si>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</si>
  <si>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</si>
  <si>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</si>
  <si>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</si>
  <si>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</si>
  <si>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</si>
  <si>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</si>
  <si>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</si>
  <si>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</si>
  <si>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</si>
  <si>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</si>
  <si>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</si>
  <si>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</si>
  <si>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</si>
  <si>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</si>
  <si>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</si>
  <si>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</si>
  <si>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</si>
  <si>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</si>
  <si>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</si>
  <si>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</si>
  <si>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</si>
  <si>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</si>
  <si>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</si>
  <si>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</si>
  <si>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</si>
  <si>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</si>
  <si>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</si>
  <si>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</si>
  <si>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</si>
  <si>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</si>
  <si>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</si>
  <si>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</si>
  <si>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</si>
  <si>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</si>
  <si>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</si>
  <si>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</si>
  <si>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</si>
  <si>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</si>
  <si>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</si>
  <si>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</si>
  <si>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</si>
  <si>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</si>
  <si>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二配濃起司燻腸紅醬焗烤飯</t>
  </si>
  <si>
    <t>二配鐵板豆腐燴蛋蓋飯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</si>
  <si>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</si>
  <si>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</si>
  <si>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</si>
  <si>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</si>
  <si>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</si>
  <si>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</si>
  <si>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</si>
  <si>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</si>
  <si>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</si>
  <si>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</si>
  <si>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</si>
  <si>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</si>
  <si>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</si>
  <si>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</si>
  <si>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</si>
  <si>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</si>
  <si>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</si>
  <si>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</si>
  <si>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</si>
  <si>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</si>
  <si>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</si>
  <si>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</si>
  <si>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</si>
  <si>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</si>
  <si>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</si>
  <si>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</si>
  <si>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</si>
  <si>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</si>
  <si>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</si>
  <si>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</si>
  <si>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</si>
  <si>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</si>
  <si>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</si>
  <si>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</si>
  <si>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香檸奶油魚排蔬滿盒</t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</si>
  <si>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</si>
  <si>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</si>
  <si>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</si>
  <si>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</si>
  <si>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</si>
  <si>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</si>
  <si>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</si>
  <si>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鐵道滷排便當</t>
  </si>
  <si>
    <t>蔥蔥玉子拌麵</t>
  </si>
  <si>
    <t>二配蔥爆牛肉燴飯</t>
  </si>
  <si>
    <t>鰹魚烏龍冷麵</t>
  </si>
  <si>
    <t>滿滿高麗菜豆芽鐵板麵</t>
  </si>
  <si>
    <t>韓式燒肉拌飯</t>
  </si>
  <si>
    <t>二配兩粒飯糰(鮪魚.焦糖鮭魚)</t>
  </si>
  <si>
    <t>鮭鮪海饌雙手卷(捲)</t>
  </si>
  <si>
    <t>經典人氣雙手卷(捲)</t>
  </si>
  <si>
    <t>鐵板牛套餐包手卷</t>
  </si>
  <si>
    <t>鮭鮪海饌雙手卷</t>
  </si>
  <si>
    <t>經典人氣雙手卷</t>
  </si>
  <si>
    <t>蕃茄起司手工千層麵(區)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</si>
  <si>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</si>
  <si>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</si>
  <si>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</si>
  <si>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</si>
  <si>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</si>
  <si>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</si>
  <si>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</si>
  <si>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</si>
  <si>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</si>
  <si>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</si>
  <si>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</si>
  <si>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</si>
  <si>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</si>
  <si>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</si>
  <si>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 xml:space="preserve">06月01日  星期 一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</si>
  <si>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</si>
  <si>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</si>
  <si>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</si>
  <si>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</si>
  <si>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</si>
  <si>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</si>
  <si>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</si>
  <si>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</si>
  <si>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</si>
  <si>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06月01日  星期 一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</si>
  <si>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</si>
  <si>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</si>
  <si>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</si>
  <si>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</si>
  <si>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</si>
  <si>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</si>
  <si>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</si>
  <si>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</si>
  <si>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</si>
  <si>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</si>
  <si>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</si>
  <si>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</si>
  <si>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</si>
  <si>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</si>
  <si>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</si>
  <si>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</si>
  <si>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</si>
  <si>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</si>
  <si>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</si>
  <si>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</si>
  <si>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</si>
  <si>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</si>
  <si>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</si>
  <si>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</si>
  <si>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</si>
  <si>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</si>
  <si>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</si>
  <si>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</si>
  <si>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</si>
  <si>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</si>
  <si>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</si>
  <si>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</si>
  <si>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</si>
  <si>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</si>
  <si>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</si>
  <si>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</si>
  <si>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</si>
  <si>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</si>
  <si>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</si>
  <si>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</si>
  <si>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</si>
  <si>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</si>
  <si>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</si>
  <si>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</si>
  <si>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</si>
  <si>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</si>
  <si>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</si>
  <si>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</si>
  <si>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</si>
  <si>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</si>
  <si>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</si>
  <si>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06月01日  星期一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</si>
  <si>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</si>
  <si>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</si>
  <si>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</si>
  <si>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</si>
  <si>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</si>
  <si>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</si>
  <si>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</si>
  <si>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</si>
  <si>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</si>
  <si>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</si>
  <si>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</si>
  <si>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</si>
  <si>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</si>
  <si>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</si>
  <si>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</si>
  <si>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</si>
  <si>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</si>
  <si>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</si>
  <si>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</si>
  <si>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</si>
  <si>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</si>
  <si>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</si>
  <si>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</si>
  <si>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</si>
  <si>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</si>
  <si>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</si>
  <si>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</si>
  <si>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</si>
  <si>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</si>
  <si>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</si>
  <si>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</si>
  <si>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</si>
  <si>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</si>
  <si>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</si>
  <si>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</si>
  <si>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</si>
  <si>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06月02日  星期 二 </t>
  </si>
  <si>
    <t xml:space="preserve">06月03日  星期  三 </t>
  </si>
  <si>
    <t xml:space="preserve">晉欣廠四度C日報分析                              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</si>
  <si>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</si>
  <si>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</si>
  <si>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</si>
  <si>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</si>
  <si>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</si>
  <si>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</si>
  <si>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</si>
  <si>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</si>
  <si>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次數</t>
    <phoneticPr fontId="7" type="noConversion"/>
  </si>
  <si>
    <t>合計
時間/分</t>
    <phoneticPr fontId="3" type="noConversion"/>
  </si>
  <si>
    <t>合計
時間/分</t>
    <phoneticPr fontId="3" type="noConversion"/>
  </si>
  <si>
    <t>產線異常分析
說明(5分鐘以上)</t>
    <phoneticPr fontId="7" type="noConversion"/>
  </si>
  <si>
    <t>產線異常分析
說明(5分鐘以上)</t>
    <phoneticPr fontId="7" type="noConversion"/>
  </si>
  <si>
    <t>合計
設備次數</t>
    <phoneticPr fontId="3" type="noConversion"/>
  </si>
  <si>
    <t>合計
設備次數</t>
    <phoneticPr fontId="3" type="noConversion"/>
  </si>
  <si>
    <t>產能差異分析</t>
    <phoneticPr fontId="7" type="noConversion"/>
  </si>
  <si>
    <t>產能差異分析</t>
    <phoneticPr fontId="7" type="noConversion"/>
  </si>
  <si>
    <t xml:space="preserve">06月02日  星期 二 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</si>
  <si>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</si>
  <si>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</si>
  <si>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</si>
  <si>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</si>
  <si>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</si>
  <si>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</si>
  <si>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</si>
  <si>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</si>
  <si>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</si>
  <si>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</si>
  <si>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</si>
  <si>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</si>
  <si>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</si>
  <si>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</t>
    <phoneticPr fontId="7" type="noConversion"/>
  </si>
  <si>
    <t>達成率平均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</si>
  <si>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</si>
  <si>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</si>
  <si>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</si>
  <si>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</si>
  <si>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</si>
  <si>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</si>
  <si>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</si>
  <si>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</si>
  <si>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</si>
  <si>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</si>
  <si>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</si>
  <si>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</si>
  <si>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</si>
  <si>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</si>
  <si>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</si>
  <si>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</si>
  <si>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</si>
  <si>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</si>
  <si>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</si>
  <si>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四度一組
(ET-600)</t>
    <phoneticPr fontId="7" type="noConversion"/>
  </si>
  <si>
    <t>招牌雞絲胡麻涼麵</t>
  </si>
  <si>
    <t>4度一組</t>
    <phoneticPr fontId="3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</si>
  <si>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</si>
  <si>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</si>
  <si>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</si>
  <si>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</si>
  <si>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</si>
  <si>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</si>
  <si>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</si>
  <si>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</si>
  <si>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</si>
  <si>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</si>
  <si>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</si>
  <si>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</si>
  <si>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</si>
  <si>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</si>
  <si>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</si>
  <si>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 xml:space="preserve">
4度二組C1
</t>
    <phoneticPr fontId="3" type="noConversion"/>
  </si>
  <si>
    <t>四度二組
(烤飯糰/十爪機)</t>
    <phoneticPr fontId="3" type="noConversion"/>
  </si>
  <si>
    <t>四度二組
(烤飯糰/十爪機)</t>
    <phoneticPr fontId="3" type="noConversion"/>
  </si>
  <si>
    <t>燻之味-糖燻雞腿</t>
  </si>
  <si>
    <t xml:space="preserve">
4度二組C2
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</si>
  <si>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</si>
  <si>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</si>
  <si>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</si>
  <si>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</si>
  <si>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 xml:space="preserve">
4度三組
</t>
    <phoneticPr fontId="3" type="noConversion"/>
  </si>
  <si>
    <t>四度四組
(ET-55)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</si>
  <si>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</si>
  <si>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</si>
  <si>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</si>
  <si>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</si>
  <si>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</si>
  <si>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</si>
  <si>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</si>
  <si>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</si>
  <si>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</si>
  <si>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</si>
  <si>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</si>
  <si>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</si>
  <si>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</si>
  <si>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</si>
  <si>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 xml:space="preserve">
綜合二組
</t>
    <phoneticPr fontId="3" type="noConversion"/>
  </si>
  <si>
    <t>綜合三組
(ET-55)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</si>
  <si>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</si>
  <si>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</si>
  <si>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 xml:space="preserve">
綜合三組
</t>
    <phoneticPr fontId="3" type="noConversion"/>
  </si>
  <si>
    <t>綜合四組</t>
    <phoneticPr fontId="3" type="noConversion"/>
  </si>
  <si>
    <t>綜合四組</t>
    <phoneticPr fontId="3" type="noConversion"/>
  </si>
  <si>
    <t xml:space="preserve">
綜合四組
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</si>
  <si>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</si>
  <si>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</si>
  <si>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</si>
  <si>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</si>
  <si>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 xml:space="preserve">
便當組
</t>
    <phoneticPr fontId="3" type="noConversion"/>
  </si>
  <si>
    <t>3.當日出勤熟手較少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</si>
  <si>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</si>
  <si>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</si>
  <si>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12.商品結構，產能較低</t>
    <phoneticPr fontId="3" type="noConversion"/>
  </si>
  <si>
    <t>13.區域出貨，分段生產</t>
    <phoneticPr fontId="3" type="noConversion"/>
  </si>
  <si>
    <t>13.區域出貨，分段生產</t>
    <phoneticPr fontId="3" type="noConversion"/>
  </si>
  <si>
    <t xml:space="preserve">06月03日  星期  三 </t>
    <phoneticPr fontId="7" type="noConversion"/>
  </si>
  <si>
    <t>產線異常統計
(5分鐘以上)</t>
    <phoneticPr fontId="4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</si>
  <si>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</si>
  <si>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</si>
  <si>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</si>
  <si>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</si>
  <si>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</si>
  <si>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</si>
  <si>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</si>
  <si>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</si>
  <si>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</si>
  <si>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06月02日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</si>
  <si>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</si>
  <si>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</si>
  <si>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</si>
  <si>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</si>
  <si>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</si>
  <si>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</si>
  <si>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</si>
  <si>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</si>
  <si>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</si>
  <si>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</si>
  <si>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</si>
  <si>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</si>
  <si>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</si>
  <si>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</si>
  <si>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</si>
  <si>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</si>
  <si>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</si>
  <si>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</si>
  <si>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</si>
  <si>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</si>
  <si>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</si>
  <si>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</si>
  <si>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</si>
  <si>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</si>
  <si>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</si>
  <si>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</si>
  <si>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</si>
  <si>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</si>
  <si>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</si>
  <si>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</si>
  <si>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</si>
  <si>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</si>
  <si>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</si>
  <si>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</si>
  <si>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</si>
  <si>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</si>
  <si>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</si>
  <si>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</si>
  <si>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</si>
  <si>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</si>
  <si>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</si>
  <si>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06月03日  星期三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</si>
  <si>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</si>
  <si>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</si>
  <si>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</si>
  <si>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</si>
  <si>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</si>
  <si>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</si>
  <si>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</si>
  <si>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</si>
  <si>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</si>
  <si>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</si>
  <si>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</si>
  <si>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</si>
  <si>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</si>
  <si>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</si>
  <si>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</si>
  <si>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</si>
  <si>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</si>
  <si>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</si>
  <si>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</si>
  <si>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</si>
  <si>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</si>
  <si>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</si>
  <si>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</si>
  <si>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</si>
  <si>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</si>
  <si>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</si>
  <si>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</si>
  <si>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</si>
  <si>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</si>
  <si>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</si>
  <si>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</si>
  <si>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</si>
  <si>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</si>
  <si>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</si>
  <si>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06月04日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</si>
  <si>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</si>
  <si>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</si>
  <si>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</si>
  <si>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</si>
  <si>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</si>
  <si>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</si>
  <si>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</si>
  <si>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</si>
  <si>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</si>
  <si>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</si>
  <si>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</si>
  <si>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</si>
  <si>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</si>
  <si>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</si>
  <si>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</si>
  <si>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</si>
  <si>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</si>
  <si>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</si>
  <si>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</si>
  <si>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</si>
  <si>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</si>
  <si>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</si>
  <si>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</si>
  <si>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</si>
  <si>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</si>
  <si>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</si>
  <si>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</si>
  <si>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</si>
  <si>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</si>
  <si>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</si>
  <si>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</si>
  <si>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</si>
  <si>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</si>
  <si>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</si>
  <si>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</si>
  <si>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</si>
  <si>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</si>
  <si>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</si>
  <si>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</si>
  <si>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</si>
  <si>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</si>
  <si>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</si>
  <si>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</si>
  <si>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</si>
  <si>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</si>
  <si>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</si>
  <si>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</si>
  <si>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</si>
  <si>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</si>
  <si>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</si>
  <si>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</si>
  <si>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</si>
  <si>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</si>
  <si>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</si>
  <si>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</si>
  <si>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06月04日  星期  四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</si>
  <si>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</si>
  <si>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</si>
  <si>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</si>
  <si>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</si>
  <si>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</si>
  <si>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</si>
  <si>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</si>
  <si>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</si>
  <si>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</si>
  <si>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</si>
  <si>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</si>
  <si>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</si>
  <si>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</si>
  <si>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</si>
  <si>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</si>
  <si>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</si>
  <si>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</si>
  <si>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</si>
  <si>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</si>
  <si>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</si>
  <si>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</si>
  <si>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</si>
  <si>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</si>
  <si>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</si>
  <si>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</si>
  <si>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</si>
  <si>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</si>
  <si>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</si>
  <si>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</si>
  <si>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</si>
  <si>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</si>
  <si>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</si>
  <si>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</si>
  <si>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</si>
  <si>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</si>
  <si>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</si>
  <si>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</si>
  <si>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</si>
  <si>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</si>
  <si>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</si>
  <si>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</si>
  <si>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</si>
  <si>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</si>
  <si>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</si>
  <si>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</si>
  <si>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</si>
  <si>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</si>
  <si>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</si>
  <si>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06月04日  星期  四 </t>
  </si>
  <si>
    <t xml:space="preserve">06月05日  星期 五 </t>
  </si>
  <si>
    <t xml:space="preserve">06月06日  星期 六 </t>
  </si>
  <si>
    <t xml:space="preserve">06月07日  星期 日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</si>
  <si>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</si>
  <si>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</si>
  <si>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</si>
  <si>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</si>
  <si>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</si>
  <si>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</si>
  <si>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</si>
  <si>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</si>
  <si>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</si>
  <si>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06月05日  星期 五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</si>
  <si>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</si>
  <si>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</si>
  <si>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</si>
  <si>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</si>
  <si>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</si>
  <si>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</si>
  <si>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</si>
  <si>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</si>
  <si>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</si>
  <si>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</si>
  <si>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</si>
  <si>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</si>
  <si>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</si>
  <si>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</si>
  <si>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</si>
  <si>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</si>
  <si>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</si>
  <si>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</si>
  <si>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</si>
  <si>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</si>
  <si>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</si>
  <si>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</si>
  <si>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</si>
  <si>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</si>
  <si>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</si>
  <si>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</si>
  <si>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</si>
  <si>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</si>
  <si>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</si>
  <si>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</si>
  <si>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</si>
  <si>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</si>
  <si>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</si>
  <si>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</si>
  <si>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</si>
  <si>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</si>
  <si>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</si>
  <si>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</si>
  <si>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</si>
  <si>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</si>
  <si>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</si>
  <si>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</si>
  <si>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</si>
  <si>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</si>
  <si>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</si>
  <si>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</si>
  <si>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</si>
  <si>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</si>
  <si>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06月06日  星期 六 </t>
    <phoneticPr fontId="7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</si>
  <si>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</si>
  <si>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</si>
  <si>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</si>
  <si>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</si>
  <si>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</si>
  <si>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</si>
  <si>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</si>
  <si>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</si>
  <si>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</si>
  <si>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</si>
  <si>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</si>
  <si>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</si>
  <si>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</si>
  <si>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</si>
  <si>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</si>
  <si>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</si>
  <si>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</si>
  <si>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</si>
  <si>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</si>
  <si>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</si>
  <si>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</si>
  <si>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</si>
  <si>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</si>
  <si>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</si>
  <si>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</si>
  <si>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</si>
  <si>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06月07日  星期 日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</si>
  <si>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</si>
  <si>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</si>
  <si>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</si>
  <si>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</si>
  <si>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</si>
  <si>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</si>
  <si>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</si>
  <si>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</si>
  <si>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</si>
  <si>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</si>
  <si>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</si>
  <si>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</si>
  <si>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</si>
  <si>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</si>
  <si>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</si>
  <si>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</si>
  <si>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</si>
  <si>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</si>
  <si>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</si>
  <si>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</si>
  <si>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</si>
  <si>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</si>
  <si>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</si>
  <si>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</si>
  <si>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</si>
  <si>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</si>
  <si>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</si>
  <si>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</si>
  <si>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</si>
  <si>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</si>
  <si>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</si>
  <si>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</si>
  <si>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</si>
  <si>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</si>
  <si>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</si>
  <si>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</si>
  <si>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</si>
  <si>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</si>
  <si>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</si>
  <si>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</si>
  <si>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</si>
  <si>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</si>
  <si>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</si>
  <si>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06月05日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</si>
  <si>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</si>
  <si>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</si>
  <si>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</si>
  <si>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</si>
  <si>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</si>
  <si>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</si>
  <si>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</si>
  <si>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</si>
  <si>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</si>
  <si>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</si>
  <si>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</si>
  <si>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</si>
  <si>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</si>
  <si>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</si>
  <si>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</si>
  <si>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</si>
  <si>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</si>
  <si>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</si>
  <si>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</si>
  <si>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</si>
  <si>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</si>
  <si>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</si>
  <si>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</si>
  <si>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</si>
  <si>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</si>
  <si>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</si>
  <si>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</si>
  <si>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</si>
  <si>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</si>
  <si>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</si>
  <si>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</si>
  <si>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</si>
  <si>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</si>
  <si>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</si>
  <si>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</si>
  <si>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</si>
  <si>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</si>
  <si>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</si>
  <si>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</si>
  <si>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</si>
  <si>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</si>
  <si>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</si>
  <si>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</si>
  <si>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</si>
  <si>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</si>
  <si>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</si>
  <si>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</si>
  <si>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</si>
  <si>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06月06日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</si>
  <si>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</si>
  <si>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</si>
  <si>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</si>
  <si>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</si>
  <si>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</si>
  <si>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</si>
  <si>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</si>
  <si>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06月07日  星期日</t>
    <phoneticPr fontId="7" type="noConversion"/>
  </si>
  <si>
    <t xml:space="preserve">06月08日  星期 一 </t>
  </si>
  <si>
    <t xml:space="preserve">06月08日  星期 一 </t>
    <phoneticPr fontId="7" type="noConversion"/>
  </si>
  <si>
    <t>二配藤椒雞丁炒飯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</si>
</sst>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653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>
      <alignment vertical="center"/>
    </xf>
    <xf numFmtId="0" fontId="11" fillId="0" borderId="66" xfId="97" applyFont="1" applyBorder="1">
      <alignment vertical="center"/>
    </xf>
    <xf numFmtId="0" fontId="11" fillId="0" borderId="2" xfId="97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0" fontId="4" fillId="0" borderId="32" xfId="160" applyFont="1" applyBorder="1" applyAlignment="1">
      <alignment vertical="top"/>
    </xf>
    <xf numFmtId="2" fontId="4" fillId="0" borderId="2" xfId="160" applyNumberFormat="1" applyFont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Border="1" applyAlignment="1">
      <alignment vertical="top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86" xfId="97" applyFont="1" applyBorder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Border="1">
      <alignment vertical="center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83" xfId="97" applyFont="1" applyFill="1" applyBorder="1" applyAlignment="1"/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</cellXfs>
  <cellStyles count="366">
    <cellStyle name="パーセント 2" xfId="7" xr:uid="{00000000-0005-0000-0000-000000000000}"/>
    <cellStyle name="一般" xfId="0" builtinId="0"/>
    <cellStyle name="一般 10" xfId="8" xr:uid="{00000000-0005-0000-0000-000002000000}"/>
    <cellStyle name="一般 10 2" xfId="9" xr:uid="{00000000-0005-0000-0000-000003000000}"/>
    <cellStyle name="一般 11" xfId="10" xr:uid="{00000000-0005-0000-0000-000004000000}"/>
    <cellStyle name="一般 12" xfId="11" xr:uid="{00000000-0005-0000-0000-000005000000}"/>
    <cellStyle name="一般 13" xfId="12" xr:uid="{00000000-0005-0000-0000-000006000000}"/>
    <cellStyle name="一般 14" xfId="13" xr:uid="{00000000-0005-0000-0000-000007000000}"/>
    <cellStyle name="一般 15" xfId="14" xr:uid="{00000000-0005-0000-0000-000008000000}"/>
    <cellStyle name="一般 15 2" xfId="15" xr:uid="{00000000-0005-0000-0000-000009000000}"/>
    <cellStyle name="一般 16" xfId="16" xr:uid="{00000000-0005-0000-0000-00000A000000}"/>
    <cellStyle name="一般 17" xfId="17" xr:uid="{00000000-0005-0000-0000-00000B000000}"/>
    <cellStyle name="一般 18" xfId="18" xr:uid="{00000000-0005-0000-0000-00000C000000}"/>
    <cellStyle name="一般 19" xfId="19" xr:uid="{00000000-0005-0000-0000-00000D000000}"/>
    <cellStyle name="一般 2" xfId="20" xr:uid="{00000000-0005-0000-0000-00000E000000}"/>
    <cellStyle name="一般 2 13" xfId="21" xr:uid="{00000000-0005-0000-0000-00000F000000}"/>
    <cellStyle name="一般 2 17" xfId="22" xr:uid="{00000000-0005-0000-0000-000010000000}"/>
    <cellStyle name="一般 2 17 10" xfId="23" xr:uid="{00000000-0005-0000-0000-000011000000}"/>
    <cellStyle name="一般 2 17 11" xfId="24" xr:uid="{00000000-0005-0000-0000-000012000000}"/>
    <cellStyle name="一般 2 17 12" xfId="25" xr:uid="{00000000-0005-0000-0000-000013000000}"/>
    <cellStyle name="一般 2 17 13" xfId="26" xr:uid="{00000000-0005-0000-0000-000014000000}"/>
    <cellStyle name="一般 2 17 13 2" xfId="27" xr:uid="{00000000-0005-0000-0000-000015000000}"/>
    <cellStyle name="一般 2 17 13 3" xfId="28" xr:uid="{00000000-0005-0000-0000-000016000000}"/>
    <cellStyle name="一般 2 17 14" xfId="29" xr:uid="{00000000-0005-0000-0000-000017000000}"/>
    <cellStyle name="一般 2 17 14 2" xfId="30" xr:uid="{00000000-0005-0000-0000-000018000000}"/>
    <cellStyle name="一般 2 17 15" xfId="31" xr:uid="{00000000-0005-0000-0000-000019000000}"/>
    <cellStyle name="一般 2 17 16" xfId="32" xr:uid="{00000000-0005-0000-0000-00001A000000}"/>
    <cellStyle name="一般 2 17 17" xfId="33" xr:uid="{00000000-0005-0000-0000-00001B000000}"/>
    <cellStyle name="一般 2 17 2" xfId="1" xr:uid="{00000000-0005-0000-0000-00001C000000}"/>
    <cellStyle name="一般 2 17 3" xfId="34" xr:uid="{00000000-0005-0000-0000-00001D000000}"/>
    <cellStyle name="一般 2 17 4" xfId="35" xr:uid="{00000000-0005-0000-0000-00001E000000}"/>
    <cellStyle name="一般 2 17 5" xfId="36" xr:uid="{00000000-0005-0000-0000-00001F000000}"/>
    <cellStyle name="一般 2 17 6" xfId="37" xr:uid="{00000000-0005-0000-0000-000020000000}"/>
    <cellStyle name="一般 2 17 7" xfId="38" xr:uid="{00000000-0005-0000-0000-000021000000}"/>
    <cellStyle name="一般 2 17 8" xfId="39" xr:uid="{00000000-0005-0000-0000-000022000000}"/>
    <cellStyle name="一般 2 17 9" xfId="40" xr:uid="{00000000-0005-0000-0000-000023000000}"/>
    <cellStyle name="一般 2 18" xfId="41" xr:uid="{00000000-0005-0000-0000-000024000000}"/>
    <cellStyle name="一般 2 18 10" xfId="42" xr:uid="{00000000-0005-0000-0000-000025000000}"/>
    <cellStyle name="一般 2 18 11" xfId="43" xr:uid="{00000000-0005-0000-0000-000026000000}"/>
    <cellStyle name="一般 2 18 12" xfId="44" xr:uid="{00000000-0005-0000-0000-000027000000}"/>
    <cellStyle name="一般 2 18 13" xfId="45" xr:uid="{00000000-0005-0000-0000-000028000000}"/>
    <cellStyle name="一般 2 18 13 2" xfId="46" xr:uid="{00000000-0005-0000-0000-000029000000}"/>
    <cellStyle name="一般 2 18 13 3" xfId="47" xr:uid="{00000000-0005-0000-0000-00002A000000}"/>
    <cellStyle name="一般 2 18 14" xfId="48" xr:uid="{00000000-0005-0000-0000-00002B000000}"/>
    <cellStyle name="一般 2 18 14 2" xfId="49" xr:uid="{00000000-0005-0000-0000-00002C000000}"/>
    <cellStyle name="一般 2 18 15" xfId="50" xr:uid="{00000000-0005-0000-0000-00002D000000}"/>
    <cellStyle name="一般 2 18 16" xfId="51" xr:uid="{00000000-0005-0000-0000-00002E000000}"/>
    <cellStyle name="一般 2 18 17" xfId="52" xr:uid="{00000000-0005-0000-0000-00002F000000}"/>
    <cellStyle name="一般 2 18 17 2" xfId="53" xr:uid="{00000000-0005-0000-0000-000030000000}"/>
    <cellStyle name="一般 2 18 19" xfId="54" xr:uid="{00000000-0005-0000-0000-000031000000}"/>
    <cellStyle name="一般 2 18 2" xfId="55" xr:uid="{00000000-0005-0000-0000-000032000000}"/>
    <cellStyle name="一般 2 18 21" xfId="56" xr:uid="{00000000-0005-0000-0000-000033000000}"/>
    <cellStyle name="一般 2 18 22" xfId="57" xr:uid="{00000000-0005-0000-0000-000034000000}"/>
    <cellStyle name="一般 2 18 23" xfId="58" xr:uid="{00000000-0005-0000-0000-000035000000}"/>
    <cellStyle name="一般 2 18 3" xfId="59" xr:uid="{00000000-0005-0000-0000-000036000000}"/>
    <cellStyle name="一般 2 18 4" xfId="60" xr:uid="{00000000-0005-0000-0000-000037000000}"/>
    <cellStyle name="一般 2 18 5" xfId="61" xr:uid="{00000000-0005-0000-0000-000038000000}"/>
    <cellStyle name="一般 2 18 6" xfId="62" xr:uid="{00000000-0005-0000-0000-000039000000}"/>
    <cellStyle name="一般 2 18 7" xfId="63" xr:uid="{00000000-0005-0000-0000-00003A000000}"/>
    <cellStyle name="一般 2 18 8" xfId="64" xr:uid="{00000000-0005-0000-0000-00003B000000}"/>
    <cellStyle name="一般 2 18 9" xfId="65" xr:uid="{00000000-0005-0000-0000-00003C000000}"/>
    <cellStyle name="一般 2 19" xfId="66" xr:uid="{00000000-0005-0000-0000-00003D000000}"/>
    <cellStyle name="一般 2 19 10" xfId="67" xr:uid="{00000000-0005-0000-0000-00003E000000}"/>
    <cellStyle name="一般 2 19 11" xfId="68" xr:uid="{00000000-0005-0000-0000-00003F000000}"/>
    <cellStyle name="一般 2 19 11 2" xfId="69" xr:uid="{00000000-0005-0000-0000-000040000000}"/>
    <cellStyle name="一般 2 19 12" xfId="70" xr:uid="{00000000-0005-0000-0000-000041000000}"/>
    <cellStyle name="一般 2 19 12 2" xfId="71" xr:uid="{00000000-0005-0000-0000-000042000000}"/>
    <cellStyle name="一般 2 19 13" xfId="72" xr:uid="{00000000-0005-0000-0000-000043000000}"/>
    <cellStyle name="一般 2 19 13 2" xfId="73" xr:uid="{00000000-0005-0000-0000-000044000000}"/>
    <cellStyle name="一般 2 19 13 3" xfId="74" xr:uid="{00000000-0005-0000-0000-000045000000}"/>
    <cellStyle name="一般 2 19 14" xfId="75" xr:uid="{00000000-0005-0000-0000-000046000000}"/>
    <cellStyle name="一般 2 19 14 2" xfId="76" xr:uid="{00000000-0005-0000-0000-000047000000}"/>
    <cellStyle name="一般 2 19 15" xfId="77" xr:uid="{00000000-0005-0000-0000-000048000000}"/>
    <cellStyle name="一般 2 19 16" xfId="78" xr:uid="{00000000-0005-0000-0000-000049000000}"/>
    <cellStyle name="一般 2 19 17" xfId="79" xr:uid="{00000000-0005-0000-0000-00004A000000}"/>
    <cellStyle name="一般 2 19 17 2" xfId="80" xr:uid="{00000000-0005-0000-0000-00004B000000}"/>
    <cellStyle name="一般 2 19 18" xfId="81" xr:uid="{00000000-0005-0000-0000-00004C000000}"/>
    <cellStyle name="一般 2 19 19" xfId="82" xr:uid="{00000000-0005-0000-0000-00004D000000}"/>
    <cellStyle name="一般 2 19 2" xfId="83" xr:uid="{00000000-0005-0000-0000-00004E000000}"/>
    <cellStyle name="一般 2 19 20" xfId="84" xr:uid="{00000000-0005-0000-0000-00004F000000}"/>
    <cellStyle name="一般 2 19 21" xfId="85" xr:uid="{00000000-0005-0000-0000-000050000000}"/>
    <cellStyle name="一般 2 19 21 2" xfId="86" xr:uid="{00000000-0005-0000-0000-000051000000}"/>
    <cellStyle name="一般 2 19 22" xfId="87" xr:uid="{00000000-0005-0000-0000-000052000000}"/>
    <cellStyle name="一般 2 19 23" xfId="88" xr:uid="{00000000-0005-0000-0000-000053000000}"/>
    <cellStyle name="一般 2 19 3" xfId="89" xr:uid="{00000000-0005-0000-0000-000054000000}"/>
    <cellStyle name="一般 2 19 4" xfId="90" xr:uid="{00000000-0005-0000-0000-000055000000}"/>
    <cellStyle name="一般 2 19 5" xfId="91" xr:uid="{00000000-0005-0000-0000-000056000000}"/>
    <cellStyle name="一般 2 19 6" xfId="92" xr:uid="{00000000-0005-0000-0000-000057000000}"/>
    <cellStyle name="一般 2 19 7" xfId="93" xr:uid="{00000000-0005-0000-0000-000058000000}"/>
    <cellStyle name="一般 2 19 8" xfId="94" xr:uid="{00000000-0005-0000-0000-000059000000}"/>
    <cellStyle name="一般 2 19 9" xfId="95" xr:uid="{00000000-0005-0000-0000-00005A000000}"/>
    <cellStyle name="一般 2 19 9 2" xfId="96" xr:uid="{00000000-0005-0000-0000-00005B000000}"/>
    <cellStyle name="一般 2 2" xfId="97" xr:uid="{00000000-0005-0000-0000-00005C000000}"/>
    <cellStyle name="一般 2 2 10" xfId="98" xr:uid="{00000000-0005-0000-0000-00005D000000}"/>
    <cellStyle name="一般 2 2 10 2" xfId="99" xr:uid="{00000000-0005-0000-0000-00005E000000}"/>
    <cellStyle name="一般 2 2 11" xfId="100" xr:uid="{00000000-0005-0000-0000-00005F000000}"/>
    <cellStyle name="一般 2 2 11 2" xfId="101" xr:uid="{00000000-0005-0000-0000-000060000000}"/>
    <cellStyle name="一般 2 2 11 3" xfId="102" xr:uid="{00000000-0005-0000-0000-000061000000}"/>
    <cellStyle name="一般 2 2 11 4" xfId="103" xr:uid="{00000000-0005-0000-0000-000062000000}"/>
    <cellStyle name="一般 2 2 12" xfId="104" xr:uid="{00000000-0005-0000-0000-000063000000}"/>
    <cellStyle name="一般 2 2 12 2" xfId="105" xr:uid="{00000000-0005-0000-0000-000064000000}"/>
    <cellStyle name="一般 2 2 12 3" xfId="106" xr:uid="{00000000-0005-0000-0000-000065000000}"/>
    <cellStyle name="一般 2 2 12 4" xfId="107" xr:uid="{00000000-0005-0000-0000-000066000000}"/>
    <cellStyle name="一般 2 2 13" xfId="108" xr:uid="{00000000-0005-0000-0000-000067000000}"/>
    <cellStyle name="一般 2 2 13 2" xfId="109" xr:uid="{00000000-0005-0000-0000-000068000000}"/>
    <cellStyle name="一般 2 2 13 3" xfId="110" xr:uid="{00000000-0005-0000-0000-000069000000}"/>
    <cellStyle name="一般 2 2 13 4" xfId="111" xr:uid="{00000000-0005-0000-0000-00006A000000}"/>
    <cellStyle name="一般 2 2 13 5" xfId="112" xr:uid="{00000000-0005-0000-0000-00006B000000}"/>
    <cellStyle name="一般 2 2 14" xfId="113" xr:uid="{00000000-0005-0000-0000-00006C000000}"/>
    <cellStyle name="一般 2 2 14 2" xfId="114" xr:uid="{00000000-0005-0000-0000-00006D000000}"/>
    <cellStyle name="一般 2 2 14 3" xfId="115" xr:uid="{00000000-0005-0000-0000-00006E000000}"/>
    <cellStyle name="一般 2 2 15" xfId="116" xr:uid="{00000000-0005-0000-0000-00006F000000}"/>
    <cellStyle name="一般 2 2 15 2" xfId="117" xr:uid="{00000000-0005-0000-0000-000070000000}"/>
    <cellStyle name="一般 2 2 16" xfId="118" xr:uid="{00000000-0005-0000-0000-000071000000}"/>
    <cellStyle name="一般 2 2 17" xfId="119" xr:uid="{00000000-0005-0000-0000-000072000000}"/>
    <cellStyle name="一般 2 2 17 2" xfId="120" xr:uid="{00000000-0005-0000-0000-000073000000}"/>
    <cellStyle name="一般 2 2 18" xfId="121" xr:uid="{00000000-0005-0000-0000-000074000000}"/>
    <cellStyle name="一般 2 2 19" xfId="122" xr:uid="{00000000-0005-0000-0000-000075000000}"/>
    <cellStyle name="一般 2 2 2" xfId="123" xr:uid="{00000000-0005-0000-0000-000076000000}"/>
    <cellStyle name="一般 2 2 2 2" xfId="2" xr:uid="{00000000-0005-0000-0000-000077000000}"/>
    <cellStyle name="一般 2 2 2 3" xfId="124" xr:uid="{00000000-0005-0000-0000-000078000000}"/>
    <cellStyle name="一般 2 2 2 4" xfId="125" xr:uid="{00000000-0005-0000-0000-000079000000}"/>
    <cellStyle name="一般 2 2 2 5" xfId="126" xr:uid="{00000000-0005-0000-0000-00007A000000}"/>
    <cellStyle name="一般 2 2 20" xfId="127" xr:uid="{00000000-0005-0000-0000-00007B000000}"/>
    <cellStyle name="一般 2 2 21" xfId="128" xr:uid="{00000000-0005-0000-0000-00007C000000}"/>
    <cellStyle name="一般 2 2 21 2" xfId="129" xr:uid="{00000000-0005-0000-0000-00007D000000}"/>
    <cellStyle name="一般 2 2 22" xfId="130" xr:uid="{00000000-0005-0000-0000-00007E000000}"/>
    <cellStyle name="一般 2 2 23" xfId="131" xr:uid="{00000000-0005-0000-0000-00007F000000}"/>
    <cellStyle name="一般 2 2 3" xfId="132" xr:uid="{00000000-0005-0000-0000-000080000000}"/>
    <cellStyle name="一般 2 2 3 2" xfId="133" xr:uid="{00000000-0005-0000-0000-000081000000}"/>
    <cellStyle name="一般 2 2 3 3" xfId="134" xr:uid="{00000000-0005-0000-0000-000082000000}"/>
    <cellStyle name="一般 2 2 3 4" xfId="135" xr:uid="{00000000-0005-0000-0000-000083000000}"/>
    <cellStyle name="一般 2 2 4" xfId="136" xr:uid="{00000000-0005-0000-0000-000084000000}"/>
    <cellStyle name="一般 2 2 4 2" xfId="137" xr:uid="{00000000-0005-0000-0000-000085000000}"/>
    <cellStyle name="一般 2 2 4 2 2" xfId="138" xr:uid="{00000000-0005-0000-0000-000086000000}"/>
    <cellStyle name="一般 2 2 4 2 3" xfId="139" xr:uid="{00000000-0005-0000-0000-000087000000}"/>
    <cellStyle name="一般 2 2 4 3" xfId="140" xr:uid="{00000000-0005-0000-0000-000088000000}"/>
    <cellStyle name="一般 2 2 4 3 2" xfId="141" xr:uid="{00000000-0005-0000-0000-000089000000}"/>
    <cellStyle name="一般 2 2 4 4" xfId="142" xr:uid="{00000000-0005-0000-0000-00008A000000}"/>
    <cellStyle name="一般 2 2 4 5" xfId="143" xr:uid="{00000000-0005-0000-0000-00008B000000}"/>
    <cellStyle name="一般 2 2 5" xfId="144" xr:uid="{00000000-0005-0000-0000-00008C000000}"/>
    <cellStyle name="一般 2 2 5 2" xfId="145" xr:uid="{00000000-0005-0000-0000-00008D000000}"/>
    <cellStyle name="一般 2 2 5 3" xfId="146" xr:uid="{00000000-0005-0000-0000-00008E000000}"/>
    <cellStyle name="一般 2 2 6" xfId="147" xr:uid="{00000000-0005-0000-0000-00008F000000}"/>
    <cellStyle name="一般 2 2 6 2" xfId="148" xr:uid="{00000000-0005-0000-0000-000090000000}"/>
    <cellStyle name="一般 2 2 6 3" xfId="149" xr:uid="{00000000-0005-0000-0000-000091000000}"/>
    <cellStyle name="一般 2 2 6 4" xfId="150" xr:uid="{00000000-0005-0000-0000-000092000000}"/>
    <cellStyle name="一般 2 2 7" xfId="151" xr:uid="{00000000-0005-0000-0000-000093000000}"/>
    <cellStyle name="一般 2 2 7 2" xfId="152" xr:uid="{00000000-0005-0000-0000-000094000000}"/>
    <cellStyle name="一般 2 2 8" xfId="153" xr:uid="{00000000-0005-0000-0000-000095000000}"/>
    <cellStyle name="一般 2 2 8 2" xfId="154" xr:uid="{00000000-0005-0000-0000-000096000000}"/>
    <cellStyle name="一般 2 2 9" xfId="155" xr:uid="{00000000-0005-0000-0000-000097000000}"/>
    <cellStyle name="一般 2 2 9 2" xfId="156" xr:uid="{00000000-0005-0000-0000-000098000000}"/>
    <cellStyle name="一般 2 2 9 3" xfId="157" xr:uid="{00000000-0005-0000-0000-000099000000}"/>
    <cellStyle name="一般 2 3" xfId="158" xr:uid="{00000000-0005-0000-0000-00009A000000}"/>
    <cellStyle name="一般 2 4" xfId="159" xr:uid="{00000000-0005-0000-0000-00009B000000}"/>
    <cellStyle name="一般 2 4 2" xfId="160" xr:uid="{00000000-0005-0000-0000-00009C000000}"/>
    <cellStyle name="一般 2 5" xfId="161" xr:uid="{00000000-0005-0000-0000-00009D000000}"/>
    <cellStyle name="一般 2 6" xfId="162" xr:uid="{00000000-0005-0000-0000-00009E000000}"/>
    <cellStyle name="一般 2 7" xfId="163" xr:uid="{00000000-0005-0000-0000-00009F000000}"/>
    <cellStyle name="一般 2 8" xfId="4" xr:uid="{00000000-0005-0000-0000-0000A0000000}"/>
    <cellStyle name="一般 2 8 10" xfId="164" xr:uid="{00000000-0005-0000-0000-0000A1000000}"/>
    <cellStyle name="一般 2 8 11" xfId="165" xr:uid="{00000000-0005-0000-0000-0000A2000000}"/>
    <cellStyle name="一般 2 8 11 2" xfId="166" xr:uid="{00000000-0005-0000-0000-0000A3000000}"/>
    <cellStyle name="一般 2 8 12" xfId="167" xr:uid="{00000000-0005-0000-0000-0000A4000000}"/>
    <cellStyle name="一般 2 8 12 2" xfId="168" xr:uid="{00000000-0005-0000-0000-0000A5000000}"/>
    <cellStyle name="一般 2 8 13" xfId="169" xr:uid="{00000000-0005-0000-0000-0000A6000000}"/>
    <cellStyle name="一般 2 8 13 2" xfId="170" xr:uid="{00000000-0005-0000-0000-0000A7000000}"/>
    <cellStyle name="一般 2 8 13 3" xfId="171" xr:uid="{00000000-0005-0000-0000-0000A8000000}"/>
    <cellStyle name="一般 2 8 14" xfId="172" xr:uid="{00000000-0005-0000-0000-0000A9000000}"/>
    <cellStyle name="一般 2 8 14 10" xfId="173" xr:uid="{00000000-0005-0000-0000-0000AA000000}"/>
    <cellStyle name="一般 2 8 14 11" xfId="174" xr:uid="{00000000-0005-0000-0000-0000AB000000}"/>
    <cellStyle name="一般 2 8 14 2" xfId="175" xr:uid="{00000000-0005-0000-0000-0000AC000000}"/>
    <cellStyle name="一般 2 8 14 2 2" xfId="176" xr:uid="{00000000-0005-0000-0000-0000AD000000}"/>
    <cellStyle name="一般 2 8 14 3" xfId="177" xr:uid="{00000000-0005-0000-0000-0000AE000000}"/>
    <cellStyle name="一般 2 8 14 3 2" xfId="178" xr:uid="{00000000-0005-0000-0000-0000AF000000}"/>
    <cellStyle name="一般 2 8 14 4" xfId="179" xr:uid="{00000000-0005-0000-0000-0000B0000000}"/>
    <cellStyle name="一般 2 8 14 5" xfId="180" xr:uid="{00000000-0005-0000-0000-0000B1000000}"/>
    <cellStyle name="一般 2 8 14 6" xfId="181" xr:uid="{00000000-0005-0000-0000-0000B2000000}"/>
    <cellStyle name="一般 2 8 14 7" xfId="182" xr:uid="{00000000-0005-0000-0000-0000B3000000}"/>
    <cellStyle name="一般 2 8 14 7 2" xfId="183" xr:uid="{00000000-0005-0000-0000-0000B4000000}"/>
    <cellStyle name="一般 2 8 14 8" xfId="184" xr:uid="{00000000-0005-0000-0000-0000B5000000}"/>
    <cellStyle name="一般 2 8 14 9" xfId="185" xr:uid="{00000000-0005-0000-0000-0000B6000000}"/>
    <cellStyle name="一般 2 8 15" xfId="186" xr:uid="{00000000-0005-0000-0000-0000B7000000}"/>
    <cellStyle name="一般 2 8 16" xfId="187" xr:uid="{00000000-0005-0000-0000-0000B8000000}"/>
    <cellStyle name="一般 2 8 17" xfId="188" xr:uid="{00000000-0005-0000-0000-0000B9000000}"/>
    <cellStyle name="一般 2 8 18" xfId="189" xr:uid="{00000000-0005-0000-0000-0000BA000000}"/>
    <cellStyle name="一般 2 8 19" xfId="190" xr:uid="{00000000-0005-0000-0000-0000BB000000}"/>
    <cellStyle name="一般 2 8 2" xfId="191" xr:uid="{00000000-0005-0000-0000-0000BC000000}"/>
    <cellStyle name="一般 2 8 2 2" xfId="192" xr:uid="{00000000-0005-0000-0000-0000BD000000}"/>
    <cellStyle name="一般 2 8 2 3" xfId="193" xr:uid="{00000000-0005-0000-0000-0000BE000000}"/>
    <cellStyle name="一般 2 8 20" xfId="194" xr:uid="{00000000-0005-0000-0000-0000BF000000}"/>
    <cellStyle name="一般 2 8 21" xfId="195" xr:uid="{00000000-0005-0000-0000-0000C0000000}"/>
    <cellStyle name="一般 2 8 22" xfId="196" xr:uid="{00000000-0005-0000-0000-0000C1000000}"/>
    <cellStyle name="一般 2 8 23" xfId="197" xr:uid="{00000000-0005-0000-0000-0000C2000000}"/>
    <cellStyle name="一般 2 8 23 2" xfId="198" xr:uid="{00000000-0005-0000-0000-0000C3000000}"/>
    <cellStyle name="一般 2 8 23 3" xfId="199" xr:uid="{00000000-0005-0000-0000-0000C4000000}"/>
    <cellStyle name="一般 2 8 24" xfId="200" xr:uid="{00000000-0005-0000-0000-0000C5000000}"/>
    <cellStyle name="一般 2 8 3" xfId="201" xr:uid="{00000000-0005-0000-0000-0000C6000000}"/>
    <cellStyle name="一般 2 8 3 2" xfId="202" xr:uid="{00000000-0005-0000-0000-0000C7000000}"/>
    <cellStyle name="一般 2 8 4" xfId="203" xr:uid="{00000000-0005-0000-0000-0000C8000000}"/>
    <cellStyle name="一般 2 8 5" xfId="204" xr:uid="{00000000-0005-0000-0000-0000C9000000}"/>
    <cellStyle name="一般 2 8 6" xfId="205" xr:uid="{00000000-0005-0000-0000-0000CA000000}"/>
    <cellStyle name="一般 2 8 7" xfId="206" xr:uid="{00000000-0005-0000-0000-0000CB000000}"/>
    <cellStyle name="一般 2 8 8" xfId="207" xr:uid="{00000000-0005-0000-0000-0000CC000000}"/>
    <cellStyle name="一般 2 8 9" xfId="208" xr:uid="{00000000-0005-0000-0000-0000CD000000}"/>
    <cellStyle name="一般 2 8 9 2" xfId="209" xr:uid="{00000000-0005-0000-0000-0000CE000000}"/>
    <cellStyle name="一般 20" xfId="210" xr:uid="{00000000-0005-0000-0000-0000CF000000}"/>
    <cellStyle name="一般 21" xfId="211" xr:uid="{00000000-0005-0000-0000-0000D0000000}"/>
    <cellStyle name="一般 22" xfId="212" xr:uid="{00000000-0005-0000-0000-0000D1000000}"/>
    <cellStyle name="一般 23" xfId="213" xr:uid="{00000000-0005-0000-0000-0000D2000000}"/>
    <cellStyle name="一般 24" xfId="214" xr:uid="{00000000-0005-0000-0000-0000D3000000}"/>
    <cellStyle name="一般 3" xfId="215" xr:uid="{00000000-0005-0000-0000-0000D4000000}"/>
    <cellStyle name="一般 3 2" xfId="216" xr:uid="{00000000-0005-0000-0000-0000D5000000}"/>
    <cellStyle name="一般 3 2 2" xfId="217" xr:uid="{00000000-0005-0000-0000-0000D6000000}"/>
    <cellStyle name="一般 3 3" xfId="218" xr:uid="{00000000-0005-0000-0000-0000D7000000}"/>
    <cellStyle name="一般 3 4" xfId="219" xr:uid="{00000000-0005-0000-0000-0000D8000000}"/>
    <cellStyle name="一般 3 5" xfId="220" xr:uid="{00000000-0005-0000-0000-0000D9000000}"/>
    <cellStyle name="一般 3 5 2" xfId="221" xr:uid="{00000000-0005-0000-0000-0000DA000000}"/>
    <cellStyle name="一般 3 6" xfId="222" xr:uid="{00000000-0005-0000-0000-0000DB000000}"/>
    <cellStyle name="一般 3 7" xfId="223" xr:uid="{00000000-0005-0000-0000-0000DC000000}"/>
    <cellStyle name="一般 4" xfId="224" xr:uid="{00000000-0005-0000-0000-0000DD000000}"/>
    <cellStyle name="一般 4 2" xfId="225" xr:uid="{00000000-0005-0000-0000-0000DE000000}"/>
    <cellStyle name="一般 4 3" xfId="226" xr:uid="{00000000-0005-0000-0000-0000DF000000}"/>
    <cellStyle name="一般 5" xfId="227" xr:uid="{00000000-0005-0000-0000-0000E0000000}"/>
    <cellStyle name="一般 5 2" xfId="228" xr:uid="{00000000-0005-0000-0000-0000E1000000}"/>
    <cellStyle name="一般 6" xfId="229" xr:uid="{00000000-0005-0000-0000-0000E2000000}"/>
    <cellStyle name="一般 6 2" xfId="230" xr:uid="{00000000-0005-0000-0000-0000E3000000}"/>
    <cellStyle name="一般 7" xfId="231" xr:uid="{00000000-0005-0000-0000-0000E4000000}"/>
    <cellStyle name="一般 8" xfId="232" xr:uid="{00000000-0005-0000-0000-0000E5000000}"/>
    <cellStyle name="一般 8 2" xfId="233" xr:uid="{00000000-0005-0000-0000-0000E6000000}"/>
    <cellStyle name="一般 9" xfId="234" xr:uid="{00000000-0005-0000-0000-0000E7000000}"/>
    <cellStyle name="一般 9 2" xfId="235" xr:uid="{00000000-0005-0000-0000-0000E8000000}"/>
    <cellStyle name="千分位 10" xfId="236" xr:uid="{00000000-0005-0000-0000-0000E9000000}"/>
    <cellStyle name="千分位 2" xfId="237" xr:uid="{00000000-0005-0000-0000-0000EA000000}"/>
    <cellStyle name="千分位 2 10" xfId="238" xr:uid="{00000000-0005-0000-0000-0000EB000000}"/>
    <cellStyle name="千分位 2 10 2" xfId="239" xr:uid="{00000000-0005-0000-0000-0000EC000000}"/>
    <cellStyle name="千分位 2 11" xfId="240" xr:uid="{00000000-0005-0000-0000-0000ED000000}"/>
    <cellStyle name="千分位 2 11 2" xfId="241" xr:uid="{00000000-0005-0000-0000-0000EE000000}"/>
    <cellStyle name="千分位 2 11 3" xfId="242" xr:uid="{00000000-0005-0000-0000-0000EF000000}"/>
    <cellStyle name="千分位 2 11 4" xfId="243" xr:uid="{00000000-0005-0000-0000-0000F0000000}"/>
    <cellStyle name="千分位 2 12" xfId="244" xr:uid="{00000000-0005-0000-0000-0000F1000000}"/>
    <cellStyle name="千分位 2 12 2" xfId="245" xr:uid="{00000000-0005-0000-0000-0000F2000000}"/>
    <cellStyle name="千分位 2 12 3" xfId="246" xr:uid="{00000000-0005-0000-0000-0000F3000000}"/>
    <cellStyle name="千分位 2 12 4" xfId="247" xr:uid="{00000000-0005-0000-0000-0000F4000000}"/>
    <cellStyle name="千分位 2 13" xfId="248" xr:uid="{00000000-0005-0000-0000-0000F5000000}"/>
    <cellStyle name="千分位 2 13 2" xfId="249" xr:uid="{00000000-0005-0000-0000-0000F6000000}"/>
    <cellStyle name="千分位 2 13 3" xfId="250" xr:uid="{00000000-0005-0000-0000-0000F7000000}"/>
    <cellStyle name="千分位 2 13 4" xfId="251" xr:uid="{00000000-0005-0000-0000-0000F8000000}"/>
    <cellStyle name="千分位 2 13 5" xfId="252" xr:uid="{00000000-0005-0000-0000-0000F9000000}"/>
    <cellStyle name="千分位 2 14" xfId="253" xr:uid="{00000000-0005-0000-0000-0000FA000000}"/>
    <cellStyle name="千分位 2 14 2" xfId="254" xr:uid="{00000000-0005-0000-0000-0000FB000000}"/>
    <cellStyle name="千分位 2 14 3" xfId="255" xr:uid="{00000000-0005-0000-0000-0000FC000000}"/>
    <cellStyle name="千分位 2 15" xfId="256" xr:uid="{00000000-0005-0000-0000-0000FD000000}"/>
    <cellStyle name="千分位 2 15 2" xfId="257" xr:uid="{00000000-0005-0000-0000-0000FE000000}"/>
    <cellStyle name="千分位 2 16" xfId="258" xr:uid="{00000000-0005-0000-0000-0000FF000000}"/>
    <cellStyle name="千分位 2 17" xfId="259" xr:uid="{00000000-0005-0000-0000-000000010000}"/>
    <cellStyle name="千分位 2 17 2" xfId="260" xr:uid="{00000000-0005-0000-0000-000001010000}"/>
    <cellStyle name="千分位 2 18" xfId="261" xr:uid="{00000000-0005-0000-0000-000002010000}"/>
    <cellStyle name="千分位 2 19" xfId="262" xr:uid="{00000000-0005-0000-0000-000003010000}"/>
    <cellStyle name="千分位 2 2" xfId="263" xr:uid="{00000000-0005-0000-0000-000004010000}"/>
    <cellStyle name="千分位 2 2 2" xfId="264" xr:uid="{00000000-0005-0000-0000-000005010000}"/>
    <cellStyle name="千分位 2 2 3" xfId="265" xr:uid="{00000000-0005-0000-0000-000006010000}"/>
    <cellStyle name="千分位 2 20" xfId="266" xr:uid="{00000000-0005-0000-0000-000007010000}"/>
    <cellStyle name="千分位 2 21" xfId="267" xr:uid="{00000000-0005-0000-0000-000008010000}"/>
    <cellStyle name="千分位 2 21 2" xfId="268" xr:uid="{00000000-0005-0000-0000-000009010000}"/>
    <cellStyle name="千分位 2 22" xfId="269" xr:uid="{00000000-0005-0000-0000-00000A010000}"/>
    <cellStyle name="千分位 2 23" xfId="270" xr:uid="{00000000-0005-0000-0000-00000B010000}"/>
    <cellStyle name="千分位 2 24" xfId="271" xr:uid="{00000000-0005-0000-0000-00000C010000}"/>
    <cellStyle name="千分位 2 3" xfId="272" xr:uid="{00000000-0005-0000-0000-00000D010000}"/>
    <cellStyle name="千分位 2 3 2" xfId="273" xr:uid="{00000000-0005-0000-0000-00000E010000}"/>
    <cellStyle name="千分位 2 3 3" xfId="274" xr:uid="{00000000-0005-0000-0000-00000F010000}"/>
    <cellStyle name="千分位 2 4" xfId="275" xr:uid="{00000000-0005-0000-0000-000010010000}"/>
    <cellStyle name="千分位 2 4 2" xfId="276" xr:uid="{00000000-0005-0000-0000-000011010000}"/>
    <cellStyle name="千分位 2 5" xfId="277" xr:uid="{00000000-0005-0000-0000-000012010000}"/>
    <cellStyle name="千分位 2 5 2" xfId="278" xr:uid="{00000000-0005-0000-0000-000013010000}"/>
    <cellStyle name="千分位 2 5 3" xfId="279" xr:uid="{00000000-0005-0000-0000-000014010000}"/>
    <cellStyle name="千分位 2 6" xfId="280" xr:uid="{00000000-0005-0000-0000-000015010000}"/>
    <cellStyle name="千分位 2 6 2" xfId="281" xr:uid="{00000000-0005-0000-0000-000016010000}"/>
    <cellStyle name="千分位 2 6 3" xfId="282" xr:uid="{00000000-0005-0000-0000-000017010000}"/>
    <cellStyle name="千分位 2 6 4" xfId="283" xr:uid="{00000000-0005-0000-0000-000018010000}"/>
    <cellStyle name="千分位 2 7" xfId="284" xr:uid="{00000000-0005-0000-0000-000019010000}"/>
    <cellStyle name="千分位 2 7 2" xfId="285" xr:uid="{00000000-0005-0000-0000-00001A010000}"/>
    <cellStyle name="千分位 2 8" xfId="286" xr:uid="{00000000-0005-0000-0000-00001B010000}"/>
    <cellStyle name="千分位 2 8 2" xfId="287" xr:uid="{00000000-0005-0000-0000-00001C010000}"/>
    <cellStyle name="千分位 2 8 2 2" xfId="288" xr:uid="{00000000-0005-0000-0000-00001D010000}"/>
    <cellStyle name="千分位 2 8 3" xfId="289" xr:uid="{00000000-0005-0000-0000-00001E010000}"/>
    <cellStyle name="千分位 2 8 3 2" xfId="290" xr:uid="{00000000-0005-0000-0000-00001F010000}"/>
    <cellStyle name="千分位 2 8 3 3" xfId="291" xr:uid="{00000000-0005-0000-0000-000020010000}"/>
    <cellStyle name="千分位 2 8 4" xfId="292" xr:uid="{00000000-0005-0000-0000-000021010000}"/>
    <cellStyle name="千分位 2 8 5" xfId="293" xr:uid="{00000000-0005-0000-0000-000022010000}"/>
    <cellStyle name="千分位 2 8 6" xfId="294" xr:uid="{00000000-0005-0000-0000-000023010000}"/>
    <cellStyle name="千分位 2 9" xfId="295" xr:uid="{00000000-0005-0000-0000-000024010000}"/>
    <cellStyle name="千分位 2 9 2" xfId="296" xr:uid="{00000000-0005-0000-0000-000025010000}"/>
    <cellStyle name="千分位 2 9 3" xfId="297" xr:uid="{00000000-0005-0000-0000-000026010000}"/>
    <cellStyle name="千分位 3" xfId="298" xr:uid="{00000000-0005-0000-0000-000027010000}"/>
    <cellStyle name="千分位 4" xfId="299" xr:uid="{00000000-0005-0000-0000-000028010000}"/>
    <cellStyle name="千分位 5" xfId="300" xr:uid="{00000000-0005-0000-0000-000029010000}"/>
    <cellStyle name="千分位 5 2" xfId="301" xr:uid="{00000000-0005-0000-0000-00002A010000}"/>
    <cellStyle name="千分位 6" xfId="302" xr:uid="{00000000-0005-0000-0000-00002B010000}"/>
    <cellStyle name="千分位 7" xfId="303" xr:uid="{00000000-0005-0000-0000-00002C010000}"/>
    <cellStyle name="千分位 8" xfId="304" xr:uid="{00000000-0005-0000-0000-00002D010000}"/>
    <cellStyle name="千分位 9" xfId="3" xr:uid="{00000000-0005-0000-0000-00002E010000}"/>
    <cellStyle name="好_1001024-晉欣重要管制流程 (3)" xfId="305" xr:uid="{00000000-0005-0000-0000-00002F010000}"/>
    <cellStyle name="好_Sheet1" xfId="306" xr:uid="{00000000-0005-0000-0000-000030010000}"/>
    <cellStyle name="好_工作日報表---" xfId="307" xr:uid="{00000000-0005-0000-0000-000031010000}"/>
    <cellStyle name="好_晉欣重要管制流程-油炸作業" xfId="308" xr:uid="{00000000-0005-0000-0000-000032010000}"/>
    <cellStyle name="好_晉欣重要管制流程-原物料驗收" xfId="309" xr:uid="{00000000-0005-0000-0000-000033010000}"/>
    <cellStyle name="好_晉欣重要管制流程-烤箱作業" xfId="310" xr:uid="{00000000-0005-0000-0000-000034010000}"/>
    <cellStyle name="好_晉欣重要管制流程-理貨作業" xfId="311" xr:uid="{00000000-0005-0000-0000-000035010000}"/>
    <cellStyle name="好_晉欣重要管制流程-煮麵作業" xfId="312" xr:uid="{00000000-0005-0000-0000-000036010000}"/>
    <cellStyle name="好_晉欣重要管制流程-飯糰機操作&amp;丼飯作業&amp;三明治&amp;標籤&amp;炊飯&amp;美生菜" xfId="313" xr:uid="{00000000-0005-0000-0000-000037010000}"/>
    <cellStyle name="好_晉欣重要管制流程-準備室作業" xfId="314" xr:uid="{00000000-0005-0000-0000-000038010000}"/>
    <cellStyle name="好_晉欣重要管制流程-補料作業" xfId="315" xr:uid="{00000000-0005-0000-0000-000039010000}"/>
    <cellStyle name="好_配料相關一、二--------" xfId="316" xr:uid="{00000000-0005-0000-0000-00003A010000}"/>
    <cellStyle name="百分比 2" xfId="317" xr:uid="{00000000-0005-0000-0000-00003B010000}"/>
    <cellStyle name="百分比 2 2" xfId="318" xr:uid="{00000000-0005-0000-0000-00003C010000}"/>
    <cellStyle name="百分比 2 2 2" xfId="319" xr:uid="{00000000-0005-0000-0000-00003D010000}"/>
    <cellStyle name="百分比 2 2 2 2" xfId="6" xr:uid="{00000000-0005-0000-0000-00003E010000}"/>
    <cellStyle name="百分比 2 3" xfId="320" xr:uid="{00000000-0005-0000-0000-00003F010000}"/>
    <cellStyle name="百分比 2 4" xfId="321" xr:uid="{00000000-0005-0000-0000-000040010000}"/>
    <cellStyle name="百分比 2 5" xfId="5" xr:uid="{00000000-0005-0000-0000-000041010000}"/>
    <cellStyle name="百分比 3" xfId="322" xr:uid="{00000000-0005-0000-0000-000042010000}"/>
    <cellStyle name="百分比 3 2" xfId="323" xr:uid="{00000000-0005-0000-0000-000043010000}"/>
    <cellStyle name="百分比 3 3" xfId="324" xr:uid="{00000000-0005-0000-0000-000044010000}"/>
    <cellStyle name="百分比 4" xfId="325" xr:uid="{00000000-0005-0000-0000-000045010000}"/>
    <cellStyle name="百分比 4 2" xfId="326" xr:uid="{00000000-0005-0000-0000-000046010000}"/>
    <cellStyle name="百分比 4 2 2" xfId="327" xr:uid="{00000000-0005-0000-0000-000047010000}"/>
    <cellStyle name="百分比 4 2 2 2" xfId="328" xr:uid="{00000000-0005-0000-0000-000048010000}"/>
    <cellStyle name="百分比 4 2 3" xfId="329" xr:uid="{00000000-0005-0000-0000-000049010000}"/>
    <cellStyle name="百分比 4 3" xfId="330" xr:uid="{00000000-0005-0000-0000-00004A010000}"/>
    <cellStyle name="百分比 4 3 2" xfId="331" xr:uid="{00000000-0005-0000-0000-00004B010000}"/>
    <cellStyle name="百分比 4 3 2 2" xfId="332" xr:uid="{00000000-0005-0000-0000-00004C010000}"/>
    <cellStyle name="百分比 4 3 2 2 2" xfId="333" xr:uid="{00000000-0005-0000-0000-00004D010000}"/>
    <cellStyle name="百分比 4 3 2 2 2 2" xfId="334" xr:uid="{00000000-0005-0000-0000-00004E010000}"/>
    <cellStyle name="百分比 4 3 2 2 2 2 2" xfId="335" xr:uid="{00000000-0005-0000-0000-00004F010000}"/>
    <cellStyle name="百分比 4 4" xfId="336" xr:uid="{00000000-0005-0000-0000-000050010000}"/>
    <cellStyle name="百分比 5" xfId="337" xr:uid="{00000000-0005-0000-0000-000051010000}"/>
    <cellStyle name="百分比 5 2" xfId="338" xr:uid="{00000000-0005-0000-0000-000052010000}"/>
    <cellStyle name="百分比 5 3" xfId="339" xr:uid="{00000000-0005-0000-0000-000053010000}"/>
    <cellStyle name="百分比 6" xfId="340" xr:uid="{00000000-0005-0000-0000-000054010000}"/>
    <cellStyle name="百分比 7" xfId="341" xr:uid="{00000000-0005-0000-0000-000055010000}"/>
    <cellStyle name="桁区切り 2" xfId="342" xr:uid="{00000000-0005-0000-0000-000056010000}"/>
    <cellStyle name="貨幣 2" xfId="343" xr:uid="{00000000-0005-0000-0000-000057010000}"/>
    <cellStyle name="通貨 2" xfId="344" xr:uid="{00000000-0005-0000-0000-000058010000}"/>
    <cellStyle name="超連結 2" xfId="345" xr:uid="{00000000-0005-0000-0000-000059010000}"/>
    <cellStyle name="標準 2" xfId="346" xr:uid="{00000000-0005-0000-0000-00005A010000}"/>
    <cellStyle name="標準 3" xfId="347" xr:uid="{00000000-0005-0000-0000-00005B010000}"/>
    <cellStyle name="標準 3 2" xfId="348" xr:uid="{00000000-0005-0000-0000-00005C010000}"/>
    <cellStyle name="標準 4" xfId="349" xr:uid="{00000000-0005-0000-0000-00005D010000}"/>
    <cellStyle name="標準 4 2" xfId="350" xr:uid="{00000000-0005-0000-0000-00005E010000}"/>
    <cellStyle name="標準 5" xfId="351" xr:uid="{00000000-0005-0000-0000-00005F010000}"/>
    <cellStyle name="標準 6" xfId="352" xr:uid="{00000000-0005-0000-0000-000060010000}"/>
    <cellStyle name="標準 7" xfId="353" xr:uid="{00000000-0005-0000-0000-000061010000}"/>
    <cellStyle name="壞_1001024-晉欣重要管制流程 (3)" xfId="354" xr:uid="{00000000-0005-0000-0000-000062010000}"/>
    <cellStyle name="壞_Sheet1" xfId="355" xr:uid="{00000000-0005-0000-0000-000063010000}"/>
    <cellStyle name="壞_工作日報表---" xfId="356" xr:uid="{00000000-0005-0000-0000-000064010000}"/>
    <cellStyle name="壞_晉欣重要管制流程-油炸作業" xfId="357" xr:uid="{00000000-0005-0000-0000-000065010000}"/>
    <cellStyle name="壞_晉欣重要管制流程-原物料驗收" xfId="358" xr:uid="{00000000-0005-0000-0000-000066010000}"/>
    <cellStyle name="壞_晉欣重要管制流程-烤箱作業" xfId="359" xr:uid="{00000000-0005-0000-0000-000067010000}"/>
    <cellStyle name="壞_晉欣重要管制流程-理貨作業" xfId="360" xr:uid="{00000000-0005-0000-0000-000068010000}"/>
    <cellStyle name="壞_晉欣重要管制流程-煮麵作業" xfId="361" xr:uid="{00000000-0005-0000-0000-000069010000}"/>
    <cellStyle name="壞_晉欣重要管制流程-飯糰機操作&amp;丼飯作業&amp;三明治&amp;標籤&amp;炊飯&amp;美生菜" xfId="362" xr:uid="{00000000-0005-0000-0000-00006A010000}"/>
    <cellStyle name="壞_晉欣重要管制流程-準備室作業" xfId="363" xr:uid="{00000000-0005-0000-0000-00006B010000}"/>
    <cellStyle name="壞_晉欣重要管制流程-補料作業" xfId="364" xr:uid="{00000000-0005-0000-0000-00006C010000}"/>
    <cellStyle name="壞_配料相關一、二--------" xfId="365" xr:uid="{00000000-0005-0000-0000-00006D010000}"/>
  </cellStyles>
  <dxfs count="6395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38"/>
  <sheetViews>
    <sheetView zoomScale="40" zoomScaleNormal="40" workbookViewId="0">
      <selection activeCell="P3" sqref="P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7" t="s">
        <v>0</v>
      </c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  <c r="N1" s="1"/>
      <c r="O1" s="1"/>
    </row>
    <row r="2" spans="2:17" ht="27.75" customHeight="1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9"/>
      <c r="N2" s="1"/>
      <c r="O2" s="1"/>
    </row>
    <row r="3" spans="2:17" ht="46.5" customHeight="1">
      <c r="B3" s="510" t="s">
        <v>1</v>
      </c>
      <c r="C3" s="511"/>
      <c r="D3" s="512" t="s">
        <v>212</v>
      </c>
      <c r="E3" s="513"/>
      <c r="F3" s="510" t="s">
        <v>2</v>
      </c>
      <c r="G3" s="511"/>
      <c r="H3" s="514">
        <v>295810.24000000005</v>
      </c>
      <c r="I3" s="515"/>
      <c r="J3" s="510" t="s">
        <v>3</v>
      </c>
      <c r="K3" s="511"/>
      <c r="L3" s="505">
        <v>9821885.7135011554</v>
      </c>
      <c r="M3" s="506"/>
      <c r="N3" s="372"/>
      <c r="O3" s="372"/>
      <c r="P3" s="372"/>
      <c r="Q3" s="372"/>
    </row>
    <row r="4" spans="2:17" ht="24" customHeight="1">
      <c r="B4" s="510" t="s">
        <v>135</v>
      </c>
      <c r="C4" s="511"/>
      <c r="D4" s="527" t="s">
        <v>135</v>
      </c>
      <c r="E4" s="528"/>
      <c r="F4" s="503" t="s">
        <v>136</v>
      </c>
      <c r="G4" s="504"/>
      <c r="H4" s="503" t="s">
        <v>137</v>
      </c>
      <c r="I4" s="504"/>
      <c r="J4" s="503" t="s">
        <v>138</v>
      </c>
      <c r="K4" s="504"/>
      <c r="L4" s="505" t="s">
        <v>139</v>
      </c>
      <c r="M4" s="506"/>
      <c r="N4" s="519" t="s">
        <v>4</v>
      </c>
      <c r="O4" s="520"/>
      <c r="P4" s="520" t="s">
        <v>5</v>
      </c>
      <c r="Q4" s="520"/>
    </row>
    <row r="5" spans="2:17" ht="24" customHeight="1">
      <c r="B5" s="521" t="s">
        <v>35</v>
      </c>
      <c r="C5" s="522"/>
      <c r="D5" s="527" t="s">
        <v>140</v>
      </c>
      <c r="E5" s="528"/>
      <c r="F5" s="527" t="s">
        <v>6</v>
      </c>
      <c r="G5" s="528"/>
      <c r="H5" s="529" t="s">
        <v>7</v>
      </c>
      <c r="I5" s="530"/>
      <c r="J5" s="531" t="s">
        <v>8</v>
      </c>
      <c r="K5" s="532"/>
      <c r="L5" s="533" t="s">
        <v>9</v>
      </c>
      <c r="M5" s="534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3"/>
      <c r="C6" s="524"/>
      <c r="D6" s="510" t="s">
        <v>10</v>
      </c>
      <c r="E6" s="511"/>
      <c r="F6" s="535">
        <f>AVERAGE(D13:O13,P13:Q13,D30:E30,G30:H30,J30:M30)</f>
        <v>382.16106773564439</v>
      </c>
      <c r="G6" s="536"/>
      <c r="H6" s="548">
        <f>AVERAGE(D13:P13,Q13)</f>
        <v>138.39596358458408</v>
      </c>
      <c r="I6" s="549"/>
      <c r="J6" s="548">
        <f>AVERAGE(D30:E30,G30:H30)</f>
        <v>736.25</v>
      </c>
      <c r="K6" s="549"/>
      <c r="L6" s="550">
        <f>AVERAGE(J30:M30)</f>
        <v>881.25</v>
      </c>
      <c r="M6" s="551"/>
      <c r="N6" s="552">
        <v>0</v>
      </c>
      <c r="O6" s="539">
        <v>0</v>
      </c>
      <c r="P6" s="516">
        <v>15</v>
      </c>
      <c r="Q6" s="539">
        <v>7</v>
      </c>
    </row>
    <row r="7" spans="2:17" s="5" customFormat="1" ht="39.6" customHeight="1">
      <c r="B7" s="523"/>
      <c r="C7" s="524"/>
      <c r="D7" s="540" t="s">
        <v>11</v>
      </c>
      <c r="E7" s="541"/>
      <c r="F7" s="542">
        <f>AVERAGE(D14:O14,P14:Q14,D31:E31,J31:M31,G31:H31)</f>
        <v>371.66632220384838</v>
      </c>
      <c r="G7" s="543"/>
      <c r="H7" s="544">
        <f>AVERAGE(D14:P14,Q14)</f>
        <v>125.78235821657992</v>
      </c>
      <c r="I7" s="545"/>
      <c r="J7" s="544">
        <f>AVERAGE(D31:E31,G31:H31)</f>
        <v>708.7243344576317</v>
      </c>
      <c r="K7" s="545"/>
      <c r="L7" s="546">
        <f>AVERAGE(J31:M31)</f>
        <v>895.20218390550508</v>
      </c>
      <c r="M7" s="547"/>
      <c r="N7" s="552"/>
      <c r="O7" s="539"/>
      <c r="P7" s="516"/>
      <c r="Q7" s="539"/>
    </row>
    <row r="8" spans="2:17" s="5" customFormat="1" ht="39.6" customHeight="1">
      <c r="B8" s="525"/>
      <c r="C8" s="526"/>
      <c r="D8" s="540" t="s">
        <v>12</v>
      </c>
      <c r="E8" s="541"/>
      <c r="F8" s="517">
        <f>AVERAGE(D15:O15,P15:Q15,D32:E32,G32:H32,J32:M32)</f>
        <v>0.92140775089656934</v>
      </c>
      <c r="G8" s="518"/>
      <c r="H8" s="517">
        <f>AVERAGE(D15:O15,P15:Q15)</f>
        <v>0.90199970847028166</v>
      </c>
      <c r="I8" s="518"/>
      <c r="J8" s="517">
        <f>AVERAGE(D32:E32,G32:H32)</f>
        <v>0.88703415301640287</v>
      </c>
      <c r="K8" s="518"/>
      <c r="L8" s="517">
        <f>AVERAGE(J32:M32)</f>
        <v>1.0237094972687428</v>
      </c>
      <c r="M8" s="518"/>
      <c r="N8" s="552"/>
      <c r="O8" s="539"/>
      <c r="P8" s="516"/>
      <c r="Q8" s="539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53" t="s">
        <v>145</v>
      </c>
      <c r="C10" s="554"/>
      <c r="D10" s="555" t="s">
        <v>146</v>
      </c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7"/>
    </row>
    <row r="11" spans="2:17" ht="17.25" customHeight="1">
      <c r="B11" s="558" t="s">
        <v>147</v>
      </c>
      <c r="C11" s="522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559"/>
      <c r="C12" s="526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560" t="s">
        <v>35</v>
      </c>
      <c r="C13" s="14" t="s">
        <v>161</v>
      </c>
      <c r="D13" s="19">
        <v>142.73864809081527</v>
      </c>
      <c r="E13" s="19">
        <v>112.72091994692614</v>
      </c>
      <c r="F13" s="19">
        <v>131.15441176470588</v>
      </c>
      <c r="G13" s="19">
        <v>304.42176870748295</v>
      </c>
      <c r="H13" s="19">
        <v>228.57142857142858</v>
      </c>
      <c r="I13" s="19">
        <v>85.571281144036561</v>
      </c>
      <c r="J13" s="19">
        <v>94.548474945533769</v>
      </c>
      <c r="K13" s="19">
        <v>82.601122905302461</v>
      </c>
      <c r="L13" s="19">
        <v>95.630847953216374</v>
      </c>
      <c r="M13" s="19">
        <v>83.609716693695034</v>
      </c>
      <c r="N13" s="19">
        <v>84.562648348813212</v>
      </c>
      <c r="O13" s="19">
        <v>123.23809523809523</v>
      </c>
      <c r="P13" s="19">
        <v>218.17412587412591</v>
      </c>
      <c r="Q13" s="21">
        <v>150</v>
      </c>
    </row>
    <row r="14" spans="2:17" ht="39.9" customHeight="1">
      <c r="B14" s="561"/>
      <c r="C14" s="14" t="s">
        <v>162</v>
      </c>
      <c r="D14" s="19">
        <v>131.23138621393838</v>
      </c>
      <c r="E14" s="19">
        <v>100.7538886762422</v>
      </c>
      <c r="F14" s="19">
        <v>110.02422496015714</v>
      </c>
      <c r="G14" s="19">
        <v>277.51100148995477</v>
      </c>
      <c r="H14" s="19">
        <v>220.79669583557325</v>
      </c>
      <c r="I14" s="19">
        <v>81.567534872140641</v>
      </c>
      <c r="J14" s="19">
        <v>81.914745033453414</v>
      </c>
      <c r="K14" s="19">
        <v>71.586575835078264</v>
      </c>
      <c r="L14" s="19">
        <v>84.979289705871949</v>
      </c>
      <c r="M14" s="19">
        <v>78.005017950562447</v>
      </c>
      <c r="N14" s="19">
        <v>74.635086336971185</v>
      </c>
      <c r="O14" s="19">
        <v>99.565401195874273</v>
      </c>
      <c r="P14" s="19">
        <v>202.85666195598188</v>
      </c>
      <c r="Q14" s="9">
        <v>145.52550497031925</v>
      </c>
    </row>
    <row r="15" spans="2:17" ht="39.9" customHeight="1">
      <c r="B15" s="562"/>
      <c r="C15" s="373" t="s">
        <v>163</v>
      </c>
      <c r="D15" s="10">
        <f t="shared" ref="D15:Q15" si="0">D14/D13</f>
        <v>0.91938229743106736</v>
      </c>
      <c r="E15" s="10">
        <f t="shared" si="0"/>
        <v>0.89383486866219208</v>
      </c>
      <c r="F15" s="10">
        <f t="shared" si="0"/>
        <v>0.83889076608069579</v>
      </c>
      <c r="G15" s="10">
        <f t="shared" si="0"/>
        <v>0.91160038478264482</v>
      </c>
      <c r="H15" s="10">
        <f t="shared" si="0"/>
        <v>0.96598554428063288</v>
      </c>
      <c r="I15" s="10">
        <f t="shared" si="0"/>
        <v>0.9532115656284651</v>
      </c>
      <c r="J15" s="10">
        <f t="shared" si="0"/>
        <v>0.86637827929685562</v>
      </c>
      <c r="K15" s="10">
        <f t="shared" si="0"/>
        <v>0.86665378528991965</v>
      </c>
      <c r="L15" s="10">
        <f t="shared" si="0"/>
        <v>0.88861796715893093</v>
      </c>
      <c r="M15" s="10">
        <f t="shared" si="0"/>
        <v>0.93296594026666235</v>
      </c>
      <c r="N15" s="10">
        <f t="shared" si="0"/>
        <v>0.88260109864473801</v>
      </c>
      <c r="O15" s="10">
        <f t="shared" si="0"/>
        <v>0.8079109061489026</v>
      </c>
      <c r="P15" s="375">
        <f t="shared" si="0"/>
        <v>0.92979248177677432</v>
      </c>
      <c r="Q15" s="11">
        <f t="shared" si="0"/>
        <v>0.97017003313546168</v>
      </c>
    </row>
    <row r="16" spans="2:17" ht="22.8" customHeight="1">
      <c r="B16" s="563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</v>
      </c>
      <c r="P16" s="12">
        <v>0.16666666666666666</v>
      </c>
      <c r="Q16" s="376">
        <v>0.17361111111111113</v>
      </c>
    </row>
    <row r="17" spans="2:23" ht="22.8" customHeight="1">
      <c r="B17" s="564"/>
      <c r="C17" s="373" t="s">
        <v>36</v>
      </c>
      <c r="D17" s="12">
        <v>0.75624999999999987</v>
      </c>
      <c r="E17" s="12">
        <v>0.67013888888888884</v>
      </c>
      <c r="F17" s="12">
        <v>0.67361111111111105</v>
      </c>
      <c r="G17" s="12">
        <v>0.68055555555555536</v>
      </c>
      <c r="H17" s="12">
        <v>0.67361111111111094</v>
      </c>
      <c r="I17" s="12">
        <v>0.78194444444444433</v>
      </c>
      <c r="J17" s="12">
        <v>0.81458333333333333</v>
      </c>
      <c r="K17" s="12">
        <v>0.80416666666666659</v>
      </c>
      <c r="L17" s="12">
        <v>0.97569444444444431</v>
      </c>
      <c r="M17" s="12">
        <v>0.98958333333333337</v>
      </c>
      <c r="N17" s="12">
        <v>0.97708333333333319</v>
      </c>
      <c r="O17" s="22">
        <v>0.84652777777777766</v>
      </c>
      <c r="P17" s="12">
        <v>0.64374999999999982</v>
      </c>
      <c r="Q17" s="376">
        <v>0.61111111111111105</v>
      </c>
    </row>
    <row r="18" spans="2:23" ht="22.8" customHeight="1">
      <c r="B18" s="537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538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537" t="s">
        <v>16</v>
      </c>
      <c r="C20" s="377" t="s">
        <v>166</v>
      </c>
      <c r="D20" s="378">
        <v>2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2</v>
      </c>
      <c r="K20" s="378">
        <v>1</v>
      </c>
      <c r="L20" s="378">
        <v>2</v>
      </c>
      <c r="M20" s="378" t="s">
        <v>15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538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 t="s">
        <v>15</v>
      </c>
      <c r="I21" s="378">
        <v>1</v>
      </c>
      <c r="J21" s="378">
        <v>1</v>
      </c>
      <c r="K21" s="378">
        <v>1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565" t="s">
        <v>169</v>
      </c>
      <c r="C22" s="511"/>
      <c r="D22" s="380">
        <v>18.375</v>
      </c>
      <c r="E22" s="380">
        <v>17.428571428571427</v>
      </c>
      <c r="F22" s="380">
        <v>15</v>
      </c>
      <c r="G22" s="380">
        <v>6.7142857142857144</v>
      </c>
      <c r="H22" s="380">
        <v>6.6</v>
      </c>
      <c r="I22" s="380">
        <v>17.166666666666668</v>
      </c>
      <c r="J22" s="380">
        <v>16.666666666666668</v>
      </c>
      <c r="K22" s="380">
        <v>17.399999999999999</v>
      </c>
      <c r="L22" s="380">
        <v>16.100000000000001</v>
      </c>
      <c r="M22" s="380">
        <v>18</v>
      </c>
      <c r="N22" s="380">
        <v>17.600000000000001</v>
      </c>
      <c r="O22" s="380">
        <v>14</v>
      </c>
      <c r="P22" s="380">
        <v>11.333333333333334</v>
      </c>
      <c r="Q22" s="381">
        <v>11.333333333333334</v>
      </c>
    </row>
    <row r="23" spans="2:23" ht="22.8" customHeight="1">
      <c r="B23" s="565" t="s">
        <v>170</v>
      </c>
      <c r="C23" s="511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5" t="s">
        <v>171</v>
      </c>
      <c r="C24" s="51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6" t="s">
        <v>172</v>
      </c>
      <c r="C25" s="56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53"/>
      <c r="C27" s="578"/>
      <c r="D27" s="570" t="s">
        <v>173</v>
      </c>
      <c r="E27" s="571"/>
      <c r="F27" s="571"/>
      <c r="G27" s="571"/>
      <c r="H27" s="572"/>
      <c r="I27" s="573" t="s">
        <v>174</v>
      </c>
      <c r="J27" s="574"/>
      <c r="K27" s="574"/>
      <c r="L27" s="574"/>
      <c r="M27" s="575"/>
      <c r="N27" s="372"/>
      <c r="O27" s="372"/>
      <c r="P27" s="372"/>
      <c r="Q27" s="372"/>
    </row>
    <row r="28" spans="2:23" ht="17.25" customHeight="1">
      <c r="B28" s="558" t="s">
        <v>147</v>
      </c>
      <c r="C28" s="57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9"/>
      <c r="C29" s="577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560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561"/>
      <c r="C31" s="386" t="s">
        <v>162</v>
      </c>
      <c r="D31" s="388">
        <v>156.39999999999972</v>
      </c>
      <c r="E31" s="8">
        <v>824.45674331376472</v>
      </c>
      <c r="F31" s="8">
        <v>0</v>
      </c>
      <c r="G31" s="8">
        <v>865.2465738284701</v>
      </c>
      <c r="H31" s="389">
        <v>988.79402068829211</v>
      </c>
      <c r="I31" s="388">
        <v>0</v>
      </c>
      <c r="J31" s="8">
        <v>1149.9999999999948</v>
      </c>
      <c r="K31" s="8">
        <v>652.39682539682644</v>
      </c>
      <c r="L31" s="8">
        <v>905.90238641352732</v>
      </c>
      <c r="M31" s="389">
        <v>872.50952381167178</v>
      </c>
      <c r="N31" s="372"/>
      <c r="O31" s="372"/>
      <c r="P31" s="372"/>
      <c r="Q31" s="372"/>
    </row>
    <row r="32" spans="2:23" ht="39.9" customHeight="1">
      <c r="B32" s="562"/>
      <c r="C32" s="407" t="s">
        <v>163</v>
      </c>
      <c r="D32" s="390">
        <f t="shared" ref="D32:H32" si="1">D31/D30</f>
        <v>0.48874999999999913</v>
      </c>
      <c r="E32" s="10">
        <f t="shared" si="1"/>
        <v>0.99934150704698754</v>
      </c>
      <c r="F32" s="10">
        <f t="shared" si="1"/>
        <v>0</v>
      </c>
      <c r="G32" s="10">
        <f t="shared" si="1"/>
        <v>0.96138508203163342</v>
      </c>
      <c r="H32" s="10">
        <f t="shared" si="1"/>
        <v>1.0986600229869912</v>
      </c>
      <c r="I32" s="388">
        <f t="shared" ref="I32:M32" si="2">I31/I30</f>
        <v>0</v>
      </c>
      <c r="J32" s="10">
        <f t="shared" si="2"/>
        <v>1.3939393939393876</v>
      </c>
      <c r="K32" s="10">
        <f t="shared" si="2"/>
        <v>0.72488536155202943</v>
      </c>
      <c r="L32" s="10">
        <f t="shared" si="2"/>
        <v>1.0065582071261414</v>
      </c>
      <c r="M32" s="11">
        <f t="shared" si="2"/>
        <v>0.9694550264574131</v>
      </c>
      <c r="N32" s="372"/>
      <c r="O32" s="372"/>
      <c r="P32" s="372"/>
      <c r="Q32" s="372"/>
    </row>
    <row r="33" spans="2:17" ht="25.8" customHeight="1">
      <c r="B33" s="563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2951.5384615384633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564"/>
      <c r="C34" s="407" t="s">
        <v>36</v>
      </c>
      <c r="D34" s="391">
        <v>0.3923611111111111</v>
      </c>
      <c r="E34" s="12">
        <v>0.37152777777777773</v>
      </c>
      <c r="F34" s="12">
        <v>0</v>
      </c>
      <c r="G34" s="12">
        <v>1062.9999999999952</v>
      </c>
      <c r="H34" s="376">
        <v>0.5854166666666667</v>
      </c>
      <c r="I34" s="23">
        <v>0</v>
      </c>
      <c r="J34" s="12">
        <v>0.73611111111111116</v>
      </c>
      <c r="K34" s="12">
        <v>0.79166666666666663</v>
      </c>
      <c r="L34" s="12">
        <v>46175.072916666664</v>
      </c>
      <c r="M34" s="13">
        <v>46175.052083333336</v>
      </c>
      <c r="N34" s="372"/>
      <c r="O34" s="372"/>
      <c r="P34" s="372"/>
      <c r="Q34" s="372"/>
    </row>
    <row r="35" spans="2:17" ht="25.8" customHeight="1">
      <c r="B35" s="565" t="s">
        <v>169</v>
      </c>
      <c r="C35" s="5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565" t="s">
        <v>170</v>
      </c>
      <c r="C36" s="5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565" t="s">
        <v>171</v>
      </c>
      <c r="C37" s="5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566" t="s">
        <v>172</v>
      </c>
      <c r="C38" s="569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0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74" priority="1" operator="lessThan">
      <formula>0.8</formula>
    </cfRule>
  </conditionalFormatting>
  <conditionalFormatting sqref="D15:Q15">
    <cfRule type="cellIs" dxfId="173" priority="4" operator="lessThan">
      <formula>0.8</formula>
    </cfRule>
  </conditionalFormatting>
  <conditionalFormatting sqref="J32:M32">
    <cfRule type="cellIs" dxfId="17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A1:R126"/>
  <sheetViews>
    <sheetView zoomScale="85" zoomScaleNormal="85" workbookViewId="0">
      <selection activeCell="D93" sqref="D9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97986</v>
      </c>
      <c r="F1" s="281" t="s">
        <v>3</v>
      </c>
      <c r="G1" s="282">
        <f>SUM(H5:H124)</f>
        <v>1884484.2258002381</v>
      </c>
      <c r="H1" s="283" t="s">
        <v>272</v>
      </c>
      <c r="I1" s="284">
        <f>+J16+J64+J24+J38+J51+J81+J100+J91+J57+J124+J111</f>
        <v>44.828571428571429</v>
      </c>
      <c r="J1" s="487" t="s">
        <v>273</v>
      </c>
      <c r="K1" s="488"/>
      <c r="L1" s="489"/>
      <c r="M1" s="487" t="s">
        <v>216</v>
      </c>
      <c r="N1" s="488"/>
      <c r="O1" s="488"/>
      <c r="P1" s="488"/>
      <c r="Q1" s="488"/>
      <c r="R1" s="489"/>
    </row>
    <row r="2" spans="1:18" ht="26.25" customHeight="1" thickBot="1">
      <c r="A2" s="493" t="s">
        <v>274</v>
      </c>
      <c r="B2" s="494"/>
      <c r="C2" s="286"/>
      <c r="D2" s="414" t="s">
        <v>223</v>
      </c>
      <c r="E2" s="287">
        <f>AVERAGE(L16,L24,L38,L51,L100,L111,L91)</f>
        <v>639.11357668240544</v>
      </c>
      <c r="F2" s="288" t="s">
        <v>40</v>
      </c>
      <c r="G2" s="289">
        <f>G1/E1</f>
        <v>19.232178329559712</v>
      </c>
      <c r="H2" s="290" t="s">
        <v>275</v>
      </c>
      <c r="I2" s="291">
        <f>COUNT(I5:I124)</f>
        <v>0</v>
      </c>
      <c r="J2" s="490"/>
      <c r="K2" s="491"/>
      <c r="L2" s="492"/>
      <c r="M2" s="490"/>
      <c r="N2" s="491"/>
      <c r="O2" s="491"/>
      <c r="P2" s="491"/>
      <c r="Q2" s="491"/>
      <c r="R2" s="492"/>
    </row>
    <row r="3" spans="1:18" ht="23.25" customHeight="1">
      <c r="A3" s="495" t="s">
        <v>224</v>
      </c>
      <c r="B3" s="497" t="s">
        <v>276</v>
      </c>
      <c r="C3" s="416"/>
      <c r="D3" s="498" t="s">
        <v>225</v>
      </c>
      <c r="E3" s="498"/>
      <c r="F3" s="499" t="s">
        <v>43</v>
      </c>
      <c r="G3" s="500" t="s">
        <v>277</v>
      </c>
      <c r="H3" s="498" t="s">
        <v>278</v>
      </c>
      <c r="I3" s="501" t="s">
        <v>226</v>
      </c>
      <c r="J3" s="468" t="s">
        <v>228</v>
      </c>
      <c r="K3" s="480" t="s">
        <v>227</v>
      </c>
      <c r="L3" s="482" t="s">
        <v>223</v>
      </c>
      <c r="M3" s="484" t="s">
        <v>48</v>
      </c>
      <c r="N3" s="484"/>
      <c r="O3" s="468" t="s">
        <v>106</v>
      </c>
      <c r="P3" s="485" t="s">
        <v>231</v>
      </c>
      <c r="Q3" s="468" t="s">
        <v>232</v>
      </c>
      <c r="R3" s="468"/>
    </row>
    <row r="4" spans="1:18" ht="15.75" customHeight="1">
      <c r="A4" s="496"/>
      <c r="B4" s="497"/>
      <c r="C4" s="416"/>
      <c r="D4" s="498"/>
      <c r="E4" s="498"/>
      <c r="F4" s="499"/>
      <c r="G4" s="500"/>
      <c r="H4" s="498"/>
      <c r="I4" s="502"/>
      <c r="J4" s="479"/>
      <c r="K4" s="481"/>
      <c r="L4" s="483"/>
      <c r="M4" s="419" t="s">
        <v>50</v>
      </c>
      <c r="N4" s="419" t="s">
        <v>51</v>
      </c>
      <c r="O4" s="479"/>
      <c r="P4" s="486"/>
      <c r="Q4" s="292" t="s">
        <v>236</v>
      </c>
      <c r="R4" s="292" t="s">
        <v>279</v>
      </c>
    </row>
    <row r="5" spans="1:18">
      <c r="A5" s="469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6">
        <v>1942</v>
      </c>
      <c r="H5" s="296">
        <f>F5*G5</f>
        <v>58192.988267770867</v>
      </c>
      <c r="I5" s="417"/>
      <c r="J5" s="297">
        <v>13</v>
      </c>
      <c r="K5" s="298">
        <f t="shared" ref="K5:K10" si="0">G5/P5*60</f>
        <v>1226.526315789474</v>
      </c>
      <c r="L5" s="299">
        <f t="shared" ref="L5:L10" si="1">K5/J5</f>
        <v>94.348178137651843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469"/>
      <c r="B6" s="293">
        <v>0</v>
      </c>
      <c r="C6" s="293"/>
      <c r="D6" s="294" t="s">
        <v>192</v>
      </c>
      <c r="E6" s="294"/>
      <c r="F6" s="295" t="s">
        <v>133</v>
      </c>
      <c r="G6" s="416">
        <v>2436</v>
      </c>
      <c r="H6" s="296">
        <f t="shared" ref="H6:H15" si="3">F6*G6</f>
        <v>0</v>
      </c>
      <c r="I6" s="417"/>
      <c r="J6" s="297">
        <v>9</v>
      </c>
      <c r="K6" s="298">
        <f t="shared" si="0"/>
        <v>1624.0000000000009</v>
      </c>
      <c r="L6" s="299">
        <f t="shared" si="1"/>
        <v>180.44444444444454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469"/>
      <c r="B7" s="293">
        <v>0</v>
      </c>
      <c r="C7" s="293"/>
      <c r="D7" s="294" t="s">
        <v>193</v>
      </c>
      <c r="E7" s="294"/>
      <c r="F7" s="295" t="s">
        <v>133</v>
      </c>
      <c r="G7" s="416">
        <v>2256</v>
      </c>
      <c r="H7" s="296">
        <f t="shared" si="3"/>
        <v>0</v>
      </c>
      <c r="I7" s="417"/>
      <c r="J7" s="297">
        <v>9</v>
      </c>
      <c r="K7" s="298">
        <f t="shared" si="0"/>
        <v>1592.4705882352937</v>
      </c>
      <c r="L7" s="299">
        <f t="shared" si="1"/>
        <v>176.94117647058818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9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2316</v>
      </c>
      <c r="H8" s="296">
        <f t="shared" si="3"/>
        <v>84418.200000000012</v>
      </c>
      <c r="I8" s="417"/>
      <c r="J8" s="297">
        <v>13</v>
      </c>
      <c r="K8" s="298">
        <f t="shared" si="0"/>
        <v>1544</v>
      </c>
      <c r="L8" s="299">
        <f t="shared" si="1"/>
        <v>118.76923076923077</v>
      </c>
      <c r="M8" s="300">
        <v>0.39583333333333331</v>
      </c>
      <c r="N8" s="300">
        <v>0.45833333333333331</v>
      </c>
      <c r="O8" s="292">
        <v>5</v>
      </c>
      <c r="P8" s="411">
        <f t="shared" si="2"/>
        <v>90</v>
      </c>
      <c r="Q8" s="301">
        <v>0.45833333333333331</v>
      </c>
      <c r="R8" s="301">
        <v>0.48958333333333331</v>
      </c>
    </row>
    <row r="9" spans="1:18">
      <c r="A9" s="469"/>
      <c r="B9" s="293" t="s">
        <v>134</v>
      </c>
      <c r="C9" s="293"/>
      <c r="D9" s="294" t="s">
        <v>195</v>
      </c>
      <c r="E9" s="294"/>
      <c r="F9" s="295">
        <v>29.85</v>
      </c>
      <c r="G9" s="302">
        <v>2436</v>
      </c>
      <c r="H9" s="296">
        <f t="shared" si="3"/>
        <v>72714.600000000006</v>
      </c>
      <c r="I9" s="417"/>
      <c r="J9" s="297">
        <v>12</v>
      </c>
      <c r="K9" s="298">
        <f t="shared" si="0"/>
        <v>1826.9999999999993</v>
      </c>
      <c r="L9" s="299">
        <f t="shared" si="1"/>
        <v>152.24999999999994</v>
      </c>
      <c r="M9" s="300">
        <v>0.5</v>
      </c>
      <c r="N9" s="300">
        <v>0.55555555555555558</v>
      </c>
      <c r="O9" s="292">
        <v>5</v>
      </c>
      <c r="P9" s="411">
        <f t="shared" si="2"/>
        <v>80.000000000000028</v>
      </c>
      <c r="Q9" s="301"/>
      <c r="R9" s="301"/>
    </row>
    <row r="10" spans="1:18">
      <c r="A10" s="469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2256</v>
      </c>
      <c r="H10" s="296">
        <f t="shared" si="3"/>
        <v>66597.119999999995</v>
      </c>
      <c r="I10" s="417"/>
      <c r="J10" s="297">
        <v>12</v>
      </c>
      <c r="K10" s="298">
        <f t="shared" si="0"/>
        <v>1804.8000000000027</v>
      </c>
      <c r="L10" s="299">
        <f t="shared" si="1"/>
        <v>150.40000000000023</v>
      </c>
      <c r="M10" s="300">
        <v>0.55902777777777779</v>
      </c>
      <c r="N10" s="300">
        <v>0.61111111111111105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469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70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70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70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70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71"/>
      <c r="B16" s="293">
        <v>0</v>
      </c>
      <c r="C16" s="293" t="s">
        <v>282</v>
      </c>
      <c r="D16" s="455" t="s">
        <v>243</v>
      </c>
      <c r="E16" s="455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1603.1328173374616</v>
      </c>
      <c r="L16" s="309">
        <f>AVERAGE(L5:L15)</f>
        <v>145.52550497031925</v>
      </c>
      <c r="M16" s="300"/>
      <c r="N16" s="300"/>
      <c r="O16" s="298"/>
      <c r="P16" s="298"/>
      <c r="Q16" s="299"/>
      <c r="R16" s="299"/>
    </row>
    <row r="17" spans="1:18" ht="15.75" customHeight="1">
      <c r="A17" s="472" t="s">
        <v>283</v>
      </c>
      <c r="B17" s="293" t="s">
        <v>134</v>
      </c>
      <c r="C17" s="416"/>
      <c r="D17" s="475" t="s">
        <v>180</v>
      </c>
      <c r="E17" s="476"/>
      <c r="F17" s="295">
        <v>25.64</v>
      </c>
      <c r="G17" s="416">
        <v>782</v>
      </c>
      <c r="H17" s="310">
        <f t="shared" ref="H17:H23" si="4">F17*G17</f>
        <v>20050.48</v>
      </c>
      <c r="I17" s="311"/>
      <c r="J17" s="297">
        <v>10</v>
      </c>
      <c r="K17" s="298">
        <f t="shared" ref="K17" si="5">G17/P17*60</f>
        <v>1563.9999999999973</v>
      </c>
      <c r="L17" s="299">
        <f>K17/J17</f>
        <v>156.39999999999972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472"/>
      <c r="B18" s="293">
        <v>0</v>
      </c>
      <c r="C18" s="416"/>
      <c r="D18" s="477"/>
      <c r="E18" s="478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2"/>
      <c r="B19" s="293">
        <v>0</v>
      </c>
      <c r="C19" s="416"/>
      <c r="D19" s="477"/>
      <c r="E19" s="478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3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3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3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3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474"/>
      <c r="B24" s="293">
        <v>0</v>
      </c>
      <c r="C24" s="6" t="s">
        <v>284</v>
      </c>
      <c r="D24" s="455" t="s">
        <v>243</v>
      </c>
      <c r="E24" s="455"/>
      <c r="F24" s="304"/>
      <c r="G24" s="313"/>
      <c r="H24" s="306"/>
      <c r="I24" s="307"/>
      <c r="J24" s="308">
        <f>AVERAGE(J17:J23)</f>
        <v>10</v>
      </c>
      <c r="K24" s="308">
        <f>AVERAGE(K17:K23)</f>
        <v>1563.9999999999973</v>
      </c>
      <c r="L24" s="309">
        <f>AVERAGE(L17:L23)</f>
        <v>156.39999999999972</v>
      </c>
      <c r="M24" s="300"/>
      <c r="N24" s="300"/>
      <c r="O24" s="292"/>
      <c r="P24" s="292"/>
      <c r="Q24" s="292"/>
      <c r="R24" s="292"/>
    </row>
    <row r="25" spans="1:18">
      <c r="A25" s="459" t="s">
        <v>285</v>
      </c>
      <c r="B25" s="293" t="s">
        <v>131</v>
      </c>
      <c r="C25" s="314"/>
      <c r="D25" s="316" t="s">
        <v>286</v>
      </c>
      <c r="E25" s="315"/>
      <c r="F25" s="295">
        <v>15.03</v>
      </c>
      <c r="G25" s="416">
        <v>1274</v>
      </c>
      <c r="H25" s="296">
        <f t="shared" ref="H25:H37" si="6">F25*G25</f>
        <v>19148.219999999998</v>
      </c>
      <c r="I25" s="417"/>
      <c r="J25" s="297">
        <v>4</v>
      </c>
      <c r="K25" s="298">
        <f t="shared" ref="K25:K28" si="7">G25/P25*60</f>
        <v>2730.0000000000023</v>
      </c>
      <c r="L25" s="299">
        <f t="shared" ref="L25:L28" si="8">K25/J25</f>
        <v>682.50000000000057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459"/>
      <c r="B26" s="293" t="s">
        <v>131</v>
      </c>
      <c r="C26" s="314"/>
      <c r="D26" s="312" t="s">
        <v>107</v>
      </c>
      <c r="E26" s="317"/>
      <c r="F26" s="295">
        <v>18.18</v>
      </c>
      <c r="G26" s="416">
        <v>3334</v>
      </c>
      <c r="H26" s="296">
        <f t="shared" si="6"/>
        <v>60612.12</v>
      </c>
      <c r="I26" s="417"/>
      <c r="J26" s="297">
        <v>4</v>
      </c>
      <c r="K26" s="298">
        <f t="shared" si="7"/>
        <v>2778.3333333333339</v>
      </c>
      <c r="L26" s="299">
        <f t="shared" si="8"/>
        <v>694.58333333333348</v>
      </c>
      <c r="M26" s="300">
        <v>0.21388888888888891</v>
      </c>
      <c r="N26" s="300">
        <v>0.2638888888888889</v>
      </c>
      <c r="O26" s="292">
        <v>20</v>
      </c>
      <c r="P26" s="411">
        <f t="shared" si="9"/>
        <v>71.999999999999986</v>
      </c>
      <c r="Q26" s="301"/>
      <c r="R26" s="301"/>
    </row>
    <row r="27" spans="1:18">
      <c r="A27" s="459"/>
      <c r="B27" s="293" t="s">
        <v>131</v>
      </c>
      <c r="C27" s="314"/>
      <c r="D27" s="316" t="s">
        <v>109</v>
      </c>
      <c r="E27" s="317"/>
      <c r="F27" s="295">
        <v>18.53</v>
      </c>
      <c r="G27" s="416">
        <v>1956</v>
      </c>
      <c r="H27" s="296">
        <f t="shared" si="6"/>
        <v>36244.68</v>
      </c>
      <c r="I27" s="417"/>
      <c r="J27" s="297">
        <v>3</v>
      </c>
      <c r="K27" s="298">
        <f t="shared" si="7"/>
        <v>2794.2857142857188</v>
      </c>
      <c r="L27" s="299">
        <f t="shared" si="8"/>
        <v>931.42857142857292</v>
      </c>
      <c r="M27" s="300">
        <v>0.27777777777777779</v>
      </c>
      <c r="N27" s="300">
        <v>0.30694444444444441</v>
      </c>
      <c r="O27" s="292">
        <v>20</v>
      </c>
      <c r="P27" s="411">
        <f t="shared" si="9"/>
        <v>41.999999999999929</v>
      </c>
      <c r="Q27" s="301"/>
      <c r="R27" s="301"/>
    </row>
    <row r="28" spans="1:18">
      <c r="A28" s="459"/>
      <c r="B28" s="293" t="s">
        <v>131</v>
      </c>
      <c r="C28" s="416"/>
      <c r="D28" s="312" t="s">
        <v>287</v>
      </c>
      <c r="E28" s="317"/>
      <c r="F28" s="295">
        <v>24.93</v>
      </c>
      <c r="G28" s="416">
        <v>3611</v>
      </c>
      <c r="H28" s="296">
        <f t="shared" si="6"/>
        <v>90022.23</v>
      </c>
      <c r="I28" s="417"/>
      <c r="J28" s="297">
        <v>3</v>
      </c>
      <c r="K28" s="298">
        <f t="shared" si="7"/>
        <v>2967.945205479456</v>
      </c>
      <c r="L28" s="299">
        <f t="shared" si="8"/>
        <v>989.31506849315201</v>
      </c>
      <c r="M28" s="300">
        <v>0.32083333333333336</v>
      </c>
      <c r="N28" s="300">
        <v>0.37152777777777773</v>
      </c>
      <c r="O28" s="292">
        <v>20</v>
      </c>
      <c r="P28" s="411">
        <f t="shared" si="9"/>
        <v>72.999999999999901</v>
      </c>
      <c r="Q28" s="301"/>
      <c r="R28" s="301"/>
    </row>
    <row r="29" spans="1:18">
      <c r="A29" s="459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59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59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59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59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59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59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59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59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460"/>
      <c r="B38" s="293">
        <v>0</v>
      </c>
      <c r="C38" s="6" t="s">
        <v>27</v>
      </c>
      <c r="D38" s="450" t="s">
        <v>108</v>
      </c>
      <c r="E38" s="450"/>
      <c r="F38" s="304"/>
      <c r="G38" s="320"/>
      <c r="H38" s="306"/>
      <c r="I38" s="307"/>
      <c r="J38" s="308">
        <f>AVERAGE(J25:J37)</f>
        <v>3.5</v>
      </c>
      <c r="K38" s="308">
        <f>AVERAGE(K25:K37)</f>
        <v>2817.6410632746279</v>
      </c>
      <c r="L38" s="309">
        <f>AVERAGE(L25:L37)</f>
        <v>824.45674331376472</v>
      </c>
      <c r="M38" s="300"/>
      <c r="N38" s="300"/>
      <c r="O38" s="298"/>
      <c r="P38" s="298"/>
      <c r="Q38" s="299"/>
      <c r="R38" s="299"/>
    </row>
    <row r="39" spans="1:18" ht="16.2" customHeight="1">
      <c r="A39" s="461" t="s">
        <v>288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62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62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62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62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62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62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62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62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63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63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63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64"/>
      <c r="B51" s="293">
        <v>0</v>
      </c>
      <c r="C51" s="6" t="s">
        <v>28</v>
      </c>
      <c r="D51" s="455" t="s">
        <v>243</v>
      </c>
      <c r="E51" s="455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5" t="s">
        <v>289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1063</v>
      </c>
      <c r="H52" s="296">
        <f>F52*G52</f>
        <v>19325.34</v>
      </c>
      <c r="I52" s="417"/>
      <c r="J52" s="297">
        <v>3</v>
      </c>
      <c r="K52" s="298">
        <f>G52/P52*60</f>
        <v>3188.9999999999859</v>
      </c>
      <c r="L52" s="299">
        <f>K52/J52</f>
        <v>1062.9999999999952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466"/>
      <c r="B53" s="293" t="s">
        <v>131</v>
      </c>
      <c r="C53" s="416"/>
      <c r="D53" s="315" t="s">
        <v>110</v>
      </c>
      <c r="E53" s="331"/>
      <c r="F53" s="295">
        <v>25.03</v>
      </c>
      <c r="G53" s="302">
        <v>788</v>
      </c>
      <c r="H53" s="296">
        <f t="shared" ref="H53:H116" si="11">F53*G53</f>
        <v>19723.64</v>
      </c>
      <c r="I53" s="417"/>
      <c r="J53" s="297">
        <v>4</v>
      </c>
      <c r="K53" s="298">
        <f t="shared" ref="K53:K57" si="12">G53/P53*60</f>
        <v>3151.9999999999945</v>
      </c>
      <c r="L53" s="299">
        <f t="shared" ref="L53:L57" si="13">K53/J53</f>
        <v>787.99999999999864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466"/>
      <c r="B54" s="293" t="s">
        <v>131</v>
      </c>
      <c r="C54" s="416"/>
      <c r="D54" s="315" t="s">
        <v>111</v>
      </c>
      <c r="E54" s="413"/>
      <c r="F54" s="295">
        <v>24.82</v>
      </c>
      <c r="G54" s="302">
        <v>1023</v>
      </c>
      <c r="H54" s="296">
        <f t="shared" si="11"/>
        <v>25390.86</v>
      </c>
      <c r="I54" s="417"/>
      <c r="J54" s="297">
        <v>4</v>
      </c>
      <c r="K54" s="298">
        <f t="shared" si="12"/>
        <v>3069.0000000000109</v>
      </c>
      <c r="L54" s="299">
        <f t="shared" si="13"/>
        <v>767.25000000000273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466"/>
      <c r="B55" s="293" t="s">
        <v>131</v>
      </c>
      <c r="C55" s="416"/>
      <c r="D55" s="315" t="s">
        <v>112</v>
      </c>
      <c r="E55" s="317"/>
      <c r="F55" s="295">
        <v>30</v>
      </c>
      <c r="G55" s="302">
        <v>1499</v>
      </c>
      <c r="H55" s="296">
        <f t="shared" si="11"/>
        <v>44970</v>
      </c>
      <c r="I55" s="417"/>
      <c r="J55" s="297">
        <v>4</v>
      </c>
      <c r="K55" s="298">
        <f t="shared" si="12"/>
        <v>3101.3793103448388</v>
      </c>
      <c r="L55" s="299">
        <f t="shared" si="13"/>
        <v>775.3448275862097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466"/>
      <c r="B56" s="293" t="s">
        <v>131</v>
      </c>
      <c r="C56" s="416"/>
      <c r="D56" s="316" t="s">
        <v>290</v>
      </c>
      <c r="E56" s="317"/>
      <c r="F56" s="295">
        <v>23.72</v>
      </c>
      <c r="G56" s="302">
        <v>1279</v>
      </c>
      <c r="H56" s="296">
        <f t="shared" si="11"/>
        <v>30337.879999999997</v>
      </c>
      <c r="I56" s="417"/>
      <c r="J56" s="297">
        <v>4</v>
      </c>
      <c r="K56" s="298">
        <f t="shared" si="12"/>
        <v>2951.5384615384633</v>
      </c>
      <c r="L56" s="299">
        <f t="shared" si="13"/>
        <v>737.88461538461581</v>
      </c>
      <c r="M56" s="300">
        <v>0.46458333333333335</v>
      </c>
      <c r="N56" s="300">
        <v>0.4826388888888889</v>
      </c>
      <c r="O56" s="298">
        <v>20</v>
      </c>
      <c r="P56" s="411">
        <f t="shared" si="14"/>
        <v>25.999999999999986</v>
      </c>
      <c r="Q56" s="301"/>
      <c r="R56" s="301"/>
    </row>
    <row r="57" spans="1:18" ht="15.75" customHeight="1">
      <c r="A57" s="466"/>
      <c r="B57" s="293" t="s">
        <v>131</v>
      </c>
      <c r="C57" s="6" t="s">
        <v>31</v>
      </c>
      <c r="D57" s="315" t="s">
        <v>291</v>
      </c>
      <c r="E57" s="317"/>
      <c r="F57" s="295">
        <v>17.07</v>
      </c>
      <c r="G57" s="302">
        <v>2756</v>
      </c>
      <c r="H57" s="296">
        <f t="shared" si="11"/>
        <v>47044.92</v>
      </c>
      <c r="I57" s="417"/>
      <c r="J57" s="297">
        <v>3</v>
      </c>
      <c r="K57" s="298">
        <f t="shared" si="12"/>
        <v>3179.9999999999964</v>
      </c>
      <c r="L57" s="299">
        <f t="shared" si="13"/>
        <v>1059.9999999999989</v>
      </c>
      <c r="M57" s="300">
        <v>0.49652777777777773</v>
      </c>
      <c r="N57" s="300">
        <v>0.53263888888888888</v>
      </c>
      <c r="O57" s="298">
        <v>20</v>
      </c>
      <c r="P57" s="411">
        <f t="shared" si="14"/>
        <v>52.000000000000057</v>
      </c>
      <c r="Q57" s="301"/>
      <c r="R57" s="301"/>
    </row>
    <row r="58" spans="1:18" ht="15.6" customHeight="1">
      <c r="A58" s="46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7"/>
      <c r="B64" s="293">
        <v>0</v>
      </c>
      <c r="C64" s="6" t="s">
        <v>292</v>
      </c>
      <c r="D64" s="455" t="s">
        <v>243</v>
      </c>
      <c r="E64" s="455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3107.1529619805478</v>
      </c>
      <c r="L64" s="309">
        <f>AVERAGE(L52:L63)</f>
        <v>865.2465738284701</v>
      </c>
      <c r="M64" s="300"/>
      <c r="N64" s="300"/>
      <c r="O64" s="292"/>
      <c r="P64" s="292"/>
      <c r="Q64" s="292"/>
      <c r="R64" s="292"/>
    </row>
    <row r="65" spans="1:18" ht="15.6" customHeight="1">
      <c r="A65" s="452" t="s">
        <v>293</v>
      </c>
      <c r="B65" s="293" t="s">
        <v>131</v>
      </c>
      <c r="C65" s="416"/>
      <c r="D65" s="316" t="s">
        <v>294</v>
      </c>
      <c r="E65" s="330"/>
      <c r="F65" s="295">
        <v>22.281818181818181</v>
      </c>
      <c r="G65" s="416">
        <v>733</v>
      </c>
      <c r="H65" s="296">
        <f>F65*G65</f>
        <v>16332.572727272727</v>
      </c>
      <c r="I65" s="417"/>
      <c r="J65" s="297">
        <v>4</v>
      </c>
      <c r="K65" s="298">
        <f t="shared" ref="K65:K72" si="15">G65/P65*60</f>
        <v>3141.4285714285738</v>
      </c>
      <c r="L65" s="299">
        <f t="shared" ref="L65:L72" si="16">K65/J65</f>
        <v>785.35714285714346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53"/>
      <c r="B66" s="293" t="s">
        <v>131</v>
      </c>
      <c r="C66" s="416"/>
      <c r="D66" s="316" t="s">
        <v>115</v>
      </c>
      <c r="E66" s="331"/>
      <c r="F66" s="295">
        <v>18.18</v>
      </c>
      <c r="G66" s="302">
        <v>1630</v>
      </c>
      <c r="H66" s="296">
        <f t="shared" ref="H66:H74" si="17">F66*G66</f>
        <v>29633.399999999998</v>
      </c>
      <c r="I66" s="417"/>
      <c r="J66" s="297">
        <v>3</v>
      </c>
      <c r="K66" s="298">
        <f t="shared" si="15"/>
        <v>3154.8387096774222</v>
      </c>
      <c r="L66" s="299">
        <f t="shared" si="16"/>
        <v>1051.6129032258075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453"/>
      <c r="B67" s="293" t="s">
        <v>131</v>
      </c>
      <c r="C67" s="416"/>
      <c r="D67" s="332" t="s">
        <v>295</v>
      </c>
      <c r="E67" s="317"/>
      <c r="F67" s="295">
        <v>17.890909090909091</v>
      </c>
      <c r="G67" s="302">
        <v>1775</v>
      </c>
      <c r="H67" s="296">
        <f t="shared" si="17"/>
        <v>31756.363636363636</v>
      </c>
      <c r="I67" s="417"/>
      <c r="J67" s="297">
        <v>3</v>
      </c>
      <c r="K67" s="298">
        <f t="shared" si="15"/>
        <v>3132.3529411764703</v>
      </c>
      <c r="L67" s="299">
        <f t="shared" si="16"/>
        <v>1044.1176470588234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453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4935</v>
      </c>
      <c r="H68" s="296">
        <f t="shared" si="17"/>
        <v>70499.999999999985</v>
      </c>
      <c r="I68" s="417"/>
      <c r="J68" s="297">
        <v>3</v>
      </c>
      <c r="K68" s="298">
        <f t="shared" si="15"/>
        <v>3183.8709677419356</v>
      </c>
      <c r="L68" s="299">
        <f t="shared" si="16"/>
        <v>1061.2903225806451</v>
      </c>
      <c r="M68" s="300">
        <v>0.32222222222222224</v>
      </c>
      <c r="N68" s="300">
        <v>0.38680555555555557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453"/>
      <c r="B69" s="293" t="s">
        <v>131</v>
      </c>
      <c r="C69" s="416"/>
      <c r="D69" s="316" t="s">
        <v>296</v>
      </c>
      <c r="E69" s="317"/>
      <c r="F69" s="295">
        <v>16.66</v>
      </c>
      <c r="G69" s="302">
        <v>3208</v>
      </c>
      <c r="H69" s="296">
        <f t="shared" si="17"/>
        <v>53445.279999999999</v>
      </c>
      <c r="I69" s="417"/>
      <c r="J69" s="297">
        <v>4</v>
      </c>
      <c r="K69" s="298">
        <f t="shared" si="15"/>
        <v>3155.4098360655767</v>
      </c>
      <c r="L69" s="299">
        <f t="shared" si="16"/>
        <v>788.85245901639416</v>
      </c>
      <c r="M69" s="300">
        <v>0.40069444444444446</v>
      </c>
      <c r="N69" s="300">
        <v>0.44305555555555554</v>
      </c>
      <c r="O69" s="298">
        <v>20</v>
      </c>
      <c r="P69" s="411">
        <f t="shared" si="18"/>
        <v>60.999999999999943</v>
      </c>
      <c r="Q69" s="301"/>
      <c r="R69" s="301"/>
    </row>
    <row r="70" spans="1:18" ht="15.75" customHeight="1">
      <c r="A70" s="453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3096</v>
      </c>
      <c r="H70" s="296">
        <f t="shared" si="17"/>
        <v>43436.88</v>
      </c>
      <c r="I70" s="417"/>
      <c r="J70" s="297">
        <v>3</v>
      </c>
      <c r="K70" s="298">
        <f t="shared" si="15"/>
        <v>3202.7586206896531</v>
      </c>
      <c r="L70" s="299">
        <f t="shared" si="16"/>
        <v>1067.5862068965509</v>
      </c>
      <c r="M70" s="300">
        <v>0.45694444444444443</v>
      </c>
      <c r="N70" s="300">
        <v>0.49722222222222223</v>
      </c>
      <c r="O70" s="298">
        <v>20</v>
      </c>
      <c r="P70" s="411">
        <f t="shared" si="18"/>
        <v>58.000000000000036</v>
      </c>
      <c r="Q70" s="301"/>
      <c r="R70" s="301"/>
    </row>
    <row r="71" spans="1:18" ht="15.6" customHeight="1">
      <c r="A71" s="453"/>
      <c r="B71" s="293" t="s">
        <v>131</v>
      </c>
      <c r="C71" s="314"/>
      <c r="D71" s="332" t="s">
        <v>297</v>
      </c>
      <c r="E71" s="317"/>
      <c r="F71" s="295">
        <v>25.2</v>
      </c>
      <c r="G71" s="334">
        <v>1312</v>
      </c>
      <c r="H71" s="296">
        <f t="shared" si="17"/>
        <v>33062.400000000001</v>
      </c>
      <c r="I71" s="417"/>
      <c r="J71" s="297">
        <v>3</v>
      </c>
      <c r="K71" s="298">
        <f t="shared" si="15"/>
        <v>3148.8000000000111</v>
      </c>
      <c r="L71" s="299">
        <f t="shared" si="16"/>
        <v>1049.6000000000038</v>
      </c>
      <c r="M71" s="300">
        <v>0.51111111111111118</v>
      </c>
      <c r="N71" s="300">
        <v>0.52847222222222223</v>
      </c>
      <c r="O71" s="298">
        <v>20</v>
      </c>
      <c r="P71" s="411">
        <f t="shared" si="18"/>
        <v>24.999999999999911</v>
      </c>
      <c r="Q71" s="301"/>
      <c r="R71" s="301"/>
    </row>
    <row r="72" spans="1:18" ht="15.6" customHeight="1">
      <c r="A72" s="453"/>
      <c r="B72" s="293" t="s">
        <v>131</v>
      </c>
      <c r="C72" s="416"/>
      <c r="D72" s="332" t="s">
        <v>298</v>
      </c>
      <c r="E72" s="317"/>
      <c r="F72" s="295">
        <v>20.72</v>
      </c>
      <c r="G72" s="302">
        <v>3292</v>
      </c>
      <c r="H72" s="296">
        <f t="shared" si="17"/>
        <v>68210.239999999991</v>
      </c>
      <c r="I72" s="417"/>
      <c r="J72" s="297">
        <v>3</v>
      </c>
      <c r="K72" s="298">
        <f t="shared" si="15"/>
        <v>3185.8064516129061</v>
      </c>
      <c r="L72" s="299">
        <f t="shared" si="16"/>
        <v>1061.9354838709687</v>
      </c>
      <c r="M72" s="300">
        <v>0.54236111111111118</v>
      </c>
      <c r="N72" s="300">
        <v>0.5854166666666667</v>
      </c>
      <c r="O72" s="298">
        <v>20</v>
      </c>
      <c r="P72" s="411">
        <f t="shared" si="18"/>
        <v>61.999999999999943</v>
      </c>
      <c r="Q72" s="301"/>
      <c r="R72" s="301"/>
    </row>
    <row r="73" spans="1:18" ht="15.6" customHeight="1">
      <c r="A73" s="453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53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54"/>
      <c r="B75" s="293">
        <v>0</v>
      </c>
      <c r="C75" s="6" t="s">
        <v>299</v>
      </c>
      <c r="D75" s="455" t="s">
        <v>243</v>
      </c>
      <c r="E75" s="455"/>
      <c r="F75" s="304"/>
      <c r="G75" s="309"/>
      <c r="H75" s="327"/>
      <c r="I75" s="328"/>
      <c r="J75" s="308">
        <f>AVERAGE(J65:J74)</f>
        <v>3.25</v>
      </c>
      <c r="K75" s="308">
        <f>AVERAGE(K65:K74)</f>
        <v>3163.1582622990686</v>
      </c>
      <c r="L75" s="309">
        <f>AVERAGE(L65:L74)</f>
        <v>988.79402068829211</v>
      </c>
      <c r="M75" s="300"/>
      <c r="N75" s="300"/>
      <c r="O75" s="292"/>
      <c r="P75" s="292"/>
      <c r="Q75" s="292"/>
      <c r="R75" s="292"/>
    </row>
    <row r="76" spans="1:18" ht="16.2" customHeight="1">
      <c r="A76" s="456" t="s">
        <v>117</v>
      </c>
      <c r="B76" s="293">
        <v>0</v>
      </c>
      <c r="C76" s="293"/>
      <c r="D76" s="457"/>
      <c r="E76" s="458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56"/>
      <c r="B77" s="293">
        <v>0</v>
      </c>
      <c r="C77" s="293"/>
      <c r="D77" s="457"/>
      <c r="E77" s="458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56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56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56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56"/>
      <c r="B81" s="293">
        <v>0</v>
      </c>
      <c r="C81" s="6" t="s">
        <v>31</v>
      </c>
      <c r="D81" s="450" t="s">
        <v>243</v>
      </c>
      <c r="E81" s="450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41" t="s">
        <v>300</v>
      </c>
      <c r="B82" s="293" t="s">
        <v>131</v>
      </c>
      <c r="C82" s="314"/>
      <c r="D82" s="315" t="s">
        <v>301</v>
      </c>
      <c r="E82" s="340"/>
      <c r="F82" s="295">
        <v>17.22</v>
      </c>
      <c r="G82" s="319">
        <v>1150</v>
      </c>
      <c r="H82" s="341">
        <f t="shared" ref="H82:H90" si="19">F82*G82</f>
        <v>19803</v>
      </c>
      <c r="I82" s="417"/>
      <c r="J82" s="297">
        <v>3</v>
      </c>
      <c r="K82" s="298">
        <f t="shared" ref="K82" si="20">G82/P82*60</f>
        <v>3449.9999999999845</v>
      </c>
      <c r="L82" s="299">
        <f t="shared" ref="L82" si="21">K82/J82</f>
        <v>1149.9999999999948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42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42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42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42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42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42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42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42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442"/>
      <c r="B91" s="293">
        <v>0</v>
      </c>
      <c r="C91" s="6" t="s">
        <v>285</v>
      </c>
      <c r="D91" s="443" t="s">
        <v>243</v>
      </c>
      <c r="E91" s="443"/>
      <c r="F91" s="304"/>
      <c r="G91" s="344"/>
      <c r="H91" s="345"/>
      <c r="I91" s="307"/>
      <c r="J91" s="308">
        <f>AVERAGE(J82:J90)</f>
        <v>3</v>
      </c>
      <c r="K91" s="308">
        <f>AVERAGE(K82:K90)</f>
        <v>3449.9999999999845</v>
      </c>
      <c r="L91" s="309">
        <f>AVERAGE(L82:L90)</f>
        <v>1149.9999999999948</v>
      </c>
      <c r="M91" s="300"/>
      <c r="N91" s="300"/>
      <c r="O91" s="298"/>
      <c r="P91" s="298"/>
      <c r="Q91" s="299"/>
      <c r="R91" s="299"/>
    </row>
    <row r="92" spans="1:18" ht="16.2" customHeight="1">
      <c r="A92" s="444" t="s">
        <v>302</v>
      </c>
      <c r="B92" s="293" t="s">
        <v>131</v>
      </c>
      <c r="C92" s="293"/>
      <c r="D92" s="346" t="s">
        <v>303</v>
      </c>
      <c r="E92" s="340"/>
      <c r="F92" s="295">
        <v>24.54</v>
      </c>
      <c r="G92" s="416">
        <v>1661</v>
      </c>
      <c r="H92" s="296">
        <f t="shared" ref="H92:H99" si="23">F92*G92</f>
        <v>40760.939999999995</v>
      </c>
      <c r="I92" s="417"/>
      <c r="J92" s="297">
        <v>3</v>
      </c>
      <c r="K92" s="298">
        <f>G92/P92*60</f>
        <v>2214.6666666666665</v>
      </c>
      <c r="L92" s="299">
        <f t="shared" ref="L92:L93" si="24">K92/J92</f>
        <v>738.22222222222217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445"/>
      <c r="B93" s="293" t="s">
        <v>131</v>
      </c>
      <c r="C93" s="293"/>
      <c r="D93" s="315" t="s">
        <v>304</v>
      </c>
      <c r="E93" s="335"/>
      <c r="F93" s="295">
        <v>23.27</v>
      </c>
      <c r="G93" s="302">
        <v>1322</v>
      </c>
      <c r="H93" s="296">
        <f t="shared" si="23"/>
        <v>30762.94</v>
      </c>
      <c r="I93" s="417"/>
      <c r="J93" s="297">
        <v>4</v>
      </c>
      <c r="K93" s="298">
        <f t="shared" ref="K93" si="25">G93/P93*60</f>
        <v>2266.2857142857224</v>
      </c>
      <c r="L93" s="299">
        <f t="shared" si="24"/>
        <v>566.5714285714306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445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6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6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6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6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6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6"/>
      <c r="B100" s="293">
        <v>0</v>
      </c>
      <c r="C100" s="6" t="s">
        <v>305</v>
      </c>
      <c r="D100" s="447" t="s">
        <v>243</v>
      </c>
      <c r="E100" s="448"/>
      <c r="F100" s="304"/>
      <c r="G100" s="305"/>
      <c r="H100" s="347"/>
      <c r="I100" s="307"/>
      <c r="J100" s="308">
        <f>AVERAGE(J92:J99)</f>
        <v>3.5</v>
      </c>
      <c r="K100" s="308">
        <f>AVERAGE(K92:K99)</f>
        <v>2240.4761904761945</v>
      </c>
      <c r="L100" s="309">
        <f>AVERAGE(L92:L99)</f>
        <v>652.39682539682644</v>
      </c>
      <c r="M100" s="300"/>
      <c r="N100" s="300"/>
      <c r="O100" s="298"/>
      <c r="P100" s="298"/>
      <c r="Q100" s="299"/>
      <c r="R100" s="299"/>
    </row>
    <row r="101" spans="1:18" ht="16.2" customHeight="1">
      <c r="A101" s="449" t="s">
        <v>306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1283</v>
      </c>
      <c r="H101" s="296">
        <f t="shared" ref="H101:H110" si="26">F101*G101</f>
        <v>32113.49</v>
      </c>
      <c r="I101" s="417"/>
      <c r="J101" s="297">
        <v>4</v>
      </c>
      <c r="K101" s="298">
        <f>G101/P101*60</f>
        <v>3079.1999999999912</v>
      </c>
      <c r="L101" s="299">
        <f t="shared" ref="L101:L105" si="27">K101/J101</f>
        <v>769.79999999999779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9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1969</v>
      </c>
      <c r="H102" s="296">
        <f t="shared" si="26"/>
        <v>48870.58</v>
      </c>
      <c r="I102" s="417"/>
      <c r="J102" s="297">
        <v>4</v>
      </c>
      <c r="K102" s="298">
        <f t="shared" ref="K102:K105" si="29">G102/P102*60</f>
        <v>2953.4999999999986</v>
      </c>
      <c r="L102" s="299">
        <f t="shared" si="27"/>
        <v>738.37499999999966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449"/>
      <c r="B103" s="293" t="s">
        <v>131</v>
      </c>
      <c r="C103" s="6"/>
      <c r="D103" s="315" t="s">
        <v>307</v>
      </c>
      <c r="E103" s="315"/>
      <c r="F103" s="295">
        <v>30</v>
      </c>
      <c r="G103" s="416">
        <v>2195</v>
      </c>
      <c r="H103" s="296">
        <f t="shared" si="26"/>
        <v>65850</v>
      </c>
      <c r="I103" s="417"/>
      <c r="J103" s="297">
        <v>3</v>
      </c>
      <c r="K103" s="298">
        <f t="shared" si="29"/>
        <v>2926.6666666666665</v>
      </c>
      <c r="L103" s="299">
        <f t="shared" si="27"/>
        <v>975.55555555555554</v>
      </c>
      <c r="M103" s="300">
        <v>0.79513888888888884</v>
      </c>
      <c r="N103" s="300">
        <v>0.82638888888888884</v>
      </c>
      <c r="O103" s="292">
        <v>20</v>
      </c>
      <c r="P103" s="298">
        <f t="shared" si="28"/>
        <v>45</v>
      </c>
      <c r="Q103" s="301"/>
      <c r="R103" s="301"/>
    </row>
    <row r="104" spans="1:18">
      <c r="A104" s="449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3394</v>
      </c>
      <c r="H104" s="296">
        <f t="shared" si="26"/>
        <v>96966.58</v>
      </c>
      <c r="I104" s="417"/>
      <c r="J104" s="297">
        <v>3</v>
      </c>
      <c r="K104" s="298">
        <f t="shared" si="29"/>
        <v>3132.9230769230803</v>
      </c>
      <c r="L104" s="299">
        <f t="shared" si="27"/>
        <v>1044.3076923076935</v>
      </c>
      <c r="M104" s="300">
        <v>0.84027777777777779</v>
      </c>
      <c r="N104" s="300">
        <v>0.88541666666666663</v>
      </c>
      <c r="O104" s="292">
        <v>20</v>
      </c>
      <c r="P104" s="298">
        <f>(N104-M104)*24*60</f>
        <v>64.999999999999929</v>
      </c>
      <c r="Q104" s="301">
        <v>0.88541666666666663</v>
      </c>
      <c r="R104" s="301">
        <v>0.92708333333333337</v>
      </c>
    </row>
    <row r="105" spans="1:18">
      <c r="A105" s="449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9514</v>
      </c>
      <c r="H105" s="296">
        <f t="shared" si="26"/>
        <v>135914.28571428568</v>
      </c>
      <c r="I105" s="417"/>
      <c r="J105" s="297">
        <v>3</v>
      </c>
      <c r="K105" s="298">
        <f t="shared" si="29"/>
        <v>3004.4210526131706</v>
      </c>
      <c r="L105" s="299">
        <f t="shared" si="27"/>
        <v>1001.4736842043902</v>
      </c>
      <c r="M105" s="300">
        <v>46174.940972222219</v>
      </c>
      <c r="N105" s="300">
        <v>46175.072916666664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449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9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9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9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9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9"/>
      <c r="B111" s="293">
        <v>0</v>
      </c>
      <c r="C111" s="6" t="s">
        <v>292</v>
      </c>
      <c r="D111" s="450" t="s">
        <v>243</v>
      </c>
      <c r="E111" s="451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3019.3421592405812</v>
      </c>
      <c r="L111" s="309">
        <f>AVERAGE(L101:L110)</f>
        <v>905.90238641352732</v>
      </c>
      <c r="M111" s="300"/>
      <c r="N111" s="300"/>
      <c r="O111" s="298"/>
      <c r="P111" s="298"/>
      <c r="Q111" s="299"/>
      <c r="R111" s="292"/>
    </row>
    <row r="112" spans="1:18" ht="16.2" customHeight="1">
      <c r="A112" s="439" t="s">
        <v>308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1666</v>
      </c>
      <c r="H112" s="341">
        <f t="shared" si="11"/>
        <v>27822.199999999997</v>
      </c>
      <c r="I112" s="417"/>
      <c r="J112" s="297">
        <v>3</v>
      </c>
      <c r="K112" s="298">
        <f t="shared" ref="K112:K118" si="30">G112/P112*60</f>
        <v>2855.9999999999973</v>
      </c>
      <c r="L112" s="299">
        <f t="shared" ref="L112:L118" si="31">K112/J112</f>
        <v>951.99999999999909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439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1096</v>
      </c>
      <c r="H113" s="341">
        <f t="shared" si="11"/>
        <v>19925.28</v>
      </c>
      <c r="I113" s="417"/>
      <c r="J113" s="297">
        <v>4</v>
      </c>
      <c r="K113" s="298">
        <f t="shared" si="30"/>
        <v>2630.3999999999924</v>
      </c>
      <c r="L113" s="299">
        <f t="shared" si="31"/>
        <v>657.59999999999809</v>
      </c>
      <c r="M113" s="300">
        <v>0.76041666666666663</v>
      </c>
      <c r="N113" s="300">
        <v>0.77777777777777779</v>
      </c>
      <c r="O113" s="292">
        <v>20</v>
      </c>
      <c r="P113" s="411">
        <f t="shared" si="32"/>
        <v>25.000000000000071</v>
      </c>
      <c r="Q113" s="301"/>
      <c r="R113" s="301"/>
    </row>
    <row r="114" spans="1:18">
      <c r="A114" s="439"/>
      <c r="B114" s="293" t="s">
        <v>131</v>
      </c>
      <c r="C114" s="314"/>
      <c r="D114" s="410" t="s">
        <v>309</v>
      </c>
      <c r="E114" s="315"/>
      <c r="F114" s="295">
        <v>18.18</v>
      </c>
      <c r="G114" s="416">
        <v>1230</v>
      </c>
      <c r="H114" s="341">
        <f t="shared" si="11"/>
        <v>22361.4</v>
      </c>
      <c r="I114" s="417"/>
      <c r="J114" s="297">
        <v>3</v>
      </c>
      <c r="K114" s="298">
        <f t="shared" si="30"/>
        <v>2951.9999999999918</v>
      </c>
      <c r="L114" s="299">
        <f t="shared" si="31"/>
        <v>983.99999999999727</v>
      </c>
      <c r="M114" s="300">
        <v>0.79166666666666663</v>
      </c>
      <c r="N114" s="300">
        <v>0.80902777777777779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439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6365</v>
      </c>
      <c r="H115" s="341">
        <f t="shared" si="11"/>
        <v>106040.9</v>
      </c>
      <c r="I115" s="417"/>
      <c r="J115" s="297">
        <v>4</v>
      </c>
      <c r="K115" s="298">
        <f t="shared" si="30"/>
        <v>3055.1999999999994</v>
      </c>
      <c r="L115" s="299">
        <f t="shared" si="31"/>
        <v>763.79999999999984</v>
      </c>
      <c r="M115" s="300">
        <v>0.82291666666666663</v>
      </c>
      <c r="N115" s="300">
        <v>0.90972222222222221</v>
      </c>
      <c r="O115" s="292">
        <v>20</v>
      </c>
      <c r="P115" s="411">
        <f t="shared" si="32"/>
        <v>125.00000000000003</v>
      </c>
      <c r="Q115" s="301"/>
      <c r="R115" s="301"/>
    </row>
    <row r="116" spans="1:18">
      <c r="A116" s="439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1170</v>
      </c>
      <c r="H116" s="341">
        <f t="shared" si="11"/>
        <v>26069.727272727272</v>
      </c>
      <c r="I116" s="417"/>
      <c r="J116" s="297">
        <v>4</v>
      </c>
      <c r="K116" s="298">
        <f t="shared" si="30"/>
        <v>2808.00000000001</v>
      </c>
      <c r="L116" s="299">
        <f t="shared" si="31"/>
        <v>702.0000000000025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439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4134</v>
      </c>
      <c r="H117" s="341">
        <f t="shared" ref="H117:H123" si="33">F117*G117</f>
        <v>73961.018181818174</v>
      </c>
      <c r="I117" s="417"/>
      <c r="J117" s="297">
        <v>3</v>
      </c>
      <c r="K117" s="298">
        <f t="shared" si="30"/>
        <v>3100.5000000451182</v>
      </c>
      <c r="L117" s="299">
        <f t="shared" si="31"/>
        <v>1033.5000000150394</v>
      </c>
      <c r="M117" s="300">
        <v>46174.996527777781</v>
      </c>
      <c r="N117" s="300">
        <v>46175.052083333336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439"/>
      <c r="B118" s="293" t="s">
        <v>131</v>
      </c>
      <c r="C118" s="314"/>
      <c r="D118" s="315" t="s">
        <v>310</v>
      </c>
      <c r="E118" s="331"/>
      <c r="F118" s="295">
        <v>14.03</v>
      </c>
      <c r="G118" s="416">
        <v>6849</v>
      </c>
      <c r="H118" s="341">
        <f t="shared" si="33"/>
        <v>96091.47</v>
      </c>
      <c r="I118" s="417"/>
      <c r="J118" s="297">
        <v>3</v>
      </c>
      <c r="K118" s="298">
        <f t="shared" si="30"/>
        <v>3043.9999999999991</v>
      </c>
      <c r="L118" s="299">
        <f t="shared" si="31"/>
        <v>1014.6666666666664</v>
      </c>
      <c r="M118" s="300">
        <v>6.5972222222222224E-2</v>
      </c>
      <c r="N118" s="300">
        <v>0.15972222222222224</v>
      </c>
      <c r="O118" s="298">
        <v>20</v>
      </c>
      <c r="P118" s="411">
        <f t="shared" si="32"/>
        <v>135.00000000000003</v>
      </c>
      <c r="Q118" s="301"/>
      <c r="R118" s="301"/>
    </row>
    <row r="119" spans="1:18">
      <c r="A119" s="439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39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39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39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39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439"/>
      <c r="B124" s="293">
        <v>0</v>
      </c>
      <c r="C124" s="6" t="s">
        <v>299</v>
      </c>
      <c r="D124" s="440" t="s">
        <v>243</v>
      </c>
      <c r="E124" s="440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2920.8714285778728</v>
      </c>
      <c r="L124" s="309">
        <f>AVERAGE(L112:L123)</f>
        <v>872.50952381167178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  <pageSetUpPr fitToPage="1"/>
  </sheetPr>
  <dimension ref="A1:AJ186"/>
  <sheetViews>
    <sheetView zoomScale="63" zoomScaleNormal="63" workbookViewId="0">
      <pane ySplit="4" topLeftCell="A5" activePane="bottomLeft" state="frozen"/>
      <selection activeCell="M123" sqref="M123"/>
      <selection pane="bottomLeft" activeCell="G12" sqref="G1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38" t="s">
        <v>214</v>
      </c>
      <c r="E1" s="29">
        <f>SUM(G5:G173)</f>
        <v>197824.24000000005</v>
      </c>
      <c r="F1" s="422" t="s">
        <v>3</v>
      </c>
      <c r="G1" s="30">
        <f>SUM(H5:H173)</f>
        <v>7937401.4877009168</v>
      </c>
      <c r="H1" s="437" t="s">
        <v>37</v>
      </c>
      <c r="I1" s="31">
        <f>M17+M30+M43+M56+M69+M82+M95+M108+M121+M134+M147+M160+M173</f>
        <v>192.38452380952381</v>
      </c>
      <c r="J1" s="579" t="s">
        <v>38</v>
      </c>
      <c r="K1" s="579"/>
      <c r="L1" s="579"/>
      <c r="M1" s="579" t="s">
        <v>39</v>
      </c>
      <c r="N1" s="579"/>
      <c r="O1" s="579"/>
      <c r="P1" s="579" t="s">
        <v>215</v>
      </c>
      <c r="Q1" s="579"/>
      <c r="R1" s="579"/>
      <c r="S1" s="579"/>
      <c r="T1" s="579" t="s">
        <v>216</v>
      </c>
      <c r="U1" s="579"/>
      <c r="V1" s="579"/>
      <c r="W1" s="579"/>
      <c r="X1" s="579"/>
      <c r="Y1" s="579"/>
      <c r="Z1" s="32" t="s">
        <v>217</v>
      </c>
      <c r="AA1" s="32" t="s">
        <v>218</v>
      </c>
      <c r="AB1" s="595" t="s">
        <v>219</v>
      </c>
      <c r="AC1" s="596"/>
      <c r="AD1" s="32" t="s">
        <v>217</v>
      </c>
      <c r="AE1" s="32" t="s">
        <v>220</v>
      </c>
      <c r="AF1" s="579" t="s">
        <v>221</v>
      </c>
      <c r="AG1" s="580"/>
      <c r="AH1" s="580"/>
    </row>
    <row r="2" spans="1:34" ht="26.25" customHeight="1">
      <c r="A2" s="587" t="s">
        <v>222</v>
      </c>
      <c r="B2" s="587"/>
      <c r="C2" s="438"/>
      <c r="D2" s="438" t="s">
        <v>223</v>
      </c>
      <c r="E2" s="34">
        <f>AVERAGE(O17,O30,O43,O56,O69,O82,O95,O108,O121,O134,O147,O160,O173)</f>
        <v>124.26365462013844</v>
      </c>
      <c r="F2" s="35" t="s">
        <v>40</v>
      </c>
      <c r="G2" s="36">
        <f>G1/E1</f>
        <v>40.123503002973322</v>
      </c>
      <c r="H2" s="437" t="s">
        <v>41</v>
      </c>
      <c r="I2" s="437">
        <f>COUNT(I5:I173)</f>
        <v>21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15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224</v>
      </c>
      <c r="B3" s="588" t="s">
        <v>42</v>
      </c>
      <c r="C3" s="589"/>
      <c r="D3" s="588" t="s">
        <v>225</v>
      </c>
      <c r="E3" s="588"/>
      <c r="F3" s="589" t="s">
        <v>43</v>
      </c>
      <c r="G3" s="604" t="s">
        <v>44</v>
      </c>
      <c r="H3" s="589" t="s">
        <v>45</v>
      </c>
      <c r="I3" s="581" t="s">
        <v>226</v>
      </c>
      <c r="J3" s="582" t="s">
        <v>46</v>
      </c>
      <c r="K3" s="583" t="s">
        <v>47</v>
      </c>
      <c r="L3" s="584" t="s">
        <v>35</v>
      </c>
      <c r="M3" s="604" t="s">
        <v>46</v>
      </c>
      <c r="N3" s="583" t="s">
        <v>227</v>
      </c>
      <c r="O3" s="584" t="s">
        <v>223</v>
      </c>
      <c r="P3" s="582" t="s">
        <v>228</v>
      </c>
      <c r="Q3" s="584" t="s">
        <v>223</v>
      </c>
      <c r="R3" s="585" t="s">
        <v>229</v>
      </c>
      <c r="S3" s="586" t="s">
        <v>230</v>
      </c>
      <c r="T3" s="604" t="s">
        <v>48</v>
      </c>
      <c r="U3" s="604"/>
      <c r="V3" s="605" t="s">
        <v>49</v>
      </c>
      <c r="W3" s="581" t="s">
        <v>231</v>
      </c>
      <c r="X3" s="604" t="s">
        <v>232</v>
      </c>
      <c r="Y3" s="604"/>
      <c r="Z3" s="606" t="s">
        <v>233</v>
      </c>
      <c r="AA3" s="607"/>
      <c r="AB3" s="591" t="s">
        <v>234</v>
      </c>
      <c r="AC3" s="592"/>
      <c r="AD3" s="593" t="s">
        <v>235</v>
      </c>
      <c r="AE3" s="594"/>
      <c r="AF3" s="583" t="s">
        <v>227</v>
      </c>
      <c r="AG3" s="585" t="s">
        <v>229</v>
      </c>
      <c r="AH3" s="586" t="s">
        <v>230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50</v>
      </c>
      <c r="U4" s="432" t="s">
        <v>51</v>
      </c>
      <c r="V4" s="604"/>
      <c r="W4" s="581"/>
      <c r="X4" s="422" t="s">
        <v>236</v>
      </c>
      <c r="Y4" s="422" t="s">
        <v>36</v>
      </c>
      <c r="Z4" s="432" t="s">
        <v>237</v>
      </c>
      <c r="AA4" s="432" t="s">
        <v>238</v>
      </c>
      <c r="AB4" s="592"/>
      <c r="AC4" s="592"/>
      <c r="AD4" s="432" t="s">
        <v>239</v>
      </c>
      <c r="AE4" s="39" t="s">
        <v>240</v>
      </c>
      <c r="AF4" s="583"/>
      <c r="AG4" s="585"/>
      <c r="AH4" s="586"/>
    </row>
    <row r="5" spans="1:34" ht="18.75" customHeight="1">
      <c r="A5" s="599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6748</v>
      </c>
      <c r="H5" s="45">
        <f t="shared" ref="H5:H16" si="0">F5*G5</f>
        <v>255276.84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2367.7192982456136</v>
      </c>
      <c r="O5" s="47">
        <f t="shared" ref="O5:O12" si="2">N5/M5</f>
        <v>118.38596491228068</v>
      </c>
      <c r="P5" s="48">
        <f t="shared" ref="P5:P12" si="3">M5-J5</f>
        <v>0</v>
      </c>
      <c r="Q5" s="49">
        <f t="shared" ref="Q5:Q12" si="4">O5-L5</f>
        <v>-1.6140350877193157</v>
      </c>
      <c r="R5" s="424">
        <f t="shared" ref="R5:R12" si="5">O5/L5</f>
        <v>0.98654970760233907</v>
      </c>
      <c r="S5" s="602">
        <f>R17</f>
        <v>0.91938229743106736</v>
      </c>
      <c r="T5" s="89">
        <v>0.25</v>
      </c>
      <c r="U5" s="89">
        <v>0.36875000000000002</v>
      </c>
      <c r="V5" s="422">
        <v>5</v>
      </c>
      <c r="W5" s="433">
        <f>(U5-T5)*24*60</f>
        <v>171.00000000000003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-32.280701754386428</v>
      </c>
      <c r="AG5" s="424">
        <f t="shared" ref="AG5:AG70" si="7">N5/K5</f>
        <v>0.98654970760233895</v>
      </c>
      <c r="AH5" s="602">
        <f>AG17</f>
        <v>0.92782760789136298</v>
      </c>
    </row>
    <row r="6" spans="1:34" ht="19.2" customHeight="1">
      <c r="A6" s="600"/>
      <c r="B6" s="40" t="s">
        <v>127</v>
      </c>
      <c r="C6" s="41"/>
      <c r="D6" s="42" t="s">
        <v>188</v>
      </c>
      <c r="E6" s="43"/>
      <c r="F6" s="355">
        <v>38.99</v>
      </c>
      <c r="G6" s="44">
        <v>1672</v>
      </c>
      <c r="H6" s="45">
        <f t="shared" si="0"/>
        <v>65191.280000000006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2446.8292682926822</v>
      </c>
      <c r="O6" s="47">
        <f t="shared" si="2"/>
        <v>143.9311334289813</v>
      </c>
      <c r="P6" s="48">
        <f t="shared" si="3"/>
        <v>0</v>
      </c>
      <c r="Q6" s="49">
        <f t="shared" si="4"/>
        <v>-14.892395982783398</v>
      </c>
      <c r="R6" s="424">
        <f t="shared" si="5"/>
        <v>0.90623306233062306</v>
      </c>
      <c r="S6" s="602"/>
      <c r="T6" s="89">
        <v>0.38472222222222224</v>
      </c>
      <c r="U6" s="89">
        <v>0.41319444444444448</v>
      </c>
      <c r="V6" s="422">
        <v>23</v>
      </c>
      <c r="W6" s="433">
        <f t="shared" ref="W6:W17" si="8">(U6-T6)*24*60</f>
        <v>41.000000000000014</v>
      </c>
      <c r="X6" s="53">
        <v>0.37361111111111112</v>
      </c>
      <c r="Y6" s="53">
        <v>0.3833333333333333</v>
      </c>
      <c r="Z6" s="54"/>
      <c r="AA6" s="54"/>
      <c r="AB6" s="588"/>
      <c r="AC6" s="588"/>
      <c r="AD6" s="420"/>
      <c r="AE6" s="420"/>
      <c r="AF6" s="48">
        <f t="shared" si="6"/>
        <v>-253.17073170731783</v>
      </c>
      <c r="AG6" s="424">
        <f t="shared" si="7"/>
        <v>0.90623306233062306</v>
      </c>
      <c r="AH6" s="602"/>
    </row>
    <row r="7" spans="1:34" ht="19.2" customHeight="1">
      <c r="A7" s="600"/>
      <c r="B7" s="40" t="s">
        <v>127</v>
      </c>
      <c r="C7" s="41"/>
      <c r="D7" s="42" t="s">
        <v>184</v>
      </c>
      <c r="E7" s="43"/>
      <c r="F7" s="355">
        <v>28.86</v>
      </c>
      <c r="G7" s="44">
        <v>1907</v>
      </c>
      <c r="H7" s="45">
        <f t="shared" si="0"/>
        <v>55036.02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2383.7500000000009</v>
      </c>
      <c r="O7" s="47">
        <f t="shared" si="2"/>
        <v>140.22058823529417</v>
      </c>
      <c r="P7" s="48">
        <f t="shared" si="3"/>
        <v>0</v>
      </c>
      <c r="Q7" s="49">
        <f t="shared" si="4"/>
        <v>-18.602941176470523</v>
      </c>
      <c r="R7" s="424">
        <f t="shared" si="5"/>
        <v>0.88287037037037075</v>
      </c>
      <c r="S7" s="602"/>
      <c r="T7" s="89">
        <v>0.41805555555555557</v>
      </c>
      <c r="U7" s="89">
        <v>0.4513888888888889</v>
      </c>
      <c r="V7" s="422">
        <v>7</v>
      </c>
      <c r="W7" s="433">
        <f t="shared" si="8"/>
        <v>47.999999999999986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-316.24999999999909</v>
      </c>
      <c r="AG7" s="424">
        <f t="shared" si="7"/>
        <v>0.88287037037037075</v>
      </c>
      <c r="AH7" s="602"/>
    </row>
    <row r="8" spans="1:34" ht="19.2" customHeight="1">
      <c r="A8" s="600"/>
      <c r="B8" s="40" t="s">
        <v>127</v>
      </c>
      <c r="C8" s="41"/>
      <c r="D8" s="42" t="s">
        <v>53</v>
      </c>
      <c r="E8" s="43"/>
      <c r="F8" s="355">
        <v>31.11</v>
      </c>
      <c r="G8" s="44">
        <v>3589</v>
      </c>
      <c r="H8" s="45">
        <f t="shared" si="0"/>
        <v>111653.79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2563.5714285714303</v>
      </c>
      <c r="O8" s="47">
        <f t="shared" si="2"/>
        <v>134.92481203007529</v>
      </c>
      <c r="P8" s="48">
        <f t="shared" si="3"/>
        <v>1</v>
      </c>
      <c r="Q8" s="49">
        <f t="shared" si="4"/>
        <v>-15.075187969924713</v>
      </c>
      <c r="R8" s="424">
        <f t="shared" si="5"/>
        <v>0.89949874686716857</v>
      </c>
      <c r="S8" s="602"/>
      <c r="T8" s="89">
        <v>0.49166666666666664</v>
      </c>
      <c r="U8" s="89">
        <v>0.54999999999999993</v>
      </c>
      <c r="V8" s="422">
        <v>5</v>
      </c>
      <c r="W8" s="433">
        <f t="shared" si="8"/>
        <v>83.999999999999943</v>
      </c>
      <c r="X8" s="53"/>
      <c r="Y8" s="53"/>
      <c r="Z8" s="54"/>
      <c r="AA8" s="54"/>
      <c r="AB8" s="588"/>
      <c r="AC8" s="588"/>
      <c r="AD8" s="420">
        <v>1</v>
      </c>
      <c r="AE8" s="420"/>
      <c r="AF8" s="48">
        <f t="shared" si="6"/>
        <v>-136.42857142856974</v>
      </c>
      <c r="AG8" s="424">
        <f t="shared" si="7"/>
        <v>0.94947089947090013</v>
      </c>
      <c r="AH8" s="602"/>
    </row>
    <row r="9" spans="1:34" ht="19.2" customHeight="1">
      <c r="A9" s="600"/>
      <c r="B9" s="40" t="s">
        <v>127</v>
      </c>
      <c r="C9" s="55"/>
      <c r="D9" s="42" t="s">
        <v>209</v>
      </c>
      <c r="E9" s="56"/>
      <c r="F9" s="355">
        <v>35.89</v>
      </c>
      <c r="G9" s="57">
        <v>2854</v>
      </c>
      <c r="H9" s="45">
        <f t="shared" si="0"/>
        <v>102430.06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2446.2857142857119</v>
      </c>
      <c r="O9" s="47">
        <f t="shared" si="2"/>
        <v>143.89915966386542</v>
      </c>
      <c r="P9" s="48">
        <f t="shared" si="3"/>
        <v>0</v>
      </c>
      <c r="Q9" s="49">
        <f t="shared" si="4"/>
        <v>-14.924369747899277</v>
      </c>
      <c r="R9" s="424">
        <f t="shared" si="5"/>
        <v>0.9060317460317453</v>
      </c>
      <c r="S9" s="602"/>
      <c r="T9" s="89">
        <v>0.55486111111111103</v>
      </c>
      <c r="U9" s="89">
        <v>0.60347222222222219</v>
      </c>
      <c r="V9" s="422">
        <v>7</v>
      </c>
      <c r="W9" s="433">
        <f t="shared" si="8"/>
        <v>70.000000000000071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-253.71428571428805</v>
      </c>
      <c r="AG9" s="424">
        <f t="shared" si="7"/>
        <v>0.90603174603174519</v>
      </c>
      <c r="AH9" s="602"/>
    </row>
    <row r="10" spans="1:34" ht="19.2" customHeight="1">
      <c r="A10" s="601"/>
      <c r="B10" s="40" t="s">
        <v>127</v>
      </c>
      <c r="C10" s="41"/>
      <c r="D10" s="42" t="s">
        <v>205</v>
      </c>
      <c r="E10" s="43"/>
      <c r="F10" s="355">
        <v>46.93</v>
      </c>
      <c r="G10" s="44">
        <v>1991</v>
      </c>
      <c r="H10" s="45">
        <f t="shared" si="0"/>
        <v>93437.63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2172.0000000000014</v>
      </c>
      <c r="O10" s="47">
        <f t="shared" si="2"/>
        <v>120.66666666666674</v>
      </c>
      <c r="P10" s="48">
        <f t="shared" si="3"/>
        <v>0</v>
      </c>
      <c r="Q10" s="49">
        <f t="shared" si="4"/>
        <v>-12.6666666666666</v>
      </c>
      <c r="R10" s="424">
        <f t="shared" si="5"/>
        <v>0.90500000000000047</v>
      </c>
      <c r="S10" s="603"/>
      <c r="T10" s="89">
        <v>0.61874999999999991</v>
      </c>
      <c r="U10" s="89">
        <v>0.65694444444444433</v>
      </c>
      <c r="V10" s="422">
        <v>22</v>
      </c>
      <c r="W10" s="433">
        <f t="shared" si="8"/>
        <v>54.999999999999964</v>
      </c>
      <c r="X10" s="53">
        <v>0.60763888888888895</v>
      </c>
      <c r="Y10" s="53">
        <v>0.61805555555555558</v>
      </c>
      <c r="Z10" s="54"/>
      <c r="AA10" s="54"/>
      <c r="AB10" s="588"/>
      <c r="AC10" s="588"/>
      <c r="AD10" s="420"/>
      <c r="AE10" s="420"/>
      <c r="AF10" s="48">
        <f t="shared" si="6"/>
        <v>-227.99999999999864</v>
      </c>
      <c r="AG10" s="424">
        <f t="shared" si="7"/>
        <v>0.90500000000000058</v>
      </c>
      <c r="AH10" s="603"/>
    </row>
    <row r="11" spans="1:34" ht="19.2" customHeight="1">
      <c r="A11" s="601"/>
      <c r="B11" s="40" t="s">
        <v>127</v>
      </c>
      <c r="C11" s="41"/>
      <c r="D11" s="42" t="s">
        <v>52</v>
      </c>
      <c r="E11" s="43"/>
      <c r="F11" s="355">
        <v>37.83</v>
      </c>
      <c r="G11" s="44">
        <v>2892</v>
      </c>
      <c r="H11" s="45">
        <f t="shared" si="0"/>
        <v>109404.36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2344.8648648648632</v>
      </c>
      <c r="O11" s="47">
        <f t="shared" si="2"/>
        <v>117.24324324324316</v>
      </c>
      <c r="P11" s="48">
        <f t="shared" si="3"/>
        <v>0</v>
      </c>
      <c r="Q11" s="49">
        <f t="shared" si="4"/>
        <v>-2.7567567567568432</v>
      </c>
      <c r="R11" s="424">
        <f t="shared" si="5"/>
        <v>0.97702702702702626</v>
      </c>
      <c r="S11" s="603"/>
      <c r="T11" s="89">
        <v>0.66180555555555542</v>
      </c>
      <c r="U11" s="89">
        <v>0.71319444444444435</v>
      </c>
      <c r="V11" s="422">
        <v>7</v>
      </c>
      <c r="W11" s="433">
        <f t="shared" si="8"/>
        <v>74.000000000000057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-55.135135135136807</v>
      </c>
      <c r="AG11" s="424">
        <f t="shared" si="7"/>
        <v>0.97702702702702637</v>
      </c>
      <c r="AH11" s="603"/>
    </row>
    <row r="12" spans="1:34" ht="19.2" customHeight="1">
      <c r="A12" s="601"/>
      <c r="B12" s="40" t="s">
        <v>127</v>
      </c>
      <c r="C12" s="41"/>
      <c r="D12" s="59" t="s">
        <v>55</v>
      </c>
      <c r="E12" s="43"/>
      <c r="F12" s="355">
        <v>37.799999999999997</v>
      </c>
      <c r="G12" s="44">
        <v>2274.2600000000002</v>
      </c>
      <c r="H12" s="45">
        <f t="shared" si="0"/>
        <v>85967.028000000006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19</v>
      </c>
      <c r="N12" s="44">
        <f t="shared" si="1"/>
        <v>2481.0109090909109</v>
      </c>
      <c r="O12" s="47">
        <f t="shared" si="2"/>
        <v>130.57952153110057</v>
      </c>
      <c r="P12" s="48">
        <f t="shared" si="3"/>
        <v>0</v>
      </c>
      <c r="Q12" s="49">
        <f t="shared" si="4"/>
        <v>-11.525741626794172</v>
      </c>
      <c r="R12" s="424">
        <f t="shared" si="5"/>
        <v>0.91889292929292987</v>
      </c>
      <c r="S12" s="603"/>
      <c r="T12" s="89">
        <v>0.71805555555555545</v>
      </c>
      <c r="U12" s="89">
        <v>0.75624999999999987</v>
      </c>
      <c r="V12" s="422">
        <v>7</v>
      </c>
      <c r="W12" s="433">
        <f t="shared" si="8"/>
        <v>54.999999999999964</v>
      </c>
      <c r="X12" s="53"/>
      <c r="Y12" s="53"/>
      <c r="Z12" s="54"/>
      <c r="AA12" s="54"/>
      <c r="AB12" s="588"/>
      <c r="AC12" s="588"/>
      <c r="AD12" s="420">
        <v>1</v>
      </c>
      <c r="AE12" s="420"/>
      <c r="AF12" s="48">
        <f t="shared" si="6"/>
        <v>-218.9890909090891</v>
      </c>
      <c r="AG12" s="424">
        <f t="shared" si="7"/>
        <v>0.91889292929292998</v>
      </c>
      <c r="AH12" s="603"/>
    </row>
    <row r="13" spans="1:34" ht="19.2" customHeight="1">
      <c r="A13" s="601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2" customHeight="1">
      <c r="A14" s="601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2" customHeight="1">
      <c r="A15" s="601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2" customHeight="1">
      <c r="A16" s="601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2" customHeight="1">
      <c r="A17" s="601"/>
      <c r="B17" s="69">
        <v>0</v>
      </c>
      <c r="C17" s="69" t="s">
        <v>242</v>
      </c>
      <c r="D17" s="608" t="s">
        <v>243</v>
      </c>
      <c r="E17" s="608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18.375</v>
      </c>
      <c r="N17" s="70">
        <f t="shared" si="9"/>
        <v>2400.7539354189016</v>
      </c>
      <c r="O17" s="73">
        <f t="shared" si="9"/>
        <v>131.23138621393838</v>
      </c>
      <c r="P17" s="65">
        <f t="shared" ref="P17:P28" si="10">M17-J17</f>
        <v>0.125</v>
      </c>
      <c r="Q17" s="74">
        <f t="shared" ref="Q17:Q24" si="11">O17-L17</f>
        <v>-11.507261876876896</v>
      </c>
      <c r="R17" s="75">
        <f>O17/L17</f>
        <v>0.91938229743106736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2</v>
      </c>
      <c r="AE17" s="79">
        <f>SUM(AE5:AE16)</f>
        <v>0</v>
      </c>
      <c r="AF17" s="65">
        <f t="shared" si="6"/>
        <v>-186.74606458109838</v>
      </c>
      <c r="AG17" s="425">
        <f t="shared" si="7"/>
        <v>0.92782760789136298</v>
      </c>
      <c r="AH17" s="603"/>
    </row>
    <row r="18" spans="1:34" ht="19.2" customHeight="1">
      <c r="A18" s="610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3849.9500000000003</v>
      </c>
      <c r="H18" s="84">
        <f t="shared" ref="H18:H29" si="12">F18*G18</f>
        <v>141909.15700000001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2179.2169811320759</v>
      </c>
      <c r="O18" s="86">
        <f t="shared" ref="O18:O24" si="14">N18/M18</f>
        <v>121.06761006289311</v>
      </c>
      <c r="P18" s="54">
        <f t="shared" si="10"/>
        <v>1</v>
      </c>
      <c r="Q18" s="88">
        <f t="shared" si="11"/>
        <v>-11.28533111357747</v>
      </c>
      <c r="R18" s="421">
        <f t="shared" ref="R18:R24" si="15">O18/L18</f>
        <v>0.91473305380852576</v>
      </c>
      <c r="S18" s="611">
        <f>R30</f>
        <v>0.89383486866219208</v>
      </c>
      <c r="T18" s="89">
        <v>0.16666666666666666</v>
      </c>
      <c r="U18" s="89">
        <v>0.24027777777777776</v>
      </c>
      <c r="V18" s="420">
        <v>5</v>
      </c>
      <c r="W18" s="90">
        <f>(U18-T18)*24*60</f>
        <v>105.99999999999999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-70.783018867924056</v>
      </c>
      <c r="AG18" s="92">
        <f t="shared" si="7"/>
        <v>0.96854088050314491</v>
      </c>
      <c r="AH18" s="612">
        <f>AG30</f>
        <v>0.92418128988150794</v>
      </c>
    </row>
    <row r="19" spans="1:34" ht="19.2" customHeight="1">
      <c r="A19" s="610"/>
      <c r="B19" s="430" t="s">
        <v>129</v>
      </c>
      <c r="C19" s="429"/>
      <c r="D19" s="82" t="s">
        <v>62</v>
      </c>
      <c r="E19" s="83"/>
      <c r="F19" s="355">
        <v>38.39</v>
      </c>
      <c r="G19" s="57">
        <v>1673.75</v>
      </c>
      <c r="H19" s="84">
        <f t="shared" si="12"/>
        <v>64255.262500000004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1434.6428571428576</v>
      </c>
      <c r="O19" s="95">
        <f t="shared" si="14"/>
        <v>84.390756302521027</v>
      </c>
      <c r="P19" s="54">
        <f t="shared" si="10"/>
        <v>1</v>
      </c>
      <c r="Q19" s="88">
        <f t="shared" si="11"/>
        <v>-17.859243697478973</v>
      </c>
      <c r="R19" s="421">
        <f t="shared" si="15"/>
        <v>0.82533746995130586</v>
      </c>
      <c r="S19" s="611"/>
      <c r="T19" s="89">
        <v>0.25624999999999998</v>
      </c>
      <c r="U19" s="89">
        <v>0.30486111111111108</v>
      </c>
      <c r="V19" s="420">
        <v>23</v>
      </c>
      <c r="W19" s="90">
        <f>(U19-T19)*24*60</f>
        <v>69.999999999999986</v>
      </c>
      <c r="X19" s="96">
        <v>0.24444444444444446</v>
      </c>
      <c r="Y19" s="96">
        <v>0.25555555555555559</v>
      </c>
      <c r="Z19" s="54"/>
      <c r="AA19" s="54"/>
      <c r="AB19" s="588"/>
      <c r="AC19" s="588"/>
      <c r="AD19" s="420"/>
      <c r="AE19" s="420"/>
      <c r="AF19" s="48">
        <f t="shared" si="6"/>
        <v>-201.35714285714243</v>
      </c>
      <c r="AG19" s="424">
        <f t="shared" si="7"/>
        <v>0.87692106182326257</v>
      </c>
      <c r="AH19" s="613"/>
    </row>
    <row r="20" spans="1:34" ht="19.2" customHeight="1">
      <c r="A20" s="610"/>
      <c r="B20" s="430" t="s">
        <v>129</v>
      </c>
      <c r="C20" s="55"/>
      <c r="D20" s="42" t="s">
        <v>186</v>
      </c>
      <c r="E20" s="83"/>
      <c r="F20" s="355">
        <v>56.43</v>
      </c>
      <c r="G20" s="57">
        <v>1506.05</v>
      </c>
      <c r="H20" s="84">
        <f t="shared" si="12"/>
        <v>84986.401499999993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1390.1999999999996</v>
      </c>
      <c r="O20" s="95">
        <f t="shared" si="14"/>
        <v>81.77647058823527</v>
      </c>
      <c r="P20" s="54">
        <f t="shared" si="10"/>
        <v>1</v>
      </c>
      <c r="Q20" s="88">
        <f t="shared" si="11"/>
        <v>-11.97352941176473</v>
      </c>
      <c r="R20" s="421">
        <f t="shared" si="15"/>
        <v>0.87228235294117618</v>
      </c>
      <c r="S20" s="611"/>
      <c r="T20" s="89">
        <v>0.30972222222222218</v>
      </c>
      <c r="U20" s="89">
        <v>0.35486111111111107</v>
      </c>
      <c r="V20" s="420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588"/>
      <c r="AC20" s="588"/>
      <c r="AD20" s="420">
        <v>1</v>
      </c>
      <c r="AE20" s="420"/>
      <c r="AF20" s="91">
        <f t="shared" si="6"/>
        <v>-109.80000000000041</v>
      </c>
      <c r="AG20" s="92">
        <f t="shared" si="7"/>
        <v>0.92679999999999974</v>
      </c>
      <c r="AH20" s="613"/>
    </row>
    <row r="21" spans="1:34" ht="19.2" customHeight="1">
      <c r="A21" s="610"/>
      <c r="B21" s="430" t="s">
        <v>130</v>
      </c>
      <c r="C21" s="97"/>
      <c r="D21" s="98" t="s">
        <v>61</v>
      </c>
      <c r="E21" s="43"/>
      <c r="F21" s="355">
        <v>43.14</v>
      </c>
      <c r="G21" s="44">
        <v>1362.4</v>
      </c>
      <c r="H21" s="84">
        <f t="shared" si="12"/>
        <v>58773.936000000002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1409.3793103448268</v>
      </c>
      <c r="O21" s="95">
        <f t="shared" si="14"/>
        <v>88.086206896551673</v>
      </c>
      <c r="P21" s="54">
        <f t="shared" si="10"/>
        <v>0</v>
      </c>
      <c r="Q21" s="88">
        <f t="shared" si="11"/>
        <v>-1.9137931034483273</v>
      </c>
      <c r="R21" s="421">
        <f t="shared" si="15"/>
        <v>0.97873563218390747</v>
      </c>
      <c r="S21" s="611"/>
      <c r="T21" s="89">
        <v>0.35972222222222217</v>
      </c>
      <c r="U21" s="89">
        <v>0.39999999999999997</v>
      </c>
      <c r="V21" s="420">
        <v>7</v>
      </c>
      <c r="W21" s="90">
        <f t="shared" si="16"/>
        <v>58.000000000000036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-30.620689655173237</v>
      </c>
      <c r="AG21" s="424">
        <f t="shared" si="7"/>
        <v>0.97873563218390747</v>
      </c>
      <c r="AH21" s="614"/>
    </row>
    <row r="22" spans="1:34" ht="19.2" customHeight="1">
      <c r="A22" s="610"/>
      <c r="B22" s="430" t="s">
        <v>129</v>
      </c>
      <c r="C22" s="97"/>
      <c r="D22" s="42" t="s">
        <v>210</v>
      </c>
      <c r="E22" s="43"/>
      <c r="F22" s="355">
        <v>44.3</v>
      </c>
      <c r="G22" s="44">
        <v>2802.8</v>
      </c>
      <c r="H22" s="84">
        <f t="shared" si="12"/>
        <v>124164.04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1413.1764705882358</v>
      </c>
      <c r="O22" s="95">
        <f t="shared" si="14"/>
        <v>83.128027681660924</v>
      </c>
      <c r="P22" s="54">
        <f t="shared" si="10"/>
        <v>0</v>
      </c>
      <c r="Q22" s="88">
        <f t="shared" si="11"/>
        <v>-13.107266435986134</v>
      </c>
      <c r="R22" s="421">
        <f t="shared" si="15"/>
        <v>0.86379979864806589</v>
      </c>
      <c r="S22" s="611"/>
      <c r="T22" s="89">
        <v>0.41527777777777775</v>
      </c>
      <c r="U22" s="89">
        <v>0.49791666666666662</v>
      </c>
      <c r="V22" s="420">
        <v>22</v>
      </c>
      <c r="W22" s="90">
        <f t="shared" si="16"/>
        <v>118.99999999999997</v>
      </c>
      <c r="X22" s="96">
        <v>0.40416666666666662</v>
      </c>
      <c r="Y22" s="96">
        <v>0.41388888888888892</v>
      </c>
      <c r="Z22" s="54"/>
      <c r="AA22" s="54"/>
      <c r="AB22" s="588"/>
      <c r="AC22" s="588"/>
      <c r="AD22" s="420"/>
      <c r="AE22" s="420"/>
      <c r="AF22" s="91">
        <f t="shared" si="6"/>
        <v>-222.82352941176418</v>
      </c>
      <c r="AG22" s="92">
        <f t="shared" si="7"/>
        <v>0.86379979864806589</v>
      </c>
      <c r="AH22" s="614"/>
    </row>
    <row r="23" spans="1:34" ht="19.2" customHeight="1">
      <c r="A23" s="610"/>
      <c r="B23" s="430" t="s">
        <v>127</v>
      </c>
      <c r="C23" s="97"/>
      <c r="D23" s="42" t="s">
        <v>55</v>
      </c>
      <c r="E23" s="43"/>
      <c r="F23" s="355">
        <v>37.799999999999997</v>
      </c>
      <c r="G23" s="44">
        <v>4414.74</v>
      </c>
      <c r="H23" s="84">
        <f t="shared" si="12"/>
        <v>166877.17199999999</v>
      </c>
      <c r="I23" s="422">
        <v>1</v>
      </c>
      <c r="J23" s="93">
        <v>19</v>
      </c>
      <c r="K23" s="44">
        <v>2700</v>
      </c>
      <c r="L23" s="47">
        <v>142.10526315789474</v>
      </c>
      <c r="M23" s="434">
        <v>19</v>
      </c>
      <c r="N23" s="94">
        <f t="shared" si="13"/>
        <v>2386.3459459459441</v>
      </c>
      <c r="O23" s="95">
        <f t="shared" si="14"/>
        <v>125.59715504978654</v>
      </c>
      <c r="P23" s="54">
        <f t="shared" si="10"/>
        <v>0</v>
      </c>
      <c r="Q23" s="88">
        <f t="shared" si="11"/>
        <v>-16.508108108108203</v>
      </c>
      <c r="R23" s="421">
        <f t="shared" si="15"/>
        <v>0.88383183183183112</v>
      </c>
      <c r="S23" s="611"/>
      <c r="T23" s="89">
        <v>0.53819444444444442</v>
      </c>
      <c r="U23" s="89">
        <v>0.61527777777777781</v>
      </c>
      <c r="V23" s="420">
        <v>5</v>
      </c>
      <c r="W23" s="90">
        <f t="shared" si="16"/>
        <v>111.00000000000009</v>
      </c>
      <c r="X23" s="96"/>
      <c r="Y23" s="96"/>
      <c r="Z23" s="54"/>
      <c r="AA23" s="54"/>
      <c r="AB23" s="588"/>
      <c r="AC23" s="588"/>
      <c r="AD23" s="420"/>
      <c r="AE23" s="420">
        <v>1</v>
      </c>
      <c r="AF23" s="48">
        <f t="shared" si="6"/>
        <v>-313.6540540540559</v>
      </c>
      <c r="AG23" s="424">
        <f t="shared" si="7"/>
        <v>0.88383183183183112</v>
      </c>
      <c r="AH23" s="614"/>
    </row>
    <row r="24" spans="1:34" ht="19.2" customHeight="1">
      <c r="A24" s="610"/>
      <c r="B24" s="430" t="s">
        <v>127</v>
      </c>
      <c r="C24" s="81"/>
      <c r="D24" s="82" t="s">
        <v>60</v>
      </c>
      <c r="E24" s="83"/>
      <c r="F24" s="355">
        <v>36.86</v>
      </c>
      <c r="G24" s="57">
        <v>2073.0499999999997</v>
      </c>
      <c r="H24" s="84">
        <f t="shared" si="12"/>
        <v>76412.622999999992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2182.1578947368434</v>
      </c>
      <c r="O24" s="95">
        <f t="shared" si="14"/>
        <v>121.23099415204686</v>
      </c>
      <c r="P24" s="54">
        <f t="shared" si="10"/>
        <v>1</v>
      </c>
      <c r="Q24" s="88">
        <f t="shared" si="11"/>
        <v>-11.121947024423719</v>
      </c>
      <c r="R24" s="421">
        <f t="shared" si="15"/>
        <v>0.91596751137102084</v>
      </c>
      <c r="S24" s="611"/>
      <c r="T24" s="89">
        <v>0.63055555555555554</v>
      </c>
      <c r="U24" s="89">
        <v>0.67013888888888884</v>
      </c>
      <c r="V24" s="420">
        <v>22</v>
      </c>
      <c r="W24" s="90">
        <f t="shared" si="16"/>
        <v>56.999999999999957</v>
      </c>
      <c r="X24" s="96">
        <v>0.61944444444444446</v>
      </c>
      <c r="Y24" s="96">
        <v>0.62916666666666665</v>
      </c>
      <c r="Z24" s="54"/>
      <c r="AA24" s="54"/>
      <c r="AB24" s="588"/>
      <c r="AC24" s="588"/>
      <c r="AD24" s="420"/>
      <c r="AE24" s="420"/>
      <c r="AF24" s="91">
        <f t="shared" si="6"/>
        <v>-67.842105263156554</v>
      </c>
      <c r="AG24" s="92">
        <f t="shared" si="7"/>
        <v>0.96984795321637485</v>
      </c>
      <c r="AH24" s="614"/>
    </row>
    <row r="25" spans="1:34" ht="19.2" customHeight="1">
      <c r="A25" s="610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2" customHeight="1">
      <c r="A26" s="610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2" customHeight="1">
      <c r="A27" s="610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2" customHeight="1">
      <c r="A28" s="610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2" customHeight="1">
      <c r="A29" s="610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2" customHeight="1">
      <c r="A30" s="610"/>
      <c r="B30" s="99">
        <v>0</v>
      </c>
      <c r="C30" s="100" t="s">
        <v>245</v>
      </c>
      <c r="D30" s="609" t="s">
        <v>243</v>
      </c>
      <c r="E30" s="609"/>
      <c r="F30" s="359"/>
      <c r="G30" s="101"/>
      <c r="H30" s="102"/>
      <c r="I30" s="103"/>
      <c r="J30" s="101">
        <v>16.857142857142858</v>
      </c>
      <c r="K30" s="101">
        <v>1916</v>
      </c>
      <c r="L30" s="104">
        <v>112.72091994692614</v>
      </c>
      <c r="M30" s="101">
        <f t="shared" ref="M30:O30" si="17">AVERAGE(M18:M29)</f>
        <v>17.428571428571427</v>
      </c>
      <c r="N30" s="101">
        <f t="shared" si="17"/>
        <v>1770.7313514129692</v>
      </c>
      <c r="O30" s="104">
        <f t="shared" si="17"/>
        <v>100.7538886762422</v>
      </c>
      <c r="P30" s="54">
        <f t="shared" ref="P30:P38" si="18">M30-J30</f>
        <v>0.5714285714285694</v>
      </c>
      <c r="Q30" s="88">
        <f t="shared" ref="Q30:Q38" si="19">O30-L30</f>
        <v>-11.967031270683947</v>
      </c>
      <c r="R30" s="105">
        <f t="shared" ref="R30:R38" si="20">O30/L30</f>
        <v>0.89383486866219208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1</v>
      </c>
      <c r="AF30" s="108">
        <f t="shared" si="6"/>
        <v>-145.26864858703084</v>
      </c>
      <c r="AG30" s="109">
        <f t="shared" ref="AG30" si="21">N30/K30</f>
        <v>0.92418128988150794</v>
      </c>
      <c r="AH30" s="615"/>
    </row>
    <row r="31" spans="1:34" ht="19.2" customHeight="1">
      <c r="A31" s="618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1702.08</v>
      </c>
      <c r="H31" s="112">
        <f t="shared" ref="H31:H40" si="22">F31*G31</f>
        <v>45105.119999999995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1438.3774647887326</v>
      </c>
      <c r="O31" s="115">
        <f t="shared" ref="O31:O38" si="24">N31/M31</f>
        <v>119.86478873239439</v>
      </c>
      <c r="P31" s="116">
        <f t="shared" si="18"/>
        <v>0</v>
      </c>
      <c r="Q31" s="117">
        <f t="shared" si="19"/>
        <v>-46.801877934272269</v>
      </c>
      <c r="R31" s="423">
        <f t="shared" si="20"/>
        <v>0.71918873239436631</v>
      </c>
      <c r="S31" s="620">
        <f>R43</f>
        <v>0.83889076608069579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-561.6225352112674</v>
      </c>
      <c r="AG31" s="120">
        <f t="shared" si="7"/>
        <v>0.71918873239436631</v>
      </c>
      <c r="AH31" s="616">
        <f>AG43</f>
        <v>0.84749639515560637</v>
      </c>
    </row>
    <row r="32" spans="1:34" ht="19.2" customHeight="1">
      <c r="A32" s="619"/>
      <c r="B32" s="121" t="s">
        <v>131</v>
      </c>
      <c r="C32" s="122"/>
      <c r="D32" s="42" t="s">
        <v>63</v>
      </c>
      <c r="E32" s="43"/>
      <c r="F32" s="355">
        <v>35.33</v>
      </c>
      <c r="G32" s="134">
        <v>2555</v>
      </c>
      <c r="H32" s="84">
        <f t="shared" si="22"/>
        <v>90268.15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1892.5925925925931</v>
      </c>
      <c r="O32" s="47">
        <f t="shared" si="24"/>
        <v>157.71604938271608</v>
      </c>
      <c r="P32" s="116">
        <f t="shared" si="18"/>
        <v>0</v>
      </c>
      <c r="Q32" s="49">
        <f t="shared" si="19"/>
        <v>-18.783950617283921</v>
      </c>
      <c r="R32" s="424">
        <f t="shared" si="20"/>
        <v>0.89357535061028937</v>
      </c>
      <c r="S32" s="611"/>
      <c r="T32" s="89">
        <v>0.17916666666666667</v>
      </c>
      <c r="U32" s="89">
        <v>0.23541666666666666</v>
      </c>
      <c r="V32" s="142">
        <v>7</v>
      </c>
      <c r="W32" s="90">
        <f t="shared" si="25"/>
        <v>80.999999999999986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-225.40740740740694</v>
      </c>
      <c r="AG32" s="424">
        <f t="shared" si="7"/>
        <v>0.89357535061028948</v>
      </c>
      <c r="AH32" s="602"/>
    </row>
    <row r="33" spans="1:34" ht="19.2" customHeight="1">
      <c r="A33" s="61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2095</v>
      </c>
      <c r="H33" s="84">
        <f t="shared" si="22"/>
        <v>71711.849999999991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1848.529411764707</v>
      </c>
      <c r="O33" s="47">
        <f t="shared" si="24"/>
        <v>154.04411764705893</v>
      </c>
      <c r="P33" s="116">
        <f t="shared" si="18"/>
        <v>0</v>
      </c>
      <c r="Q33" s="49">
        <f t="shared" si="19"/>
        <v>-22.455882352941074</v>
      </c>
      <c r="R33" s="424">
        <f t="shared" si="20"/>
        <v>0.87277120479920067</v>
      </c>
      <c r="S33" s="611"/>
      <c r="T33" s="89">
        <v>0.24027777777777778</v>
      </c>
      <c r="U33" s="89">
        <v>0.28749999999999998</v>
      </c>
      <c r="V33" s="142">
        <v>7</v>
      </c>
      <c r="W33" s="90">
        <f t="shared" si="25"/>
        <v>67.999999999999957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-269.47058823529301</v>
      </c>
      <c r="AG33" s="125">
        <f t="shared" si="7"/>
        <v>0.87277120479920067</v>
      </c>
      <c r="AH33" s="602"/>
    </row>
    <row r="34" spans="1:34" ht="19.2" customHeight="1">
      <c r="A34" s="619"/>
      <c r="B34" s="121" t="s">
        <v>132</v>
      </c>
      <c r="C34" s="126"/>
      <c r="D34" s="147" t="s">
        <v>144</v>
      </c>
      <c r="E34" s="83"/>
      <c r="F34" s="355">
        <v>54.09</v>
      </c>
      <c r="G34" s="137">
        <v>773.5</v>
      </c>
      <c r="H34" s="84">
        <f t="shared" si="22"/>
        <v>41838.615000000005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1254.3243243243232</v>
      </c>
      <c r="O34" s="47">
        <f t="shared" si="24"/>
        <v>69.684684684684626</v>
      </c>
      <c r="P34" s="116">
        <f t="shared" si="18"/>
        <v>0</v>
      </c>
      <c r="Q34" s="49">
        <f t="shared" si="19"/>
        <v>-13.648648648648702</v>
      </c>
      <c r="R34" s="424">
        <f t="shared" si="20"/>
        <v>0.83621621621621556</v>
      </c>
      <c r="S34" s="611"/>
      <c r="T34" s="89">
        <v>0.3034722222222222</v>
      </c>
      <c r="U34" s="89">
        <v>0.32916666666666666</v>
      </c>
      <c r="V34" s="137">
        <v>23</v>
      </c>
      <c r="W34" s="90">
        <f t="shared" si="25"/>
        <v>37.000000000000028</v>
      </c>
      <c r="X34" s="123">
        <v>0.29166666666666669</v>
      </c>
      <c r="Y34" s="123">
        <v>0.30277777777777776</v>
      </c>
      <c r="Z34" s="124"/>
      <c r="AA34" s="124"/>
      <c r="AB34" s="588"/>
      <c r="AC34" s="588"/>
      <c r="AD34" s="420">
        <v>1</v>
      </c>
      <c r="AE34" s="420">
        <v>1</v>
      </c>
      <c r="AF34" s="48">
        <f t="shared" si="6"/>
        <v>-245.67567567567676</v>
      </c>
      <c r="AG34" s="125">
        <f t="shared" si="7"/>
        <v>0.83621621621621545</v>
      </c>
      <c r="AH34" s="602"/>
    </row>
    <row r="35" spans="1:34" ht="19.2" customHeight="1">
      <c r="A35" s="619"/>
      <c r="B35" s="121" t="s">
        <v>129</v>
      </c>
      <c r="C35" s="41"/>
      <c r="D35" s="150" t="s">
        <v>189</v>
      </c>
      <c r="E35" s="43"/>
      <c r="F35" s="355">
        <v>56.43</v>
      </c>
      <c r="G35" s="137">
        <v>1495.3200000000002</v>
      </c>
      <c r="H35" s="84">
        <f t="shared" si="22"/>
        <v>84380.907600000006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1300.2782608695654</v>
      </c>
      <c r="O35" s="47">
        <f t="shared" si="24"/>
        <v>76.486956521739145</v>
      </c>
      <c r="P35" s="116">
        <f t="shared" si="18"/>
        <v>0</v>
      </c>
      <c r="Q35" s="49">
        <f t="shared" si="19"/>
        <v>-19.748337595907913</v>
      </c>
      <c r="R35" s="424">
        <f t="shared" si="20"/>
        <v>0.79479111300095695</v>
      </c>
      <c r="S35" s="611"/>
      <c r="T35" s="89">
        <v>0.33402777777777776</v>
      </c>
      <c r="U35" s="89">
        <v>0.38194444444444442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-335.72173913043457</v>
      </c>
      <c r="AG35" s="120">
        <f t="shared" si="7"/>
        <v>0.79479111300095684</v>
      </c>
      <c r="AH35" s="603"/>
    </row>
    <row r="36" spans="1:34" ht="19.2" customHeight="1">
      <c r="A36" s="619"/>
      <c r="B36" s="121" t="s">
        <v>129</v>
      </c>
      <c r="C36" s="128"/>
      <c r="D36" s="150" t="s">
        <v>179</v>
      </c>
      <c r="E36" s="83"/>
      <c r="F36" s="355">
        <v>49.91</v>
      </c>
      <c r="G36" s="134">
        <v>3081.65</v>
      </c>
      <c r="H36" s="84">
        <f t="shared" si="22"/>
        <v>153805.15150000001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1320.707142857143</v>
      </c>
      <c r="O36" s="47">
        <f t="shared" si="24"/>
        <v>88.047142857142873</v>
      </c>
      <c r="P36" s="116">
        <f t="shared" si="18"/>
        <v>0</v>
      </c>
      <c r="Q36" s="49">
        <f t="shared" si="19"/>
        <v>-11.952857142857127</v>
      </c>
      <c r="R36" s="424">
        <f t="shared" si="20"/>
        <v>0.88047142857142868</v>
      </c>
      <c r="S36" s="611"/>
      <c r="T36" s="89">
        <v>0.3972222222222222</v>
      </c>
      <c r="U36" s="89">
        <v>0.49444444444444441</v>
      </c>
      <c r="V36" s="134">
        <v>22</v>
      </c>
      <c r="W36" s="90">
        <f t="shared" si="25"/>
        <v>139.99999999999997</v>
      </c>
      <c r="X36" s="123">
        <v>0.38611111111111113</v>
      </c>
      <c r="Y36" s="123">
        <v>0.39583333333333331</v>
      </c>
      <c r="Z36" s="124"/>
      <c r="AA36" s="124"/>
      <c r="AB36" s="588"/>
      <c r="AC36" s="588"/>
      <c r="AD36" s="420"/>
      <c r="AE36" s="420"/>
      <c r="AF36" s="48">
        <f t="shared" si="6"/>
        <v>-179.29285714285697</v>
      </c>
      <c r="AG36" s="424">
        <f t="shared" si="7"/>
        <v>0.88047142857142868</v>
      </c>
      <c r="AH36" s="603"/>
    </row>
    <row r="37" spans="1:34" ht="19.2" customHeight="1">
      <c r="A37" s="619"/>
      <c r="B37" s="121" t="s">
        <v>127</v>
      </c>
      <c r="C37" s="128"/>
      <c r="D37" s="150" t="s">
        <v>54</v>
      </c>
      <c r="E37" s="83"/>
      <c r="F37" s="355">
        <v>38.479999999999997</v>
      </c>
      <c r="G37" s="134">
        <v>4065</v>
      </c>
      <c r="H37" s="84">
        <f t="shared" si="22"/>
        <v>156421.19999999998</v>
      </c>
      <c r="I37" s="420"/>
      <c r="J37" s="46">
        <v>18</v>
      </c>
      <c r="K37" s="44">
        <v>2700</v>
      </c>
      <c r="L37" s="47">
        <v>150</v>
      </c>
      <c r="M37" s="149">
        <v>19</v>
      </c>
      <c r="N37" s="44">
        <f t="shared" si="23"/>
        <v>2391.1764705882365</v>
      </c>
      <c r="O37" s="47">
        <f t="shared" si="24"/>
        <v>125.85139318885456</v>
      </c>
      <c r="P37" s="116">
        <f t="shared" si="18"/>
        <v>1</v>
      </c>
      <c r="Q37" s="49">
        <f t="shared" si="19"/>
        <v>-24.148606811145441</v>
      </c>
      <c r="R37" s="424">
        <f t="shared" si="20"/>
        <v>0.83900928792569707</v>
      </c>
      <c r="S37" s="611"/>
      <c r="T37" s="89">
        <v>0.53472222222222221</v>
      </c>
      <c r="U37" s="89">
        <v>0.60555555555555551</v>
      </c>
      <c r="V37" s="134">
        <v>5</v>
      </c>
      <c r="W37" s="90">
        <f t="shared" si="25"/>
        <v>101.99999999999996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-308.8235294117635</v>
      </c>
      <c r="AG37" s="125">
        <f t="shared" si="7"/>
        <v>0.88562091503268014</v>
      </c>
      <c r="AH37" s="603"/>
    </row>
    <row r="38" spans="1:34" ht="19.2" customHeight="1">
      <c r="A38" s="619"/>
      <c r="B38" s="121" t="s">
        <v>129</v>
      </c>
      <c r="C38" s="128"/>
      <c r="D38" s="150" t="s">
        <v>179</v>
      </c>
      <c r="E38" s="83"/>
      <c r="F38" s="355">
        <v>49.91</v>
      </c>
      <c r="G38" s="134">
        <v>1659.35</v>
      </c>
      <c r="H38" s="84">
        <f t="shared" si="22"/>
        <v>82818.15849999999</v>
      </c>
      <c r="I38" s="420">
        <v>1</v>
      </c>
      <c r="J38" s="46">
        <v>15</v>
      </c>
      <c r="K38" s="44">
        <v>1500</v>
      </c>
      <c r="L38" s="47">
        <v>100</v>
      </c>
      <c r="M38" s="149">
        <v>15</v>
      </c>
      <c r="N38" s="44">
        <f t="shared" si="23"/>
        <v>1327.4799999999989</v>
      </c>
      <c r="O38" s="47">
        <f t="shared" si="24"/>
        <v>88.498666666666594</v>
      </c>
      <c r="P38" s="116">
        <f t="shared" si="18"/>
        <v>0</v>
      </c>
      <c r="Q38" s="49">
        <f t="shared" si="19"/>
        <v>-11.501333333333406</v>
      </c>
      <c r="R38" s="424">
        <f t="shared" si="20"/>
        <v>0.88498666666666592</v>
      </c>
      <c r="S38" s="611"/>
      <c r="T38" s="151">
        <v>0.62152777777777768</v>
      </c>
      <c r="U38" s="151">
        <v>0.67361111111111105</v>
      </c>
      <c r="V38" s="134">
        <v>23</v>
      </c>
      <c r="W38" s="90">
        <f t="shared" si="25"/>
        <v>75.000000000000057</v>
      </c>
      <c r="X38" s="123">
        <v>0.60972222222222217</v>
      </c>
      <c r="Y38" s="123">
        <v>0.62083333333333335</v>
      </c>
      <c r="Z38" s="124"/>
      <c r="AA38" s="124"/>
      <c r="AB38" s="588"/>
      <c r="AC38" s="588"/>
      <c r="AD38" s="420"/>
      <c r="AE38" s="420"/>
      <c r="AF38" s="48">
        <f t="shared" si="6"/>
        <v>-172.52000000000112</v>
      </c>
      <c r="AG38" s="125">
        <f t="shared" si="7"/>
        <v>0.88498666666666592</v>
      </c>
      <c r="AH38" s="603"/>
    </row>
    <row r="39" spans="1:34" ht="19.2" customHeight="1">
      <c r="A39" s="61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2" customHeight="1">
      <c r="A40" s="61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2" customHeight="1">
      <c r="A41" s="61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2" customHeight="1">
      <c r="A42" s="61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2" customHeight="1">
      <c r="A43" s="619"/>
      <c r="B43" s="121">
        <v>0</v>
      </c>
      <c r="C43" s="100" t="s">
        <v>247</v>
      </c>
      <c r="D43" s="617" t="s">
        <v>243</v>
      </c>
      <c r="E43" s="617"/>
      <c r="F43" s="359"/>
      <c r="G43" s="101"/>
      <c r="H43" s="102"/>
      <c r="I43" s="103"/>
      <c r="J43" s="101">
        <v>14.875</v>
      </c>
      <c r="K43" s="101">
        <v>1884</v>
      </c>
      <c r="L43" s="104">
        <v>131.15441176470588</v>
      </c>
      <c r="M43" s="101">
        <f t="shared" ref="M43:O43" si="26">AVERAGE(M31:M42)</f>
        <v>15</v>
      </c>
      <c r="N43" s="101">
        <f t="shared" si="26"/>
        <v>1596.6832084731625</v>
      </c>
      <c r="O43" s="104">
        <f t="shared" si="26"/>
        <v>110.02422496015714</v>
      </c>
      <c r="P43" s="54">
        <f>M43-J43</f>
        <v>0.125</v>
      </c>
      <c r="Q43" s="88">
        <f>N43-K43</f>
        <v>-287.31679152683751</v>
      </c>
      <c r="R43" s="105">
        <f t="shared" ref="R43:R50" si="27">O43/L43</f>
        <v>0.83889076608069579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-287.31679152683751</v>
      </c>
      <c r="AG43" s="425">
        <f t="shared" si="7"/>
        <v>0.84749639515560637</v>
      </c>
      <c r="AH43" s="603"/>
    </row>
    <row r="44" spans="1:34" s="145" customFormat="1" ht="19.2" customHeight="1">
      <c r="A44" s="622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2086</v>
      </c>
      <c r="H44" s="45">
        <f>F44*G44</f>
        <v>57365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1564.5</v>
      </c>
      <c r="O44" s="138">
        <f t="shared" ref="O44:O50" si="30">N44/M44</f>
        <v>130.375</v>
      </c>
      <c r="P44" s="51">
        <f t="shared" ref="P44:P50" si="31">M44-J44</f>
        <v>0</v>
      </c>
      <c r="Q44" s="139">
        <f t="shared" ref="Q44:Q50" si="32">O44-L44</f>
        <v>-36.291666666666657</v>
      </c>
      <c r="R44" s="140">
        <f t="shared" si="27"/>
        <v>0.78225</v>
      </c>
      <c r="S44" s="602">
        <f>R56</f>
        <v>0.91160038478264482</v>
      </c>
      <c r="T44" s="118">
        <v>0.125</v>
      </c>
      <c r="U44" s="118">
        <v>0.18055555555555555</v>
      </c>
      <c r="V44" s="142">
        <v>5</v>
      </c>
      <c r="W44" s="143">
        <f t="shared" ref="W44:W56" si="33">(U44-T44)*24*60</f>
        <v>80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-435.5</v>
      </c>
      <c r="AG44" s="428">
        <f t="shared" si="7"/>
        <v>0.78225</v>
      </c>
      <c r="AH44" s="625">
        <f>AG56</f>
        <v>0.98129188180471216</v>
      </c>
    </row>
    <row r="45" spans="1:34" s="145" customFormat="1" ht="19.2" customHeight="1">
      <c r="A45" s="623"/>
      <c r="B45" s="97" t="s">
        <v>131</v>
      </c>
      <c r="C45" s="133"/>
      <c r="D45" s="42" t="s">
        <v>76</v>
      </c>
      <c r="E45" s="43"/>
      <c r="F45" s="362">
        <v>24.73</v>
      </c>
      <c r="G45" s="134">
        <v>2479</v>
      </c>
      <c r="H45" s="45">
        <f>F45*G45</f>
        <v>61305.67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2187.3529411764703</v>
      </c>
      <c r="O45" s="138">
        <f t="shared" si="30"/>
        <v>437.47058823529403</v>
      </c>
      <c r="P45" s="51">
        <f t="shared" si="31"/>
        <v>1</v>
      </c>
      <c r="Q45" s="139">
        <f t="shared" si="32"/>
        <v>-62.529411764705969</v>
      </c>
      <c r="R45" s="140">
        <f t="shared" si="27"/>
        <v>0.87494117647058811</v>
      </c>
      <c r="S45" s="602"/>
      <c r="T45" s="89">
        <v>0.18402777777777776</v>
      </c>
      <c r="U45" s="89">
        <v>0.23124999999999998</v>
      </c>
      <c r="V45" s="142">
        <v>5</v>
      </c>
      <c r="W45" s="143">
        <f t="shared" si="33"/>
        <v>68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187.35294117647027</v>
      </c>
      <c r="AG45" s="428">
        <f t="shared" si="7"/>
        <v>1.0936764705882351</v>
      </c>
      <c r="AH45" s="625"/>
    </row>
    <row r="46" spans="1:34" s="145" customFormat="1" ht="19.2" customHeight="1">
      <c r="A46" s="623"/>
      <c r="B46" s="97" t="s">
        <v>131</v>
      </c>
      <c r="C46" s="133"/>
      <c r="D46" s="42" t="s">
        <v>77</v>
      </c>
      <c r="E46" s="43"/>
      <c r="F46" s="362">
        <v>24.73</v>
      </c>
      <c r="G46" s="134">
        <v>2383</v>
      </c>
      <c r="H46" s="45">
        <f t="shared" ref="H46:H51" si="34">F46*G46</f>
        <v>58931.590000000004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2166.3636363636374</v>
      </c>
      <c r="O46" s="138">
        <f t="shared" si="30"/>
        <v>433.27272727272748</v>
      </c>
      <c r="P46" s="51">
        <f t="shared" si="31"/>
        <v>1</v>
      </c>
      <c r="Q46" s="139">
        <f t="shared" si="32"/>
        <v>-66.727272727272521</v>
      </c>
      <c r="R46" s="140">
        <f t="shared" si="27"/>
        <v>0.86654545454545495</v>
      </c>
      <c r="S46" s="602"/>
      <c r="T46" s="89">
        <v>0.23472222222222219</v>
      </c>
      <c r="U46" s="89">
        <v>0.2805555555555555</v>
      </c>
      <c r="V46" s="142">
        <v>5</v>
      </c>
      <c r="W46" s="143">
        <f t="shared" si="33"/>
        <v>65.999999999999972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166.3636363636374</v>
      </c>
      <c r="AG46" s="428">
        <f t="shared" si="7"/>
        <v>1.0831818181818187</v>
      </c>
      <c r="AH46" s="625"/>
    </row>
    <row r="47" spans="1:34" s="145" customFormat="1" ht="19.2" customHeight="1">
      <c r="A47" s="623"/>
      <c r="B47" s="97" t="s">
        <v>130</v>
      </c>
      <c r="C47" s="133"/>
      <c r="D47" s="42" t="s">
        <v>67</v>
      </c>
      <c r="E47" s="148"/>
      <c r="F47" s="362">
        <v>31.43</v>
      </c>
      <c r="G47" s="137">
        <v>1849</v>
      </c>
      <c r="H47" s="45">
        <f t="shared" si="34"/>
        <v>58114.07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1459.7368421052638</v>
      </c>
      <c r="O47" s="138">
        <f t="shared" si="30"/>
        <v>208.53383458646627</v>
      </c>
      <c r="P47" s="51">
        <f t="shared" si="31"/>
        <v>0</v>
      </c>
      <c r="Q47" s="139">
        <f t="shared" si="32"/>
        <v>-5.7518796992480077</v>
      </c>
      <c r="R47" s="140">
        <f t="shared" si="27"/>
        <v>0.97315789473684267</v>
      </c>
      <c r="S47" s="602"/>
      <c r="T47" s="89">
        <v>0.28402777777777771</v>
      </c>
      <c r="U47" s="89">
        <v>0.33680555555555547</v>
      </c>
      <c r="V47" s="137">
        <v>5</v>
      </c>
      <c r="W47" s="143">
        <f t="shared" si="33"/>
        <v>75.999999999999972</v>
      </c>
      <c r="X47" s="123"/>
      <c r="Y47" s="123"/>
      <c r="Z47" s="124"/>
      <c r="AA47" s="124"/>
      <c r="AB47" s="588"/>
      <c r="AC47" s="588"/>
      <c r="AD47" s="420"/>
      <c r="AE47" s="420">
        <v>1</v>
      </c>
      <c r="AF47" s="144">
        <f t="shared" si="28"/>
        <v>-40.263157894736196</v>
      </c>
      <c r="AG47" s="428">
        <f t="shared" si="7"/>
        <v>0.97315789473684255</v>
      </c>
      <c r="AH47" s="625"/>
    </row>
    <row r="48" spans="1:34" s="145" customFormat="1" ht="19.2" customHeight="1">
      <c r="A48" s="623"/>
      <c r="B48" s="97" t="s">
        <v>130</v>
      </c>
      <c r="C48" s="133"/>
      <c r="D48" s="42" t="s">
        <v>178</v>
      </c>
      <c r="E48" s="148"/>
      <c r="F48" s="362">
        <v>11.86</v>
      </c>
      <c r="G48" s="137">
        <v>1840</v>
      </c>
      <c r="H48" s="45">
        <f t="shared" si="34"/>
        <v>21822.399999999998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1472.0000000000005</v>
      </c>
      <c r="O48" s="138">
        <f t="shared" si="30"/>
        <v>245.3333333333334</v>
      </c>
      <c r="P48" s="51">
        <f t="shared" si="31"/>
        <v>0</v>
      </c>
      <c r="Q48" s="139">
        <f t="shared" si="32"/>
        <v>-4.6666666666666003</v>
      </c>
      <c r="R48" s="140">
        <f t="shared" si="27"/>
        <v>0.98133333333333361</v>
      </c>
      <c r="S48" s="602"/>
      <c r="T48" s="89">
        <v>0.35416666666666657</v>
      </c>
      <c r="U48" s="89">
        <v>0.40624999999999989</v>
      </c>
      <c r="V48" s="134">
        <v>25</v>
      </c>
      <c r="W48" s="143">
        <f t="shared" si="33"/>
        <v>74.999999999999972</v>
      </c>
      <c r="X48" s="123">
        <v>0.34166666666666662</v>
      </c>
      <c r="Y48" s="123">
        <v>0.3527777777777778</v>
      </c>
      <c r="Z48" s="124"/>
      <c r="AA48" s="124"/>
      <c r="AB48" s="588"/>
      <c r="AC48" s="588"/>
      <c r="AD48" s="420"/>
      <c r="AE48" s="420"/>
      <c r="AF48" s="144">
        <f t="shared" si="28"/>
        <v>-27.999999999999545</v>
      </c>
      <c r="AG48" s="428">
        <f t="shared" si="7"/>
        <v>0.98133333333333361</v>
      </c>
      <c r="AH48" s="625"/>
    </row>
    <row r="49" spans="1:34" s="145" customFormat="1" ht="19.2" customHeight="1">
      <c r="A49" s="623"/>
      <c r="B49" s="97" t="s">
        <v>132</v>
      </c>
      <c r="C49" s="133"/>
      <c r="D49" s="42" t="s">
        <v>66</v>
      </c>
      <c r="E49" s="148"/>
      <c r="F49" s="362">
        <v>10.09</v>
      </c>
      <c r="G49" s="134">
        <v>3646.75</v>
      </c>
      <c r="H49" s="45">
        <f t="shared" si="34"/>
        <v>36795.707499999997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1458.7000000000005</v>
      </c>
      <c r="O49" s="138">
        <f t="shared" si="30"/>
        <v>243.11666666666676</v>
      </c>
      <c r="P49" s="51">
        <f t="shared" si="31"/>
        <v>0</v>
      </c>
      <c r="Q49" s="139">
        <f t="shared" si="32"/>
        <v>-6.8833333333332405</v>
      </c>
      <c r="R49" s="140">
        <f t="shared" si="27"/>
        <v>0.97246666666666703</v>
      </c>
      <c r="S49" s="602"/>
      <c r="T49" s="89">
        <v>0.41180555555555542</v>
      </c>
      <c r="U49" s="89">
        <v>0.51597222222222205</v>
      </c>
      <c r="V49" s="134">
        <v>8</v>
      </c>
      <c r="W49" s="143">
        <f t="shared" si="33"/>
        <v>149.99999999999994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-41.2999999999995</v>
      </c>
      <c r="AG49" s="428">
        <f t="shared" si="7"/>
        <v>0.97246666666666703</v>
      </c>
      <c r="AH49" s="625"/>
    </row>
    <row r="50" spans="1:34" s="145" customFormat="1" ht="19.2" customHeight="1">
      <c r="A50" s="623"/>
      <c r="B50" s="97" t="s">
        <v>132</v>
      </c>
      <c r="C50" s="133"/>
      <c r="D50" s="42" t="s">
        <v>66</v>
      </c>
      <c r="E50" s="148"/>
      <c r="F50" s="362">
        <v>10.09</v>
      </c>
      <c r="G50" s="134">
        <v>4376.0999999999995</v>
      </c>
      <c r="H50" s="45">
        <f t="shared" si="34"/>
        <v>44154.848999999995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1466.8491620111729</v>
      </c>
      <c r="O50" s="138">
        <f t="shared" si="30"/>
        <v>244.47486033519547</v>
      </c>
      <c r="P50" s="51">
        <f t="shared" si="31"/>
        <v>0</v>
      </c>
      <c r="Q50" s="139">
        <f t="shared" si="32"/>
        <v>-5.5251396648045272</v>
      </c>
      <c r="R50" s="140">
        <f t="shared" si="27"/>
        <v>0.97789944134078188</v>
      </c>
      <c r="S50" s="602"/>
      <c r="T50" s="89">
        <v>0.5562499999999998</v>
      </c>
      <c r="U50" s="89">
        <v>0.68055555555555536</v>
      </c>
      <c r="V50" s="134">
        <v>5</v>
      </c>
      <c r="W50" s="143">
        <f t="shared" si="33"/>
        <v>179</v>
      </c>
      <c r="X50" s="152"/>
      <c r="Y50" s="152"/>
      <c r="Z50" s="153"/>
      <c r="AA50" s="153"/>
      <c r="AB50" s="588"/>
      <c r="AC50" s="588"/>
      <c r="AD50" s="420">
        <v>1</v>
      </c>
      <c r="AE50" s="420"/>
      <c r="AF50" s="144">
        <f t="shared" si="28"/>
        <v>-33.150837988827107</v>
      </c>
      <c r="AG50" s="428">
        <f t="shared" si="7"/>
        <v>0.97789944134078188</v>
      </c>
      <c r="AH50" s="625"/>
    </row>
    <row r="51" spans="1:34" s="145" customFormat="1" ht="19.2" customHeight="1">
      <c r="A51" s="623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2" customHeight="1">
      <c r="A52" s="623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2" customHeight="1">
      <c r="A53" s="623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2" customHeight="1">
      <c r="A54" s="623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2" customHeight="1">
      <c r="A55" s="623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2" customHeight="1">
      <c r="A56" s="624"/>
      <c r="B56" s="157">
        <v>0</v>
      </c>
      <c r="C56" s="268" t="s">
        <v>249</v>
      </c>
      <c r="D56" s="621" t="s">
        <v>243</v>
      </c>
      <c r="E56" s="617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1682.2146545223636</v>
      </c>
      <c r="O56" s="104">
        <f t="shared" si="35"/>
        <v>277.51100148995477</v>
      </c>
      <c r="P56" s="158">
        <f>M56-J56</f>
        <v>0.28571428571428559</v>
      </c>
      <c r="Q56" s="117">
        <f>N56-K56</f>
        <v>-32.071059763350604</v>
      </c>
      <c r="R56" s="159">
        <f t="shared" ref="R56:R61" si="36">O56/L56</f>
        <v>0.91160038478264482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1</v>
      </c>
      <c r="AF56" s="162">
        <f>N56-K56</f>
        <v>-32.071059763350604</v>
      </c>
      <c r="AG56" s="421">
        <f>N56/K56</f>
        <v>0.98129188180471216</v>
      </c>
      <c r="AH56" s="625"/>
    </row>
    <row r="57" spans="1:34" ht="19.2" customHeight="1">
      <c r="A57" s="628" t="s">
        <v>250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1304</v>
      </c>
      <c r="H57" s="84">
        <f t="shared" ref="H57:H66" si="37">F57*G57</f>
        <v>36851.040000000001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1448.8888888888887</v>
      </c>
      <c r="O57" s="86">
        <f t="shared" ref="O57:O61" si="39">N57/M57</f>
        <v>206.98412698412696</v>
      </c>
      <c r="P57" s="165">
        <f t="shared" ref="P57:P61" si="40">M57-J57</f>
        <v>0</v>
      </c>
      <c r="Q57" s="49">
        <f t="shared" ref="Q57:Q61" si="41">O57-L57</f>
        <v>-7.3015873015873183</v>
      </c>
      <c r="R57" s="424">
        <f t="shared" si="36"/>
        <v>0.96592592592592585</v>
      </c>
      <c r="S57" s="602">
        <f>R69</f>
        <v>0.96598554428063288</v>
      </c>
      <c r="T57" s="50">
        <v>0.16666666666666666</v>
      </c>
      <c r="U57" s="50">
        <v>0.20416666666666666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-51.111111111111313</v>
      </c>
      <c r="AG57" s="423">
        <f t="shared" si="7"/>
        <v>0.96592592592592574</v>
      </c>
      <c r="AH57" s="616">
        <f>AG69</f>
        <v>0.96597998992273371</v>
      </c>
    </row>
    <row r="58" spans="1:34" ht="19.2" customHeight="1">
      <c r="A58" s="619"/>
      <c r="B58" s="121" t="s">
        <v>130</v>
      </c>
      <c r="C58" s="420"/>
      <c r="D58" s="42" t="s">
        <v>69</v>
      </c>
      <c r="E58" s="43"/>
      <c r="F58" s="355">
        <v>27.88</v>
      </c>
      <c r="G58" s="44">
        <v>3579</v>
      </c>
      <c r="H58" s="45">
        <f t="shared" si="37"/>
        <v>99782.51999999999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1450.9459459459458</v>
      </c>
      <c r="O58" s="47">
        <f t="shared" si="39"/>
        <v>207.27799227799227</v>
      </c>
      <c r="P58" s="165">
        <f t="shared" si="40"/>
        <v>0</v>
      </c>
      <c r="Q58" s="49">
        <f t="shared" si="41"/>
        <v>-7.007722007722009</v>
      </c>
      <c r="R58" s="424">
        <f t="shared" si="36"/>
        <v>0.9672972972972973</v>
      </c>
      <c r="S58" s="602"/>
      <c r="T58" s="50">
        <v>0.21111111111111111</v>
      </c>
      <c r="U58" s="50">
        <v>0.31388888888888888</v>
      </c>
      <c r="V58" s="422">
        <v>10</v>
      </c>
      <c r="W58" s="433">
        <f>(U58-T58)*24*60</f>
        <v>148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-49.054054054054177</v>
      </c>
      <c r="AG58" s="424">
        <f t="shared" si="7"/>
        <v>0.96729729729729719</v>
      </c>
      <c r="AH58" s="602"/>
    </row>
    <row r="59" spans="1:34" ht="19.2" customHeight="1">
      <c r="A59" s="619"/>
      <c r="B59" s="121" t="s">
        <v>130</v>
      </c>
      <c r="C59" s="420"/>
      <c r="D59" s="42" t="s">
        <v>70</v>
      </c>
      <c r="E59" s="43"/>
      <c r="F59" s="355">
        <v>28</v>
      </c>
      <c r="G59" s="44">
        <v>3400</v>
      </c>
      <c r="H59" s="45">
        <f t="shared" si="37"/>
        <v>95200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1446.8085106382982</v>
      </c>
      <c r="O59" s="47">
        <f t="shared" si="39"/>
        <v>206.68693009118547</v>
      </c>
      <c r="P59" s="165">
        <f t="shared" si="40"/>
        <v>0</v>
      </c>
      <c r="Q59" s="49">
        <f t="shared" si="41"/>
        <v>-7.5987841945288039</v>
      </c>
      <c r="R59" s="424">
        <f t="shared" si="36"/>
        <v>0.96453900709219886</v>
      </c>
      <c r="S59" s="602"/>
      <c r="T59" s="50">
        <v>0.3208333333333333</v>
      </c>
      <c r="U59" s="50">
        <v>0.41874999999999996</v>
      </c>
      <c r="V59" s="142">
        <v>10</v>
      </c>
      <c r="W59" s="433">
        <f t="shared" ref="W59:W69" si="42">(U59-T59)*24*60</f>
        <v>140.99999999999997</v>
      </c>
      <c r="X59" s="53"/>
      <c r="Y59" s="53"/>
      <c r="Z59" s="54"/>
      <c r="AA59" s="54"/>
      <c r="AB59" s="588"/>
      <c r="AC59" s="588"/>
      <c r="AD59" s="420"/>
      <c r="AE59" s="420"/>
      <c r="AF59" s="48">
        <f t="shared" si="6"/>
        <v>-53.19148936170177</v>
      </c>
      <c r="AG59" s="424">
        <f t="shared" si="7"/>
        <v>0.96453900709219886</v>
      </c>
      <c r="AH59" s="602"/>
    </row>
    <row r="60" spans="1:34" ht="19.2" customHeight="1">
      <c r="A60" s="619"/>
      <c r="B60" s="121" t="s">
        <v>132</v>
      </c>
      <c r="C60" s="420"/>
      <c r="D60" s="42" t="s">
        <v>66</v>
      </c>
      <c r="E60" s="43"/>
      <c r="F60" s="355">
        <v>10.09</v>
      </c>
      <c r="G60" s="44">
        <v>3209.14</v>
      </c>
      <c r="H60" s="45">
        <f t="shared" si="37"/>
        <v>32380.222599999997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1458.7000000000005</v>
      </c>
      <c r="O60" s="47">
        <f t="shared" si="39"/>
        <v>243.11666666666676</v>
      </c>
      <c r="P60" s="165">
        <f t="shared" si="40"/>
        <v>0</v>
      </c>
      <c r="Q60" s="49">
        <f t="shared" si="41"/>
        <v>-6.8833333333332405</v>
      </c>
      <c r="R60" s="424">
        <f t="shared" si="36"/>
        <v>0.97246666666666703</v>
      </c>
      <c r="S60" s="602"/>
      <c r="T60" s="50">
        <v>0.43611111111111106</v>
      </c>
      <c r="U60" s="50">
        <v>0.52777777777777768</v>
      </c>
      <c r="V60" s="142">
        <v>25</v>
      </c>
      <c r="W60" s="433">
        <f t="shared" si="42"/>
        <v>131.99999999999994</v>
      </c>
      <c r="X60" s="53">
        <v>0.4236111111111111</v>
      </c>
      <c r="Y60" s="53">
        <v>0.43472222222222223</v>
      </c>
      <c r="Z60" s="54"/>
      <c r="AA60" s="54"/>
      <c r="AB60" s="588"/>
      <c r="AC60" s="588"/>
      <c r="AD60" s="420">
        <v>1</v>
      </c>
      <c r="AE60" s="420"/>
      <c r="AF60" s="48">
        <f t="shared" si="6"/>
        <v>-41.2999999999995</v>
      </c>
      <c r="AG60" s="423">
        <f t="shared" si="7"/>
        <v>0.97246666666666703</v>
      </c>
      <c r="AH60" s="602"/>
    </row>
    <row r="61" spans="1:34" ht="19.2" customHeight="1">
      <c r="A61" s="619"/>
      <c r="B61" s="121" t="s">
        <v>132</v>
      </c>
      <c r="C61" s="420"/>
      <c r="D61" s="42" t="s">
        <v>66</v>
      </c>
      <c r="E61" s="43"/>
      <c r="F61" s="355">
        <v>10.09</v>
      </c>
      <c r="G61" s="44">
        <v>3646.75</v>
      </c>
      <c r="H61" s="45">
        <f t="shared" si="37"/>
        <v>36795.707499999997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1439.506578947369</v>
      </c>
      <c r="O61" s="47">
        <f t="shared" si="39"/>
        <v>239.91776315789483</v>
      </c>
      <c r="P61" s="165">
        <f t="shared" si="40"/>
        <v>0</v>
      </c>
      <c r="Q61" s="49">
        <f t="shared" si="41"/>
        <v>-10.082236842105175</v>
      </c>
      <c r="R61" s="424">
        <f t="shared" si="36"/>
        <v>0.95967105263157926</v>
      </c>
      <c r="S61" s="602"/>
      <c r="T61" s="50">
        <v>0.56805555555555542</v>
      </c>
      <c r="U61" s="50">
        <v>0.67361111111111094</v>
      </c>
      <c r="V61" s="142">
        <v>5</v>
      </c>
      <c r="W61" s="433">
        <f t="shared" si="42"/>
        <v>151.99999999999994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-60.493421052630993</v>
      </c>
      <c r="AG61" s="424">
        <f t="shared" si="7"/>
        <v>0.95967105263157937</v>
      </c>
      <c r="AH61" s="602"/>
    </row>
    <row r="62" spans="1:34" ht="19.2" customHeight="1">
      <c r="A62" s="619"/>
      <c r="B62" s="121">
        <v>0</v>
      </c>
      <c r="C62" s="420"/>
      <c r="D62" s="42"/>
      <c r="E62" s="43"/>
      <c r="F62" s="355" t="s">
        <v>133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602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588"/>
      <c r="AC62" s="588"/>
      <c r="AD62" s="420"/>
      <c r="AE62" s="420"/>
      <c r="AF62" s="48">
        <f t="shared" si="6"/>
        <v>0</v>
      </c>
      <c r="AG62" s="424" t="e">
        <f t="shared" si="7"/>
        <v>#DIV/0!</v>
      </c>
      <c r="AH62" s="602"/>
    </row>
    <row r="63" spans="1:34" ht="19.2" customHeight="1">
      <c r="A63" s="61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2" customHeight="1">
      <c r="A64" s="584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2" customHeight="1">
      <c r="A65" s="584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2" customHeight="1">
      <c r="A66" s="584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2" customHeight="1">
      <c r="A67" s="584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2" customHeight="1">
      <c r="A68" s="584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2" customHeight="1">
      <c r="A69" s="584"/>
      <c r="B69" s="168">
        <v>0</v>
      </c>
      <c r="C69" s="6" t="s">
        <v>251</v>
      </c>
      <c r="D69" s="617" t="s">
        <v>243</v>
      </c>
      <c r="E69" s="61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1448.9699848841005</v>
      </c>
      <c r="O69" s="73">
        <f t="shared" si="43"/>
        <v>220.79669583557325</v>
      </c>
      <c r="P69" s="48">
        <f>M69-J69</f>
        <v>0</v>
      </c>
      <c r="Q69" s="49">
        <f>N69-K69</f>
        <v>-51.030015115899459</v>
      </c>
      <c r="R69" s="172">
        <f t="shared" ref="R69:R75" si="44">O69/L69</f>
        <v>0.96598554428063288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-51.030015115899459</v>
      </c>
      <c r="AG69" s="424">
        <f t="shared" si="7"/>
        <v>0.96597998992273371</v>
      </c>
      <c r="AH69" s="602"/>
    </row>
    <row r="70" spans="1:34" ht="19.2" customHeight="1">
      <c r="A70" s="586" t="s">
        <v>252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1562.3999999999999</v>
      </c>
      <c r="H70" s="45">
        <f>F70*G70</f>
        <v>97071.911999999997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1487.9999999999995</v>
      </c>
      <c r="O70" s="47">
        <f t="shared" ref="O70:O75" si="46">N70/M70</f>
        <v>106.28571428571425</v>
      </c>
      <c r="P70" s="48">
        <f t="shared" ref="P70:P75" si="47">M70-J70</f>
        <v>0</v>
      </c>
      <c r="Q70" s="49">
        <f t="shared" ref="Q70:Q75" si="48">O70-L70</f>
        <v>-0.85714285714288962</v>
      </c>
      <c r="R70" s="424">
        <f t="shared" si="44"/>
        <v>0.99199999999999966</v>
      </c>
      <c r="S70" s="602">
        <f>R82</f>
        <v>0.9532115656284651</v>
      </c>
      <c r="T70" s="50">
        <v>0.25</v>
      </c>
      <c r="U70" s="50">
        <v>0.29375000000000001</v>
      </c>
      <c r="V70" s="422">
        <v>5</v>
      </c>
      <c r="W70" s="433">
        <f>(U70-T70)*24*60</f>
        <v>63.000000000000014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-12.000000000000455</v>
      </c>
      <c r="AG70" s="424">
        <f t="shared" si="7"/>
        <v>0.99199999999999966</v>
      </c>
      <c r="AH70" s="602">
        <f>AG82</f>
        <v>0.95144667018536533</v>
      </c>
    </row>
    <row r="71" spans="1:34" ht="19.2" customHeight="1">
      <c r="A71" s="586"/>
      <c r="B71" s="422" t="s">
        <v>128</v>
      </c>
      <c r="C71" s="41"/>
      <c r="D71" s="173" t="s">
        <v>71</v>
      </c>
      <c r="E71" s="43"/>
      <c r="F71" s="355">
        <v>47.65</v>
      </c>
      <c r="G71" s="44">
        <v>1729</v>
      </c>
      <c r="H71" s="45">
        <f>F71*G71</f>
        <v>82386.849999999991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1365.0000000000005</v>
      </c>
      <c r="O71" s="47">
        <f t="shared" si="46"/>
        <v>75.833333333333357</v>
      </c>
      <c r="P71" s="48">
        <f t="shared" si="47"/>
        <v>0</v>
      </c>
      <c r="Q71" s="49">
        <f t="shared" si="48"/>
        <v>-4.166666666666643</v>
      </c>
      <c r="R71" s="424">
        <f t="shared" si="44"/>
        <v>0.94791666666666696</v>
      </c>
      <c r="S71" s="602"/>
      <c r="T71" s="50">
        <v>0.2986111111111111</v>
      </c>
      <c r="U71" s="50">
        <v>0.35138888888888886</v>
      </c>
      <c r="V71" s="422">
        <v>7</v>
      </c>
      <c r="W71" s="433">
        <f t="shared" ref="W71:W81" si="49">(U71-T71)*24*60</f>
        <v>75.999999999999972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-74.999999999999545</v>
      </c>
      <c r="AG71" s="424">
        <f>N71/K71</f>
        <v>0.94791666666666696</v>
      </c>
      <c r="AH71" s="602"/>
    </row>
    <row r="72" spans="1:34" ht="19.2" customHeight="1">
      <c r="A72" s="586"/>
      <c r="B72" s="422" t="s">
        <v>128</v>
      </c>
      <c r="C72" s="66"/>
      <c r="D72" s="173" t="s">
        <v>72</v>
      </c>
      <c r="E72" s="43"/>
      <c r="F72" s="355">
        <v>53.36</v>
      </c>
      <c r="G72" s="44">
        <v>3625.4400000000005</v>
      </c>
      <c r="H72" s="45">
        <f t="shared" ref="H72:H80" si="50">F72*G72</f>
        <v>193453.47840000002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1351.0956521739133</v>
      </c>
      <c r="O72" s="47">
        <f t="shared" si="46"/>
        <v>71.110297482837538</v>
      </c>
      <c r="P72" s="48">
        <f t="shared" si="47"/>
        <v>0</v>
      </c>
      <c r="Q72" s="49">
        <f t="shared" si="48"/>
        <v>-4.6791762013729823</v>
      </c>
      <c r="R72" s="424">
        <f t="shared" si="44"/>
        <v>0.93826086956521759</v>
      </c>
      <c r="S72" s="602"/>
      <c r="T72" s="50">
        <v>0.36736111111111108</v>
      </c>
      <c r="U72" s="50">
        <v>0.47916666666666663</v>
      </c>
      <c r="V72" s="422">
        <v>23</v>
      </c>
      <c r="W72" s="433">
        <f t="shared" si="49"/>
        <v>161</v>
      </c>
      <c r="X72" s="53">
        <v>0.35555555555555557</v>
      </c>
      <c r="Y72" s="53">
        <v>0.3666666666666667</v>
      </c>
      <c r="Z72" s="54"/>
      <c r="AA72" s="54"/>
      <c r="AB72" s="588"/>
      <c r="AC72" s="588"/>
      <c r="AD72" s="420"/>
      <c r="AE72" s="420">
        <v>1</v>
      </c>
      <c r="AF72" s="48">
        <f>N72-K72</f>
        <v>-88.904347826086678</v>
      </c>
      <c r="AG72" s="424">
        <f>N72/K72</f>
        <v>0.93826086956521759</v>
      </c>
      <c r="AH72" s="602"/>
    </row>
    <row r="73" spans="1:34" ht="19.2" customHeight="1">
      <c r="A73" s="586"/>
      <c r="B73" s="422" t="s">
        <v>128</v>
      </c>
      <c r="C73" s="175"/>
      <c r="D73" s="176" t="s">
        <v>73</v>
      </c>
      <c r="E73" s="177"/>
      <c r="F73" s="355">
        <v>53.76</v>
      </c>
      <c r="G73" s="44">
        <v>2787</v>
      </c>
      <c r="H73" s="45">
        <f t="shared" si="50"/>
        <v>149829.12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1348.5483870967737</v>
      </c>
      <c r="O73" s="47">
        <f t="shared" si="46"/>
        <v>84.284274193548356</v>
      </c>
      <c r="P73" s="48">
        <f t="shared" si="47"/>
        <v>0</v>
      </c>
      <c r="Q73" s="49">
        <f t="shared" si="48"/>
        <v>-5.7157258064516441</v>
      </c>
      <c r="R73" s="424">
        <f t="shared" si="44"/>
        <v>0.93649193548387066</v>
      </c>
      <c r="S73" s="602"/>
      <c r="T73" s="50">
        <v>0.51944444444444438</v>
      </c>
      <c r="U73" s="50">
        <v>0.60555555555555551</v>
      </c>
      <c r="V73" s="422">
        <v>5</v>
      </c>
      <c r="W73" s="433">
        <f t="shared" si="49"/>
        <v>124.00000000000004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-91.451612903226305</v>
      </c>
      <c r="AG73" s="424">
        <f>N73/K73</f>
        <v>0.93649193548387066</v>
      </c>
      <c r="AH73" s="602"/>
    </row>
    <row r="74" spans="1:34" ht="19.2" customHeight="1">
      <c r="A74" s="586"/>
      <c r="B74" s="422" t="s">
        <v>128</v>
      </c>
      <c r="C74" s="175"/>
      <c r="D74" s="176" t="s">
        <v>74</v>
      </c>
      <c r="E74" s="177"/>
      <c r="F74" s="355">
        <v>47.51</v>
      </c>
      <c r="G74" s="44">
        <v>2258</v>
      </c>
      <c r="H74" s="45">
        <f t="shared" si="50"/>
        <v>107277.58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1368.4848484848487</v>
      </c>
      <c r="O74" s="47">
        <f t="shared" si="46"/>
        <v>80.499108734402867</v>
      </c>
      <c r="P74" s="48">
        <f t="shared" si="47"/>
        <v>0</v>
      </c>
      <c r="Q74" s="49">
        <f t="shared" si="48"/>
        <v>-4.2067736185383069</v>
      </c>
      <c r="R74" s="424">
        <f t="shared" si="44"/>
        <v>0.95033670033670059</v>
      </c>
      <c r="S74" s="602"/>
      <c r="T74" s="50">
        <v>0.61041666666666661</v>
      </c>
      <c r="U74" s="50">
        <v>0.67916666666666659</v>
      </c>
      <c r="V74" s="422">
        <v>7</v>
      </c>
      <c r="W74" s="433">
        <f t="shared" si="49"/>
        <v>98.999999999999972</v>
      </c>
      <c r="X74" s="180"/>
      <c r="Y74" s="180"/>
      <c r="Z74" s="124"/>
      <c r="AA74" s="124"/>
      <c r="AB74" s="588"/>
      <c r="AC74" s="588"/>
      <c r="AD74" s="420">
        <v>1</v>
      </c>
      <c r="AE74" s="420"/>
      <c r="AF74" s="48">
        <f t="shared" ref="AF74:AF80" si="51">N74-K74</f>
        <v>-71.515151515151274</v>
      </c>
      <c r="AG74" s="424">
        <f t="shared" ref="AG74:AG80" si="52">N74/K74</f>
        <v>0.95033670033670048</v>
      </c>
      <c r="AH74" s="602"/>
    </row>
    <row r="75" spans="1:34" ht="19.2" customHeight="1">
      <c r="A75" s="586"/>
      <c r="B75" s="422" t="s">
        <v>128</v>
      </c>
      <c r="C75" s="66"/>
      <c r="D75" s="173" t="s">
        <v>72</v>
      </c>
      <c r="E75" s="43"/>
      <c r="F75" s="355">
        <v>53.36</v>
      </c>
      <c r="G75" s="57">
        <v>2848.56</v>
      </c>
      <c r="H75" s="45">
        <f t="shared" si="50"/>
        <v>151999.16159999999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1356.4571428571426</v>
      </c>
      <c r="O75" s="47">
        <f t="shared" si="46"/>
        <v>71.392481203007506</v>
      </c>
      <c r="P75" s="48">
        <f t="shared" si="47"/>
        <v>0</v>
      </c>
      <c r="Q75" s="49">
        <f t="shared" si="48"/>
        <v>-4.3969924812030143</v>
      </c>
      <c r="R75" s="424">
        <f t="shared" si="44"/>
        <v>0.94198412698412692</v>
      </c>
      <c r="S75" s="602"/>
      <c r="T75" s="50">
        <v>0.69444444444444431</v>
      </c>
      <c r="U75" s="50">
        <v>0.78194444444444433</v>
      </c>
      <c r="V75" s="422">
        <v>22</v>
      </c>
      <c r="W75" s="433">
        <f t="shared" si="49"/>
        <v>126.00000000000003</v>
      </c>
      <c r="X75" s="180">
        <v>0.68333333333333324</v>
      </c>
      <c r="Y75" s="180">
        <v>0.69305555555555554</v>
      </c>
      <c r="Z75" s="124"/>
      <c r="AA75" s="124"/>
      <c r="AB75" s="588"/>
      <c r="AC75" s="588"/>
      <c r="AD75" s="420"/>
      <c r="AE75" s="420"/>
      <c r="AF75" s="48">
        <f t="shared" si="51"/>
        <v>-83.542857142857429</v>
      </c>
      <c r="AG75" s="424">
        <f t="shared" si="52"/>
        <v>0.94198412698412681</v>
      </c>
      <c r="AH75" s="602"/>
    </row>
    <row r="76" spans="1:34" ht="19.2" customHeight="1">
      <c r="A76" s="586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2" customHeight="1">
      <c r="A77" s="586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2" customHeight="1">
      <c r="A78" s="586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2" customHeight="1">
      <c r="A79" s="586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2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2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2" customHeight="1">
      <c r="A82" s="629"/>
      <c r="B82" s="168">
        <v>0</v>
      </c>
      <c r="C82" s="100" t="s">
        <v>253</v>
      </c>
      <c r="D82" s="617" t="s">
        <v>243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1379.5976717687797</v>
      </c>
      <c r="O82" s="184">
        <f t="shared" si="53"/>
        <v>81.567534872140641</v>
      </c>
      <c r="P82" s="116">
        <f>M82-J82</f>
        <v>0</v>
      </c>
      <c r="Q82" s="117">
        <f>N82-K82</f>
        <v>-70.402328231220281</v>
      </c>
      <c r="R82" s="172">
        <f>O82/L82</f>
        <v>0.9532115656284651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1</v>
      </c>
      <c r="AF82" s="48">
        <f>N82-K82</f>
        <v>-70.402328231220281</v>
      </c>
      <c r="AG82" s="424">
        <f>N82/K82</f>
        <v>0.95144667018536533</v>
      </c>
      <c r="AH82" s="602"/>
    </row>
    <row r="83" spans="1:34" ht="19.2" customHeight="1">
      <c r="A83" s="630" t="s">
        <v>254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2286</v>
      </c>
      <c r="H83" s="84">
        <f t="shared" ref="H83:H94" si="54">F83*G83</f>
        <v>115831.62000000001</v>
      </c>
      <c r="I83" s="420"/>
      <c r="J83" s="87">
        <v>18</v>
      </c>
      <c r="K83" s="57">
        <v>1500</v>
      </c>
      <c r="L83" s="86">
        <v>83.333333333333329</v>
      </c>
      <c r="M83" s="431">
        <v>17</v>
      </c>
      <c r="N83" s="57">
        <f t="shared" ref="N83:N91" si="55">G83/W83*60</f>
        <v>1358.0198019801974</v>
      </c>
      <c r="O83" s="183">
        <f t="shared" ref="O83:O91" si="56">N83/M83</f>
        <v>79.883517763541022</v>
      </c>
      <c r="P83" s="54">
        <f t="shared" ref="P83:P91" si="57">M83-J83</f>
        <v>-1</v>
      </c>
      <c r="Q83" s="88">
        <f t="shared" ref="Q83:Q91" si="58">O83-L83</f>
        <v>-3.4498155697923067</v>
      </c>
      <c r="R83" s="185">
        <f t="shared" ref="R83:R91" si="59">O83/L83</f>
        <v>0.95860221316249228</v>
      </c>
      <c r="S83" s="602">
        <f>R95</f>
        <v>0.86637827929685562</v>
      </c>
      <c r="T83" s="50">
        <v>0.33333333333333331</v>
      </c>
      <c r="U83" s="50">
        <v>0.40347222222222223</v>
      </c>
      <c r="V83" s="422">
        <v>5</v>
      </c>
      <c r="W83" s="433">
        <f t="shared" ref="W83:W93" si="60">(U83-T83)*24*60</f>
        <v>101.00000000000004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-141.98019801980263</v>
      </c>
      <c r="AG83" s="424">
        <f t="shared" ref="AG83:AG173" si="62">N83/K83</f>
        <v>0.90534653465346493</v>
      </c>
      <c r="AH83" s="602">
        <f>AG95</f>
        <v>0.86341496754458413</v>
      </c>
    </row>
    <row r="84" spans="1:34" ht="19.2" customHeight="1">
      <c r="A84" s="631"/>
      <c r="B84" s="110" t="s">
        <v>128</v>
      </c>
      <c r="C84" s="429"/>
      <c r="D84" s="186" t="s">
        <v>185</v>
      </c>
      <c r="E84" s="43"/>
      <c r="F84" s="362">
        <v>61.02</v>
      </c>
      <c r="G84" s="44">
        <v>1859.8999999999999</v>
      </c>
      <c r="H84" s="84">
        <f t="shared" si="54"/>
        <v>113491.098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1360.9024390243897</v>
      </c>
      <c r="O84" s="183">
        <f t="shared" si="56"/>
        <v>80.05308464849351</v>
      </c>
      <c r="P84" s="54">
        <f t="shared" si="57"/>
        <v>0</v>
      </c>
      <c r="Q84" s="88">
        <f t="shared" si="58"/>
        <v>-4.6527977044476643</v>
      </c>
      <c r="R84" s="185">
        <f t="shared" si="59"/>
        <v>0.94507113821138178</v>
      </c>
      <c r="S84" s="602"/>
      <c r="T84" s="50">
        <v>0.41944444444444445</v>
      </c>
      <c r="U84" s="50">
        <v>0.47638888888888892</v>
      </c>
      <c r="V84" s="422">
        <v>23</v>
      </c>
      <c r="W84" s="433">
        <f t="shared" si="60"/>
        <v>82.000000000000028</v>
      </c>
      <c r="X84" s="53">
        <v>0.40833333333333338</v>
      </c>
      <c r="Y84" s="53">
        <v>0.41805555555555557</v>
      </c>
      <c r="Z84" s="54"/>
      <c r="AA84" s="54"/>
      <c r="AB84" s="588"/>
      <c r="AC84" s="588"/>
      <c r="AD84" s="420"/>
      <c r="AE84" s="420"/>
      <c r="AF84" s="48">
        <f t="shared" si="61"/>
        <v>-79.097560975610349</v>
      </c>
      <c r="AG84" s="424">
        <f t="shared" si="62"/>
        <v>0.94507113821138167</v>
      </c>
      <c r="AH84" s="602"/>
    </row>
    <row r="85" spans="1:34" ht="19.2" customHeight="1">
      <c r="A85" s="631"/>
      <c r="B85" s="110" t="s">
        <v>130</v>
      </c>
      <c r="C85" s="122"/>
      <c r="D85" s="186" t="s">
        <v>143</v>
      </c>
      <c r="E85" s="43"/>
      <c r="F85" s="362">
        <v>36.92</v>
      </c>
      <c r="G85" s="44">
        <v>1375.4</v>
      </c>
      <c r="H85" s="84">
        <f t="shared" si="54"/>
        <v>50779.768000000004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1473.6428571428562</v>
      </c>
      <c r="O85" s="183">
        <f t="shared" si="56"/>
        <v>122.80357142857135</v>
      </c>
      <c r="P85" s="54">
        <f t="shared" si="57"/>
        <v>0</v>
      </c>
      <c r="Q85" s="88">
        <f t="shared" si="58"/>
        <v>-43.863095238095312</v>
      </c>
      <c r="R85" s="185">
        <f t="shared" si="59"/>
        <v>0.73682142857142807</v>
      </c>
      <c r="S85" s="602"/>
      <c r="T85" s="50">
        <v>0.48125000000000001</v>
      </c>
      <c r="U85" s="50">
        <v>0.52013888888888893</v>
      </c>
      <c r="V85" s="422">
        <v>7</v>
      </c>
      <c r="W85" s="433">
        <f t="shared" si="60"/>
        <v>56.000000000000043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-526.3571428571438</v>
      </c>
      <c r="AG85" s="424">
        <f t="shared" si="62"/>
        <v>0.73682142857142807</v>
      </c>
      <c r="AH85" s="602"/>
    </row>
    <row r="86" spans="1:34" ht="19.2" customHeight="1">
      <c r="A86" s="631"/>
      <c r="B86" s="110" t="s">
        <v>132</v>
      </c>
      <c r="C86" s="97"/>
      <c r="D86" s="186" t="s">
        <v>190</v>
      </c>
      <c r="E86" s="43"/>
      <c r="F86" s="362">
        <v>54.09</v>
      </c>
      <c r="G86" s="44">
        <v>1154</v>
      </c>
      <c r="H86" s="84">
        <f t="shared" si="54"/>
        <v>62419.86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1081.8750000000014</v>
      </c>
      <c r="O86" s="183">
        <f t="shared" si="56"/>
        <v>54.093750000000071</v>
      </c>
      <c r="P86" s="54">
        <f t="shared" si="57"/>
        <v>0</v>
      </c>
      <c r="Q86" s="88">
        <f t="shared" si="58"/>
        <v>-10.906249999999929</v>
      </c>
      <c r="R86" s="185">
        <f t="shared" si="59"/>
        <v>0.8322115384615395</v>
      </c>
      <c r="S86" s="602"/>
      <c r="T86" s="50">
        <v>0.56041666666666667</v>
      </c>
      <c r="U86" s="50">
        <v>0.60486111111111107</v>
      </c>
      <c r="V86" s="422">
        <v>5</v>
      </c>
      <c r="W86" s="433">
        <f t="shared" si="60"/>
        <v>63.999999999999929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-218.12499999999864</v>
      </c>
      <c r="AG86" s="424">
        <f t="shared" si="62"/>
        <v>0.8322115384615395</v>
      </c>
      <c r="AH86" s="602"/>
    </row>
    <row r="87" spans="1:34" ht="19.2" customHeight="1">
      <c r="A87" s="631"/>
      <c r="B87" s="110" t="s">
        <v>128</v>
      </c>
      <c r="C87" s="97"/>
      <c r="D87" s="186" t="s">
        <v>203</v>
      </c>
      <c r="E87" s="43"/>
      <c r="F87" s="362">
        <v>61.09</v>
      </c>
      <c r="G87" s="44">
        <v>2232</v>
      </c>
      <c r="H87" s="84">
        <f t="shared" si="54"/>
        <v>136352.88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1275.428571428572</v>
      </c>
      <c r="O87" s="183">
        <f t="shared" si="56"/>
        <v>75.025210084033645</v>
      </c>
      <c r="P87" s="54">
        <f t="shared" si="57"/>
        <v>0</v>
      </c>
      <c r="Q87" s="88">
        <f t="shared" si="58"/>
        <v>-9.6806722689075286</v>
      </c>
      <c r="R87" s="185">
        <f t="shared" si="59"/>
        <v>0.88571428571428612</v>
      </c>
      <c r="S87" s="602"/>
      <c r="T87" s="50">
        <v>0.60972222222222217</v>
      </c>
      <c r="U87" s="50">
        <v>0.6826388888888888</v>
      </c>
      <c r="V87" s="422">
        <v>7</v>
      </c>
      <c r="W87" s="433">
        <f t="shared" si="60"/>
        <v>104.99999999999994</v>
      </c>
      <c r="X87" s="53"/>
      <c r="Y87" s="53"/>
      <c r="Z87" s="54"/>
      <c r="AA87" s="54"/>
      <c r="AB87" s="588"/>
      <c r="AC87" s="588"/>
      <c r="AD87" s="420">
        <v>1</v>
      </c>
      <c r="AE87" s="420"/>
      <c r="AF87" s="48">
        <f t="shared" si="61"/>
        <v>-164.57142857142799</v>
      </c>
      <c r="AG87" s="424">
        <f t="shared" si="62"/>
        <v>0.88571428571428612</v>
      </c>
      <c r="AH87" s="602"/>
    </row>
    <row r="88" spans="1:34" ht="19.2" customHeight="1">
      <c r="A88" s="631"/>
      <c r="B88" s="110" t="s">
        <v>129</v>
      </c>
      <c r="C88" s="429"/>
      <c r="D88" s="186" t="s">
        <v>206</v>
      </c>
      <c r="E88" s="43"/>
      <c r="F88" s="362">
        <v>50.67</v>
      </c>
      <c r="G88" s="57">
        <v>889.00000000000011</v>
      </c>
      <c r="H88" s="84">
        <f t="shared" si="54"/>
        <v>45045.630000000005</v>
      </c>
      <c r="I88" s="422">
        <v>1</v>
      </c>
      <c r="J88" s="87">
        <v>18</v>
      </c>
      <c r="K88" s="57">
        <v>1500</v>
      </c>
      <c r="L88" s="86">
        <v>83.333333333333329</v>
      </c>
      <c r="M88" s="431">
        <v>17</v>
      </c>
      <c r="N88" s="57">
        <f t="shared" si="55"/>
        <v>1367.6923076923072</v>
      </c>
      <c r="O88" s="183">
        <f t="shared" si="56"/>
        <v>80.452488687782775</v>
      </c>
      <c r="P88" s="54">
        <f t="shared" si="57"/>
        <v>-1</v>
      </c>
      <c r="Q88" s="88">
        <f t="shared" si="58"/>
        <v>-2.8808446455505532</v>
      </c>
      <c r="R88" s="185">
        <f t="shared" si="59"/>
        <v>0.96542986425339339</v>
      </c>
      <c r="S88" s="602"/>
      <c r="T88" s="50">
        <v>0.69861111111111107</v>
      </c>
      <c r="U88" s="50">
        <v>0.72569444444444442</v>
      </c>
      <c r="V88" s="422">
        <v>23</v>
      </c>
      <c r="W88" s="433">
        <f t="shared" si="60"/>
        <v>39.000000000000021</v>
      </c>
      <c r="X88" s="53">
        <v>0.6875</v>
      </c>
      <c r="Y88" s="53">
        <v>0.69791666666666663</v>
      </c>
      <c r="Z88" s="54"/>
      <c r="AA88" s="54"/>
      <c r="AB88" s="588"/>
      <c r="AC88" s="588"/>
      <c r="AD88" s="420"/>
      <c r="AE88" s="420"/>
      <c r="AF88" s="48">
        <f t="shared" si="61"/>
        <v>-132.30769230769283</v>
      </c>
      <c r="AG88" s="424">
        <f t="shared" si="62"/>
        <v>0.9117948717948714</v>
      </c>
      <c r="AH88" s="602"/>
    </row>
    <row r="89" spans="1:34" ht="19.2" customHeight="1">
      <c r="A89" s="631"/>
      <c r="B89" s="110" t="s">
        <v>128</v>
      </c>
      <c r="C89" s="429"/>
      <c r="D89" s="42" t="s">
        <v>185</v>
      </c>
      <c r="E89" s="43"/>
      <c r="F89" s="362">
        <v>61.02</v>
      </c>
      <c r="G89" s="114">
        <v>797.1</v>
      </c>
      <c r="H89" s="84">
        <f t="shared" si="54"/>
        <v>48639.042000000001</v>
      </c>
      <c r="I89" s="422">
        <v>1</v>
      </c>
      <c r="J89" s="87">
        <v>17</v>
      </c>
      <c r="K89" s="57">
        <v>1440</v>
      </c>
      <c r="L89" s="86">
        <v>84.705882352941174</v>
      </c>
      <c r="M89" s="431">
        <v>17</v>
      </c>
      <c r="N89" s="57">
        <f t="shared" si="55"/>
        <v>1328.4999999999991</v>
      </c>
      <c r="O89" s="183">
        <f t="shared" si="56"/>
        <v>78.147058823529363</v>
      </c>
      <c r="P89" s="54">
        <f t="shared" si="57"/>
        <v>0</v>
      </c>
      <c r="Q89" s="88">
        <f t="shared" si="58"/>
        <v>-6.5588235294118107</v>
      </c>
      <c r="R89" s="185">
        <f t="shared" si="59"/>
        <v>0.92256944444444389</v>
      </c>
      <c r="S89" s="602"/>
      <c r="T89" s="50">
        <v>0.73055555555555551</v>
      </c>
      <c r="U89" s="50">
        <v>0.75555555555555554</v>
      </c>
      <c r="V89" s="422">
        <v>7</v>
      </c>
      <c r="W89" s="433">
        <f t="shared" si="60"/>
        <v>36.000000000000028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-111.50000000000091</v>
      </c>
      <c r="AG89" s="424">
        <f t="shared" si="62"/>
        <v>0.92256944444444378</v>
      </c>
      <c r="AH89" s="602"/>
    </row>
    <row r="90" spans="1:34" ht="19.2" customHeight="1">
      <c r="A90" s="631"/>
      <c r="B90" s="110" t="s">
        <v>129</v>
      </c>
      <c r="C90" s="429"/>
      <c r="D90" s="42" t="s">
        <v>62</v>
      </c>
      <c r="E90" s="43"/>
      <c r="F90" s="362">
        <v>38.39</v>
      </c>
      <c r="G90" s="127">
        <v>901.24999999999989</v>
      </c>
      <c r="H90" s="84">
        <f t="shared" si="54"/>
        <v>34598.987499999996</v>
      </c>
      <c r="I90" s="187">
        <v>1</v>
      </c>
      <c r="J90" s="87">
        <v>16</v>
      </c>
      <c r="K90" s="57">
        <v>1636</v>
      </c>
      <c r="L90" s="86">
        <v>102.25</v>
      </c>
      <c r="M90" s="431">
        <v>16</v>
      </c>
      <c r="N90" s="57">
        <f t="shared" si="55"/>
        <v>1386.5384615384605</v>
      </c>
      <c r="O90" s="183">
        <f t="shared" si="56"/>
        <v>86.658653846153783</v>
      </c>
      <c r="P90" s="54">
        <f t="shared" si="57"/>
        <v>0</v>
      </c>
      <c r="Q90" s="88">
        <f t="shared" si="58"/>
        <v>-15.591346153846217</v>
      </c>
      <c r="R90" s="185">
        <f t="shared" si="59"/>
        <v>0.8475173970283989</v>
      </c>
      <c r="S90" s="602"/>
      <c r="T90" s="50">
        <v>0.76041666666666663</v>
      </c>
      <c r="U90" s="50">
        <v>0.78749999999999998</v>
      </c>
      <c r="V90" s="422">
        <v>7</v>
      </c>
      <c r="W90" s="433">
        <f t="shared" si="60"/>
        <v>39.000000000000021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-249.46153846153948</v>
      </c>
      <c r="AG90" s="424">
        <f t="shared" si="62"/>
        <v>0.8475173970283989</v>
      </c>
      <c r="AH90" s="602"/>
    </row>
    <row r="91" spans="1:34" ht="19.2" customHeight="1">
      <c r="A91" s="631"/>
      <c r="B91" s="110" t="s">
        <v>129</v>
      </c>
      <c r="C91" s="429"/>
      <c r="D91" s="42" t="s">
        <v>189</v>
      </c>
      <c r="E91" s="43"/>
      <c r="F91" s="362">
        <v>56.43</v>
      </c>
      <c r="G91" s="44">
        <v>703.68000000000006</v>
      </c>
      <c r="H91" s="84">
        <f t="shared" si="54"/>
        <v>39708.662400000001</v>
      </c>
      <c r="I91" s="189">
        <v>1</v>
      </c>
      <c r="J91" s="87">
        <v>17</v>
      </c>
      <c r="K91" s="57">
        <v>1636</v>
      </c>
      <c r="L91" s="86">
        <v>96.235294117647058</v>
      </c>
      <c r="M91" s="431">
        <v>17</v>
      </c>
      <c r="N91" s="57">
        <f t="shared" si="55"/>
        <v>1361.9612903225784</v>
      </c>
      <c r="O91" s="183">
        <f t="shared" si="56"/>
        <v>80.115370018975199</v>
      </c>
      <c r="P91" s="54">
        <f t="shared" si="57"/>
        <v>0</v>
      </c>
      <c r="Q91" s="88">
        <f t="shared" si="58"/>
        <v>-16.119924098671859</v>
      </c>
      <c r="R91" s="185">
        <f t="shared" si="59"/>
        <v>0.83249467623629481</v>
      </c>
      <c r="S91" s="603"/>
      <c r="T91" s="50">
        <v>0.79305555555555551</v>
      </c>
      <c r="U91" s="50">
        <v>0.81458333333333333</v>
      </c>
      <c r="V91" s="422">
        <v>8</v>
      </c>
      <c r="W91" s="433">
        <f t="shared" si="60"/>
        <v>31.00000000000005</v>
      </c>
      <c r="X91" s="115"/>
      <c r="Y91" s="115"/>
      <c r="Z91" s="54"/>
      <c r="AA91" s="54"/>
      <c r="AB91" s="588"/>
      <c r="AC91" s="588"/>
      <c r="AD91" s="420">
        <v>1</v>
      </c>
      <c r="AE91" s="420">
        <v>1</v>
      </c>
      <c r="AF91" s="48">
        <f t="shared" si="61"/>
        <v>-274.03870967742159</v>
      </c>
      <c r="AG91" s="424">
        <f t="shared" si="62"/>
        <v>0.83249467623629492</v>
      </c>
      <c r="AH91" s="603"/>
    </row>
    <row r="92" spans="1:34" ht="19.2" customHeight="1">
      <c r="A92" s="631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2" customHeight="1">
      <c r="A93" s="631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2" customHeight="1">
      <c r="A94" s="631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2" customHeight="1">
      <c r="A95" s="631"/>
      <c r="B95" s="200">
        <v>0</v>
      </c>
      <c r="C95" s="100" t="s">
        <v>255</v>
      </c>
      <c r="D95" s="617" t="s">
        <v>243</v>
      </c>
      <c r="E95" s="617"/>
      <c r="F95" s="356"/>
      <c r="G95" s="70"/>
      <c r="H95" s="201"/>
      <c r="I95" s="103"/>
      <c r="J95" s="202">
        <v>16.888888888888889</v>
      </c>
      <c r="K95" s="202">
        <v>1543.5555555555557</v>
      </c>
      <c r="L95" s="203">
        <v>94.548474945533769</v>
      </c>
      <c r="M95" s="202">
        <f t="shared" ref="M95:O95" si="63">AVERAGE(M83:M94)</f>
        <v>16.666666666666668</v>
      </c>
      <c r="N95" s="202">
        <f t="shared" si="63"/>
        <v>1332.7289699032626</v>
      </c>
      <c r="O95" s="203">
        <f t="shared" si="63"/>
        <v>81.914745033453414</v>
      </c>
      <c r="P95" s="204">
        <f>M95-J95</f>
        <v>-0.22222222222222143</v>
      </c>
      <c r="Q95" s="205">
        <f t="shared" ref="Q95:Q105" si="64">O95-L95</f>
        <v>-12.633729912080355</v>
      </c>
      <c r="R95" s="206">
        <f>O95/L95</f>
        <v>0.86637827929685562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2</v>
      </c>
      <c r="AE95" s="107">
        <f>SUM(AE83:AE94)</f>
        <v>1</v>
      </c>
      <c r="AF95" s="65">
        <f t="shared" si="61"/>
        <v>-210.82658565229303</v>
      </c>
      <c r="AG95" s="425">
        <f t="shared" si="62"/>
        <v>0.86341496754458413</v>
      </c>
      <c r="AH95" s="603"/>
    </row>
    <row r="96" spans="1:34" ht="19.2" customHeight="1">
      <c r="A96" s="633" t="s">
        <v>256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1540</v>
      </c>
      <c r="H96" s="45">
        <f t="shared" ref="H96:H105" si="65">F96*G96</f>
        <v>45368.4</v>
      </c>
      <c r="I96" s="422">
        <v>1</v>
      </c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1113.2530120481924</v>
      </c>
      <c r="O96" s="47">
        <f t="shared" ref="O96:O105" si="67">N96/M96</f>
        <v>69.578313253012027</v>
      </c>
      <c r="P96" s="48">
        <f t="shared" ref="P96:P105" si="68">M96-J96</f>
        <v>0</v>
      </c>
      <c r="Q96" s="49">
        <f t="shared" si="64"/>
        <v>-20.421686746987973</v>
      </c>
      <c r="R96" s="424">
        <f t="shared" ref="R96:R105" si="69">O96/L96</f>
        <v>0.77309236947791138</v>
      </c>
      <c r="S96" s="602">
        <f>R108</f>
        <v>0.86665378528991965</v>
      </c>
      <c r="T96" s="89">
        <v>0.33333333333333331</v>
      </c>
      <c r="U96" s="89">
        <v>0.39097222222222222</v>
      </c>
      <c r="V96" s="420">
        <v>5</v>
      </c>
      <c r="W96" s="90">
        <f t="shared" ref="W96:W133" si="70">(U96-T96)*24*60</f>
        <v>83.000000000000028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-326.74698795180757</v>
      </c>
      <c r="AG96" s="421">
        <f t="shared" si="62"/>
        <v>0.77309236947791138</v>
      </c>
      <c r="AH96" s="611">
        <f>AG108</f>
        <v>0.84463782921218233</v>
      </c>
    </row>
    <row r="97" spans="1:34" s="215" customFormat="1" ht="19.2" customHeight="1">
      <c r="A97" s="633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2546.7000000000003</v>
      </c>
      <c r="H97" s="210">
        <f t="shared" si="65"/>
        <v>74142.458715596324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1273.3500000000004</v>
      </c>
      <c r="O97" s="47">
        <f t="shared" si="67"/>
        <v>70.741666666666688</v>
      </c>
      <c r="P97" s="48">
        <f t="shared" si="68"/>
        <v>-2</v>
      </c>
      <c r="Q97" s="49">
        <f t="shared" si="64"/>
        <v>-4.2583333333333115</v>
      </c>
      <c r="R97" s="424">
        <f t="shared" si="69"/>
        <v>0.94322222222222252</v>
      </c>
      <c r="S97" s="602"/>
      <c r="T97" s="211">
        <v>0.40694444444444444</v>
      </c>
      <c r="U97" s="211">
        <v>0.49027777777777776</v>
      </c>
      <c r="V97" s="212">
        <v>23</v>
      </c>
      <c r="W97" s="90">
        <f t="shared" si="70"/>
        <v>119.99999999999997</v>
      </c>
      <c r="X97" s="53">
        <v>0.39583333333333331</v>
      </c>
      <c r="Y97" s="53">
        <v>0.40625</v>
      </c>
      <c r="Z97" s="54"/>
      <c r="AA97" s="54"/>
      <c r="AB97" s="588"/>
      <c r="AC97" s="588"/>
      <c r="AD97" s="212"/>
      <c r="AE97" s="212"/>
      <c r="AF97" s="213">
        <f t="shared" si="61"/>
        <v>-226.64999999999964</v>
      </c>
      <c r="AG97" s="214">
        <f t="shared" si="62"/>
        <v>0.84890000000000021</v>
      </c>
      <c r="AH97" s="611"/>
    </row>
    <row r="98" spans="1:34" s="218" customFormat="1" ht="19.2" customHeight="1">
      <c r="A98" s="633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464</v>
      </c>
      <c r="H98" s="210">
        <f t="shared" si="65"/>
        <v>35890.399999999994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1113.599999999997</v>
      </c>
      <c r="O98" s="47">
        <f t="shared" si="67"/>
        <v>61.866666666666497</v>
      </c>
      <c r="P98" s="48">
        <f t="shared" si="68"/>
        <v>-1</v>
      </c>
      <c r="Q98" s="49">
        <f t="shared" si="64"/>
        <v>-13.922807017544024</v>
      </c>
      <c r="R98" s="424">
        <f t="shared" si="69"/>
        <v>0.81629629629629408</v>
      </c>
      <c r="S98" s="602"/>
      <c r="T98" s="89">
        <v>0.53055555555555556</v>
      </c>
      <c r="U98" s="89">
        <v>0.54791666666666672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588"/>
      <c r="AC98" s="588"/>
      <c r="AD98" s="420">
        <v>1</v>
      </c>
      <c r="AE98" s="420"/>
      <c r="AF98" s="54">
        <f t="shared" si="61"/>
        <v>-326.40000000000305</v>
      </c>
      <c r="AG98" s="421">
        <f t="shared" si="62"/>
        <v>0.77333333333333121</v>
      </c>
      <c r="AH98" s="611"/>
    </row>
    <row r="99" spans="1:34" ht="19.2" customHeight="1">
      <c r="A99" s="633"/>
      <c r="B99" s="422" t="s">
        <v>128</v>
      </c>
      <c r="C99" s="81"/>
      <c r="D99" s="82" t="s">
        <v>57</v>
      </c>
      <c r="E99" s="83"/>
      <c r="F99" s="366">
        <v>71.55</v>
      </c>
      <c r="G99" s="57">
        <v>919</v>
      </c>
      <c r="H99" s="210">
        <f t="shared" si="65"/>
        <v>65754.45</v>
      </c>
      <c r="I99" s="420"/>
      <c r="J99" s="46">
        <v>18</v>
      </c>
      <c r="K99" s="44">
        <v>1385</v>
      </c>
      <c r="L99" s="47">
        <v>76.944444444444443</v>
      </c>
      <c r="M99" s="434">
        <v>18</v>
      </c>
      <c r="N99" s="44">
        <f t="shared" si="66"/>
        <v>1225.3333333333333</v>
      </c>
      <c r="O99" s="47">
        <f t="shared" si="67"/>
        <v>68.074074074074076</v>
      </c>
      <c r="P99" s="48">
        <f t="shared" si="68"/>
        <v>0</v>
      </c>
      <c r="Q99" s="49">
        <f t="shared" si="64"/>
        <v>-8.8703703703703667</v>
      </c>
      <c r="R99" s="424">
        <f t="shared" si="69"/>
        <v>0.88471720818291222</v>
      </c>
      <c r="S99" s="602"/>
      <c r="T99" s="89">
        <v>0.55277777777777781</v>
      </c>
      <c r="U99" s="89">
        <v>0.58402777777777781</v>
      </c>
      <c r="V99" s="420">
        <v>7</v>
      </c>
      <c r="W99" s="90">
        <f t="shared" si="70"/>
        <v>45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-159.66666666666674</v>
      </c>
      <c r="AG99" s="214">
        <f t="shared" si="62"/>
        <v>0.88471720818291211</v>
      </c>
      <c r="AH99" s="611"/>
    </row>
    <row r="100" spans="1:34" s="218" customFormat="1" ht="19.2" customHeight="1">
      <c r="A100" s="633"/>
      <c r="B100" s="422" t="s">
        <v>128</v>
      </c>
      <c r="C100" s="55"/>
      <c r="D100" s="42" t="s">
        <v>56</v>
      </c>
      <c r="E100" s="83"/>
      <c r="F100" s="366">
        <v>59.34</v>
      </c>
      <c r="G100" s="57">
        <v>742</v>
      </c>
      <c r="H100" s="210">
        <f t="shared" si="65"/>
        <v>44030.280000000006</v>
      </c>
      <c r="I100" s="420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1271.9999999999986</v>
      </c>
      <c r="O100" s="47">
        <f t="shared" si="67"/>
        <v>74.823529411764625</v>
      </c>
      <c r="P100" s="48">
        <f t="shared" si="68"/>
        <v>0</v>
      </c>
      <c r="Q100" s="49">
        <f t="shared" si="64"/>
        <v>-9.8823529411765492</v>
      </c>
      <c r="R100" s="424">
        <f t="shared" si="69"/>
        <v>0.88333333333333242</v>
      </c>
      <c r="S100" s="602"/>
      <c r="T100" s="211">
        <v>0.58888888888888891</v>
      </c>
      <c r="U100" s="211">
        <v>0.61319444444444449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-168.00000000000136</v>
      </c>
      <c r="AG100" s="421">
        <f t="shared" si="62"/>
        <v>0.88333333333333242</v>
      </c>
      <c r="AH100" s="611"/>
    </row>
    <row r="101" spans="1:34" s="218" customFormat="1" ht="19.2" customHeight="1">
      <c r="A101" s="633"/>
      <c r="B101" s="422" t="s">
        <v>132</v>
      </c>
      <c r="C101" s="55"/>
      <c r="D101" s="82" t="s">
        <v>80</v>
      </c>
      <c r="E101" s="83"/>
      <c r="F101" s="366">
        <v>51.75</v>
      </c>
      <c r="G101" s="57">
        <v>949</v>
      </c>
      <c r="H101" s="210">
        <f t="shared" si="65"/>
        <v>49110.75</v>
      </c>
      <c r="I101" s="420"/>
      <c r="J101" s="46">
        <v>21</v>
      </c>
      <c r="K101" s="44">
        <v>1500</v>
      </c>
      <c r="L101" s="47">
        <v>71.428571428571431</v>
      </c>
      <c r="M101" s="87">
        <v>21</v>
      </c>
      <c r="N101" s="44">
        <f t="shared" si="66"/>
        <v>1265.3333333333333</v>
      </c>
      <c r="O101" s="47">
        <f t="shared" si="67"/>
        <v>60.253968253968253</v>
      </c>
      <c r="P101" s="48">
        <f t="shared" si="68"/>
        <v>0</v>
      </c>
      <c r="Q101" s="49">
        <f t="shared" si="64"/>
        <v>-11.174603174603178</v>
      </c>
      <c r="R101" s="424">
        <f t="shared" si="69"/>
        <v>0.8435555555555555</v>
      </c>
      <c r="S101" s="602"/>
      <c r="T101" s="211">
        <v>0.61736111111111114</v>
      </c>
      <c r="U101" s="89">
        <v>0.64861111111111114</v>
      </c>
      <c r="V101" s="212">
        <v>6</v>
      </c>
      <c r="W101" s="90">
        <f t="shared" si="70"/>
        <v>45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-234.66666666666674</v>
      </c>
      <c r="AG101" s="214">
        <f t="shared" si="62"/>
        <v>0.8435555555555555</v>
      </c>
      <c r="AH101" s="611"/>
    </row>
    <row r="102" spans="1:34" s="218" customFormat="1" ht="19.2" customHeight="1">
      <c r="A102" s="633"/>
      <c r="B102" s="422" t="s">
        <v>128</v>
      </c>
      <c r="C102" s="175"/>
      <c r="D102" s="176" t="s">
        <v>58</v>
      </c>
      <c r="E102" s="177"/>
      <c r="F102" s="366">
        <v>77.34</v>
      </c>
      <c r="G102" s="57">
        <v>1071</v>
      </c>
      <c r="H102" s="210">
        <f t="shared" si="65"/>
        <v>82831.14</v>
      </c>
      <c r="I102" s="422"/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1285.2000000000003</v>
      </c>
      <c r="O102" s="47">
        <f t="shared" si="67"/>
        <v>71.40000000000002</v>
      </c>
      <c r="P102" s="48">
        <f t="shared" si="68"/>
        <v>0</v>
      </c>
      <c r="Q102" s="49">
        <f t="shared" si="64"/>
        <v>-8.5999999999999801</v>
      </c>
      <c r="R102" s="424">
        <f t="shared" si="69"/>
        <v>0.89250000000000029</v>
      </c>
      <c r="S102" s="602"/>
      <c r="T102" s="211">
        <v>0.6645833333333333</v>
      </c>
      <c r="U102" s="211">
        <v>0.69930555555555551</v>
      </c>
      <c r="V102" s="212">
        <v>23</v>
      </c>
      <c r="W102" s="90">
        <f t="shared" si="70"/>
        <v>49.999999999999986</v>
      </c>
      <c r="X102" s="220">
        <v>0.65277777777777779</v>
      </c>
      <c r="Y102" s="220">
        <v>0.66319444444444442</v>
      </c>
      <c r="Z102" s="217"/>
      <c r="AA102" s="217"/>
      <c r="AB102" s="588"/>
      <c r="AC102" s="588"/>
      <c r="AD102" s="420"/>
      <c r="AE102" s="420"/>
      <c r="AF102" s="54">
        <f t="shared" si="61"/>
        <v>-154.79999999999973</v>
      </c>
      <c r="AG102" s="421">
        <f t="shared" si="62"/>
        <v>0.89250000000000018</v>
      </c>
      <c r="AH102" s="611"/>
    </row>
    <row r="103" spans="1:34" s="218" customFormat="1" ht="19.2" customHeight="1">
      <c r="A103" s="633"/>
      <c r="B103" s="422" t="s">
        <v>130</v>
      </c>
      <c r="C103" s="221"/>
      <c r="D103" s="82" t="s">
        <v>65</v>
      </c>
      <c r="E103" s="83"/>
      <c r="F103" s="366">
        <v>29.113149847094796</v>
      </c>
      <c r="G103" s="57">
        <v>1371.3</v>
      </c>
      <c r="H103" s="210">
        <f t="shared" si="65"/>
        <v>39922.862385321096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1285.5937500000014</v>
      </c>
      <c r="O103" s="47">
        <f t="shared" si="67"/>
        <v>71.421875000000071</v>
      </c>
      <c r="P103" s="48">
        <f t="shared" si="68"/>
        <v>-2</v>
      </c>
      <c r="Q103" s="49">
        <f t="shared" si="64"/>
        <v>-3.5781249999999289</v>
      </c>
      <c r="R103" s="424">
        <f t="shared" si="69"/>
        <v>0.95229166666666765</v>
      </c>
      <c r="S103" s="602"/>
      <c r="T103" s="211">
        <v>0.70486111111111105</v>
      </c>
      <c r="U103" s="211">
        <v>0.74930555555555545</v>
      </c>
      <c r="V103" s="212">
        <v>8</v>
      </c>
      <c r="W103" s="90">
        <f t="shared" si="70"/>
        <v>63.999999999999929</v>
      </c>
      <c r="X103" s="220"/>
      <c r="Y103" s="220"/>
      <c r="Z103" s="217"/>
      <c r="AA103" s="217"/>
      <c r="AB103" s="588"/>
      <c r="AC103" s="588"/>
      <c r="AD103" s="420"/>
      <c r="AE103" s="420">
        <v>1</v>
      </c>
      <c r="AF103" s="54">
        <f t="shared" si="61"/>
        <v>-214.40624999999864</v>
      </c>
      <c r="AG103" s="421">
        <f t="shared" si="62"/>
        <v>0.85706250000000095</v>
      </c>
      <c r="AH103" s="611"/>
    </row>
    <row r="104" spans="1:34" s="218" customFormat="1" ht="19.2" customHeight="1">
      <c r="A104" s="633"/>
      <c r="B104" s="422" t="s">
        <v>130</v>
      </c>
      <c r="C104" s="223"/>
      <c r="D104" s="82" t="s">
        <v>211</v>
      </c>
      <c r="E104" s="83"/>
      <c r="F104" s="366">
        <v>29.46</v>
      </c>
      <c r="G104" s="209">
        <v>660</v>
      </c>
      <c r="H104" s="210">
        <f t="shared" si="65"/>
        <v>19443.600000000002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1099.9999999999991</v>
      </c>
      <c r="O104" s="47">
        <f t="shared" si="67"/>
        <v>68.749999999999943</v>
      </c>
      <c r="P104" s="48">
        <f t="shared" si="68"/>
        <v>0</v>
      </c>
      <c r="Q104" s="49">
        <f t="shared" si="64"/>
        <v>-21.250000000000057</v>
      </c>
      <c r="R104" s="424">
        <f t="shared" si="69"/>
        <v>0.76388888888888828</v>
      </c>
      <c r="S104" s="603"/>
      <c r="T104" s="211">
        <v>0.75416666666666654</v>
      </c>
      <c r="U104" s="211">
        <v>0.77916666666666656</v>
      </c>
      <c r="V104" s="212">
        <v>7</v>
      </c>
      <c r="W104" s="90">
        <f t="shared" si="70"/>
        <v>36.000000000000028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-340.00000000000091</v>
      </c>
      <c r="AG104" s="214">
        <f t="shared" si="62"/>
        <v>0.76388888888888828</v>
      </c>
      <c r="AH104" s="611"/>
    </row>
    <row r="105" spans="1:34" s="218" customFormat="1" ht="19.2" customHeight="1">
      <c r="A105" s="633"/>
      <c r="B105" s="422" t="s">
        <v>129</v>
      </c>
      <c r="C105" s="223"/>
      <c r="D105" s="82" t="s">
        <v>197</v>
      </c>
      <c r="E105" s="83"/>
      <c r="F105" s="366">
        <v>62.13</v>
      </c>
      <c r="G105" s="209">
        <v>669.6</v>
      </c>
      <c r="H105" s="210">
        <f t="shared" si="65"/>
        <v>41602.248</v>
      </c>
      <c r="I105" s="221">
        <v>1</v>
      </c>
      <c r="J105" s="46">
        <v>14</v>
      </c>
      <c r="K105" s="44">
        <v>1500</v>
      </c>
      <c r="L105" s="47">
        <v>107.14285714285714</v>
      </c>
      <c r="M105" s="87">
        <v>14</v>
      </c>
      <c r="N105" s="44">
        <f t="shared" si="66"/>
        <v>1385.3793103448249</v>
      </c>
      <c r="O105" s="47">
        <f t="shared" si="67"/>
        <v>98.955665024630349</v>
      </c>
      <c r="P105" s="48">
        <f t="shared" si="68"/>
        <v>0</v>
      </c>
      <c r="Q105" s="49">
        <f t="shared" si="64"/>
        <v>-8.1871921182267897</v>
      </c>
      <c r="R105" s="424">
        <f t="shared" si="69"/>
        <v>0.92358620689654991</v>
      </c>
      <c r="S105" s="603"/>
      <c r="T105" s="211">
        <v>0.78402777777777766</v>
      </c>
      <c r="U105" s="211">
        <v>0.80416666666666659</v>
      </c>
      <c r="V105" s="212">
        <v>7</v>
      </c>
      <c r="W105" s="90">
        <f t="shared" si="70"/>
        <v>29.000000000000057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-114.62068965517506</v>
      </c>
      <c r="AG105" s="421">
        <f t="shared" si="62"/>
        <v>0.92358620689654991</v>
      </c>
      <c r="AH105" s="611"/>
    </row>
    <row r="106" spans="1:34" s="218" customFormat="1" ht="19.2" customHeight="1">
      <c r="A106" s="633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2" customHeight="1">
      <c r="A107" s="633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2" customHeight="1">
      <c r="A108" s="633"/>
      <c r="B108" s="110">
        <v>0</v>
      </c>
      <c r="C108" s="100" t="s">
        <v>257</v>
      </c>
      <c r="D108" s="617" t="s">
        <v>243</v>
      </c>
      <c r="E108" s="617"/>
      <c r="F108" s="367"/>
      <c r="G108" s="101"/>
      <c r="H108" s="102"/>
      <c r="I108" s="103"/>
      <c r="J108" s="101">
        <v>17.899999999999999</v>
      </c>
      <c r="K108" s="101">
        <v>1458.5</v>
      </c>
      <c r="L108" s="104">
        <v>82.601122905302461</v>
      </c>
      <c r="M108" s="101">
        <f t="shared" ref="M108:O108" si="71">AVERAGE(M96:M107)</f>
        <v>17.399999999999999</v>
      </c>
      <c r="N108" s="101">
        <f t="shared" si="71"/>
        <v>1231.904273905968</v>
      </c>
      <c r="O108" s="104">
        <f t="shared" si="71"/>
        <v>71.586575835078264</v>
      </c>
      <c r="P108" s="54">
        <f t="shared" ref="P108:P118" si="72">M108-J108</f>
        <v>-0.5</v>
      </c>
      <c r="Q108" s="88">
        <f t="shared" ref="Q108:Q118" si="73">O108-L108</f>
        <v>-11.014547070224197</v>
      </c>
      <c r="R108" s="105">
        <f t="shared" ref="R108:R118" si="74">O108/L108</f>
        <v>0.86665378528991965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1</v>
      </c>
      <c r="AF108" s="54">
        <f t="shared" si="61"/>
        <v>-226.59572609403199</v>
      </c>
      <c r="AG108" s="421">
        <f t="shared" si="62"/>
        <v>0.84463782921218233</v>
      </c>
      <c r="AH108" s="611"/>
    </row>
    <row r="109" spans="1:34" ht="19.2" customHeight="1">
      <c r="A109" s="634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1005</v>
      </c>
      <c r="H109" s="45">
        <f t="shared" ref="H109:H119" si="75">F109*G109</f>
        <v>56712.15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8" si="76">G109/W109*60</f>
        <v>1282.9787234042553</v>
      </c>
      <c r="O109" s="47">
        <f t="shared" ref="O109:O118" si="77">N109/M109</f>
        <v>71.276595744680847</v>
      </c>
      <c r="P109" s="48">
        <f t="shared" si="72"/>
        <v>0</v>
      </c>
      <c r="Q109" s="49">
        <f t="shared" si="73"/>
        <v>-12.056737588652481</v>
      </c>
      <c r="R109" s="424">
        <f t="shared" si="74"/>
        <v>0.85531914893617023</v>
      </c>
      <c r="S109" s="637">
        <f>R121</f>
        <v>0.88861796715893093</v>
      </c>
      <c r="T109" s="226">
        <v>0.5</v>
      </c>
      <c r="U109" s="226">
        <v>0.53263888888888888</v>
      </c>
      <c r="V109" s="227">
        <v>5</v>
      </c>
      <c r="W109" s="433">
        <f t="shared" si="70"/>
        <v>46.999999999999993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-217.02127659574467</v>
      </c>
      <c r="AG109" s="125">
        <f t="shared" si="62"/>
        <v>0.85531914893617023</v>
      </c>
      <c r="AH109" s="611">
        <f>AG121</f>
        <v>0.88331837910373168</v>
      </c>
    </row>
    <row r="110" spans="1:34" ht="19.2" customHeight="1">
      <c r="A110" s="635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1538</v>
      </c>
      <c r="H110" s="45">
        <f t="shared" si="75"/>
        <v>91572.52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1281.6666666666656</v>
      </c>
      <c r="O110" s="47">
        <f t="shared" si="77"/>
        <v>71.203703703703638</v>
      </c>
      <c r="P110" s="48">
        <f t="shared" si="72"/>
        <v>0</v>
      </c>
      <c r="Q110" s="49">
        <f t="shared" si="73"/>
        <v>-5.7407407407408044</v>
      </c>
      <c r="R110" s="424">
        <f t="shared" si="74"/>
        <v>0.92539109506618444</v>
      </c>
      <c r="S110" s="638"/>
      <c r="T110" s="226">
        <v>0.53749999999999998</v>
      </c>
      <c r="U110" s="226">
        <v>0.58750000000000002</v>
      </c>
      <c r="V110" s="227">
        <v>7</v>
      </c>
      <c r="W110" s="433">
        <f t="shared" si="70"/>
        <v>72.000000000000057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-103.33333333333439</v>
      </c>
      <c r="AG110" s="125">
        <f t="shared" si="62"/>
        <v>0.92539109506618455</v>
      </c>
      <c r="AH110" s="611"/>
    </row>
    <row r="111" spans="1:34" ht="19.2" customHeight="1">
      <c r="A111" s="635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1716</v>
      </c>
      <c r="H111" s="45">
        <f t="shared" si="75"/>
        <v>86949.72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1372.7999999999988</v>
      </c>
      <c r="O111" s="47">
        <f t="shared" si="77"/>
        <v>76.266666666666595</v>
      </c>
      <c r="P111" s="48">
        <f t="shared" si="72"/>
        <v>0</v>
      </c>
      <c r="Q111" s="49">
        <f t="shared" si="73"/>
        <v>-7.0666666666667339</v>
      </c>
      <c r="R111" s="424">
        <f t="shared" si="74"/>
        <v>0.91519999999999924</v>
      </c>
      <c r="S111" s="638"/>
      <c r="T111" s="226">
        <v>0.60347222222222219</v>
      </c>
      <c r="U111" s="226">
        <v>0.65555555555555556</v>
      </c>
      <c r="V111" s="227">
        <v>23</v>
      </c>
      <c r="W111" s="433">
        <f t="shared" si="70"/>
        <v>75.000000000000057</v>
      </c>
      <c r="X111" s="53">
        <v>0.59166666666666667</v>
      </c>
      <c r="Y111" s="53">
        <v>0.60277777777777775</v>
      </c>
      <c r="Z111" s="54"/>
      <c r="AA111" s="54"/>
      <c r="AB111" s="588"/>
      <c r="AC111" s="588"/>
      <c r="AD111" s="420">
        <v>1</v>
      </c>
      <c r="AE111" s="420"/>
      <c r="AF111" s="48">
        <f t="shared" si="61"/>
        <v>-127.20000000000118</v>
      </c>
      <c r="AG111" s="125">
        <f t="shared" si="62"/>
        <v>0.91519999999999924</v>
      </c>
      <c r="AH111" s="611"/>
    </row>
    <row r="112" spans="1:34" ht="19.2" customHeight="1">
      <c r="A112" s="635"/>
      <c r="B112" s="422" t="s">
        <v>132</v>
      </c>
      <c r="C112" s="175"/>
      <c r="D112" s="176" t="s">
        <v>202</v>
      </c>
      <c r="E112" s="83"/>
      <c r="F112" s="355">
        <v>53.27</v>
      </c>
      <c r="G112" s="57">
        <v>1703</v>
      </c>
      <c r="H112" s="45">
        <f t="shared" si="75"/>
        <v>90718.810000000012</v>
      </c>
      <c r="I112" s="420"/>
      <c r="J112" s="46">
        <v>16</v>
      </c>
      <c r="K112" s="44">
        <v>1500</v>
      </c>
      <c r="L112" s="47">
        <v>93.75</v>
      </c>
      <c r="M112" s="434">
        <v>16</v>
      </c>
      <c r="N112" s="44">
        <f t="shared" si="76"/>
        <v>1277.2499999999995</v>
      </c>
      <c r="O112" s="47">
        <f t="shared" si="77"/>
        <v>79.828124999999972</v>
      </c>
      <c r="P112" s="48">
        <f t="shared" si="72"/>
        <v>0</v>
      </c>
      <c r="Q112" s="49">
        <f t="shared" si="73"/>
        <v>-13.921875000000028</v>
      </c>
      <c r="R112" s="424">
        <f t="shared" si="74"/>
        <v>0.8514999999999997</v>
      </c>
      <c r="S112" s="638"/>
      <c r="T112" s="226">
        <v>0.66041666666666665</v>
      </c>
      <c r="U112" s="226">
        <v>0.71597222222222223</v>
      </c>
      <c r="V112" s="227">
        <v>7</v>
      </c>
      <c r="W112" s="433">
        <f t="shared" si="70"/>
        <v>80.000000000000028</v>
      </c>
      <c r="X112" s="216"/>
      <c r="Y112" s="216"/>
      <c r="Z112" s="54"/>
      <c r="AA112" s="54"/>
      <c r="AB112" s="588"/>
      <c r="AC112" s="588"/>
      <c r="AD112" s="420">
        <v>1</v>
      </c>
      <c r="AE112" s="420"/>
      <c r="AF112" s="48">
        <f t="shared" si="61"/>
        <v>-222.75000000000045</v>
      </c>
      <c r="AG112" s="125">
        <f t="shared" si="62"/>
        <v>0.8514999999999997</v>
      </c>
      <c r="AH112" s="611"/>
    </row>
    <row r="113" spans="1:34" s="218" customFormat="1" ht="19.2" customHeight="1">
      <c r="A113" s="635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1740</v>
      </c>
      <c r="H113" s="45">
        <f t="shared" si="75"/>
        <v>49711.8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1449.9999999999989</v>
      </c>
      <c r="O113" s="47">
        <f t="shared" si="77"/>
        <v>120.83333333333324</v>
      </c>
      <c r="P113" s="48">
        <f t="shared" si="72"/>
        <v>0</v>
      </c>
      <c r="Q113" s="49">
        <f t="shared" si="73"/>
        <v>-4.1666666666667567</v>
      </c>
      <c r="R113" s="424">
        <f t="shared" si="74"/>
        <v>0.9666666666666659</v>
      </c>
      <c r="S113" s="638"/>
      <c r="T113" s="226">
        <v>0.75624999999999998</v>
      </c>
      <c r="U113" s="226">
        <v>0.80625000000000002</v>
      </c>
      <c r="V113" s="227">
        <v>5</v>
      </c>
      <c r="W113" s="433">
        <f t="shared" si="70"/>
        <v>72.000000000000057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-50.000000000001137</v>
      </c>
      <c r="AG113" s="125">
        <f t="shared" si="62"/>
        <v>0.9666666666666659</v>
      </c>
      <c r="AH113" s="611"/>
    </row>
    <row r="114" spans="1:34" s="218" customFormat="1" ht="19.2" customHeight="1">
      <c r="A114" s="635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605</v>
      </c>
      <c r="H114" s="45">
        <f t="shared" si="75"/>
        <v>12354.1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1344.4444444444414</v>
      </c>
      <c r="O114" s="47">
        <f t="shared" si="77"/>
        <v>112.03703703703678</v>
      </c>
      <c r="P114" s="48">
        <f t="shared" si="72"/>
        <v>0</v>
      </c>
      <c r="Q114" s="49">
        <f t="shared" si="73"/>
        <v>-12.962962962963218</v>
      </c>
      <c r="R114" s="424">
        <f t="shared" si="74"/>
        <v>0.89629629629629426</v>
      </c>
      <c r="S114" s="638"/>
      <c r="T114" s="226">
        <v>0.81111111111111112</v>
      </c>
      <c r="U114" s="226">
        <v>0.82986111111111116</v>
      </c>
      <c r="V114" s="227">
        <v>7</v>
      </c>
      <c r="W114" s="433">
        <f t="shared" si="70"/>
        <v>27.000000000000064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-155.55555555555861</v>
      </c>
      <c r="AG114" s="125">
        <f t="shared" si="62"/>
        <v>0.89629629629629426</v>
      </c>
      <c r="AH114" s="611"/>
    </row>
    <row r="115" spans="1:34" s="218" customFormat="1" ht="19.2" customHeight="1">
      <c r="A115" s="635"/>
      <c r="B115" s="422" t="s">
        <v>130</v>
      </c>
      <c r="C115" s="175"/>
      <c r="D115" s="82" t="s">
        <v>207</v>
      </c>
      <c r="E115" s="83"/>
      <c r="F115" s="355">
        <v>55.51</v>
      </c>
      <c r="G115" s="229">
        <v>312</v>
      </c>
      <c r="H115" s="45">
        <f t="shared" si="75"/>
        <v>17319.12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1337.1428571428619</v>
      </c>
      <c r="O115" s="47">
        <f t="shared" si="77"/>
        <v>111.42857142857183</v>
      </c>
      <c r="P115" s="48">
        <f t="shared" si="72"/>
        <v>0</v>
      </c>
      <c r="Q115" s="49">
        <f t="shared" si="73"/>
        <v>-13.571428571428171</v>
      </c>
      <c r="R115" s="424">
        <f t="shared" si="74"/>
        <v>0.89142857142857468</v>
      </c>
      <c r="S115" s="638"/>
      <c r="T115" s="226">
        <v>0.83472222222222225</v>
      </c>
      <c r="U115" s="226">
        <v>0.84444444444444444</v>
      </c>
      <c r="V115" s="227">
        <v>7</v>
      </c>
      <c r="W115" s="433">
        <f t="shared" si="70"/>
        <v>13.99999999999995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-162.85714285713811</v>
      </c>
      <c r="AG115" s="125">
        <f t="shared" si="62"/>
        <v>0.89142857142857457</v>
      </c>
      <c r="AH115" s="611"/>
    </row>
    <row r="116" spans="1:34" s="218" customFormat="1" ht="19.2" customHeight="1">
      <c r="A116" s="635"/>
      <c r="B116" s="422" t="s">
        <v>132</v>
      </c>
      <c r="C116" s="55"/>
      <c r="D116" s="82" t="s">
        <v>142</v>
      </c>
      <c r="E116" s="83"/>
      <c r="F116" s="355">
        <v>44.98</v>
      </c>
      <c r="G116" s="229">
        <v>1188</v>
      </c>
      <c r="H116" s="45">
        <f t="shared" si="75"/>
        <v>53436.24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1228.9655172413802</v>
      </c>
      <c r="O116" s="47">
        <f t="shared" si="77"/>
        <v>64.682395644283176</v>
      </c>
      <c r="P116" s="48">
        <f t="shared" si="72"/>
        <v>0</v>
      </c>
      <c r="Q116" s="49">
        <f t="shared" si="73"/>
        <v>-14.264972776769454</v>
      </c>
      <c r="R116" s="424">
        <f t="shared" si="74"/>
        <v>0.81931034482758691</v>
      </c>
      <c r="S116" s="638"/>
      <c r="T116" s="226">
        <v>0.85972222222222217</v>
      </c>
      <c r="U116" s="226">
        <v>0.89999999999999991</v>
      </c>
      <c r="V116" s="227">
        <v>22</v>
      </c>
      <c r="W116" s="433">
        <f t="shared" si="70"/>
        <v>57.999999999999957</v>
      </c>
      <c r="X116" s="216">
        <v>0.84791666666666676</v>
      </c>
      <c r="Y116" s="216">
        <v>0.85902777777777783</v>
      </c>
      <c r="Z116" s="217"/>
      <c r="AA116" s="217"/>
      <c r="AB116" s="588"/>
      <c r="AC116" s="588"/>
      <c r="AD116" s="221"/>
      <c r="AE116" s="221"/>
      <c r="AF116" s="48">
        <f t="shared" si="61"/>
        <v>-271.03448275861979</v>
      </c>
      <c r="AG116" s="125">
        <f t="shared" si="62"/>
        <v>0.8193103448275868</v>
      </c>
      <c r="AH116" s="611"/>
    </row>
    <row r="117" spans="1:34" s="218" customFormat="1" ht="19.2" customHeight="1">
      <c r="A117" s="635"/>
      <c r="B117" s="422" t="s">
        <v>132</v>
      </c>
      <c r="C117" s="55"/>
      <c r="D117" s="82" t="s">
        <v>75</v>
      </c>
      <c r="E117" s="83"/>
      <c r="F117" s="355">
        <v>53.68</v>
      </c>
      <c r="G117" s="229">
        <v>997</v>
      </c>
      <c r="H117" s="45">
        <f t="shared" si="75"/>
        <v>53518.96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1220.8163265306125</v>
      </c>
      <c r="O117" s="47">
        <f t="shared" si="77"/>
        <v>61.040816326530624</v>
      </c>
      <c r="P117" s="48">
        <f t="shared" si="72"/>
        <v>0</v>
      </c>
      <c r="Q117" s="49">
        <f t="shared" si="73"/>
        <v>-13.959183673469376</v>
      </c>
      <c r="R117" s="424">
        <f t="shared" si="74"/>
        <v>0.81387755102040837</v>
      </c>
      <c r="S117" s="638"/>
      <c r="T117" s="226">
        <v>0.90486111111111101</v>
      </c>
      <c r="U117" s="226">
        <v>0.93888888888888877</v>
      </c>
      <c r="V117" s="227">
        <v>7</v>
      </c>
      <c r="W117" s="433">
        <f t="shared" si="70"/>
        <v>48.999999999999986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-279.18367346938749</v>
      </c>
      <c r="AG117" s="125">
        <f t="shared" si="62"/>
        <v>0.81387755102040837</v>
      </c>
      <c r="AH117" s="611"/>
    </row>
    <row r="118" spans="1:34" s="218" customFormat="1" ht="19.2" customHeight="1">
      <c r="A118" s="635"/>
      <c r="B118" s="422" t="s">
        <v>132</v>
      </c>
      <c r="C118" s="163"/>
      <c r="D118" s="176" t="s">
        <v>81</v>
      </c>
      <c r="E118" s="43"/>
      <c r="F118" s="355">
        <v>55.56</v>
      </c>
      <c r="G118" s="44">
        <v>996</v>
      </c>
      <c r="H118" s="45">
        <f t="shared" si="75"/>
        <v>55337.760000000002</v>
      </c>
      <c r="I118" s="420"/>
      <c r="J118" s="46">
        <v>16</v>
      </c>
      <c r="K118" s="44">
        <v>1440</v>
      </c>
      <c r="L118" s="47">
        <v>90</v>
      </c>
      <c r="M118" s="431">
        <v>16</v>
      </c>
      <c r="N118" s="44">
        <f t="shared" si="76"/>
        <v>1299.1304347826085</v>
      </c>
      <c r="O118" s="47">
        <f t="shared" si="77"/>
        <v>81.195652173913032</v>
      </c>
      <c r="P118" s="48">
        <f t="shared" si="72"/>
        <v>0</v>
      </c>
      <c r="Q118" s="49">
        <f t="shared" si="73"/>
        <v>-8.8043478260869676</v>
      </c>
      <c r="R118" s="424">
        <f t="shared" si="74"/>
        <v>0.90217391304347816</v>
      </c>
      <c r="S118" s="638"/>
      <c r="T118" s="226">
        <v>0.94374999999999987</v>
      </c>
      <c r="U118" s="226">
        <v>0.97569444444444431</v>
      </c>
      <c r="V118" s="227">
        <v>7</v>
      </c>
      <c r="W118" s="433">
        <f t="shared" si="70"/>
        <v>46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-140.86956521739148</v>
      </c>
      <c r="AG118" s="125">
        <f t="shared" si="62"/>
        <v>0.90217391304347816</v>
      </c>
      <c r="AH118" s="611"/>
    </row>
    <row r="119" spans="1:34" s="218" customFormat="1" ht="19.2" customHeight="1">
      <c r="A119" s="635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2" customHeight="1">
      <c r="A120" s="635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2" customHeight="1">
      <c r="A121" s="636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16.100000000000001</v>
      </c>
      <c r="K121" s="202">
        <v>1482.5</v>
      </c>
      <c r="L121" s="203">
        <v>95.630847953216374</v>
      </c>
      <c r="M121" s="202">
        <f t="shared" ref="M121:O121" si="78">AVERAGE(M109:M120)</f>
        <v>16.100000000000001</v>
      </c>
      <c r="N121" s="202">
        <f t="shared" si="78"/>
        <v>1309.5194970212822</v>
      </c>
      <c r="O121" s="203">
        <f t="shared" si="78"/>
        <v>84.979289705871949</v>
      </c>
      <c r="P121" s="48">
        <f t="shared" ref="P121:P129" si="79">M121-J121</f>
        <v>0</v>
      </c>
      <c r="Q121" s="49">
        <f t="shared" ref="Q121:Q129" si="80">O121-L121</f>
        <v>-10.651558247344425</v>
      </c>
      <c r="R121" s="172">
        <f t="shared" ref="R121:R129" si="81">O121/L121</f>
        <v>0.88861796715893093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2</v>
      </c>
      <c r="AE121" s="107">
        <f>SUM(AE109:AE120)</f>
        <v>0</v>
      </c>
      <c r="AF121" s="48">
        <f>N121-K121</f>
        <v>-172.98050297871782</v>
      </c>
      <c r="AG121" s="125">
        <f>N121/K121</f>
        <v>0.88331837910373168</v>
      </c>
      <c r="AH121" s="611"/>
    </row>
    <row r="122" spans="1:34" ht="19.2" customHeight="1">
      <c r="A122" s="639" t="s">
        <v>260</v>
      </c>
      <c r="B122" s="130" t="s">
        <v>129</v>
      </c>
      <c r="C122" s="163"/>
      <c r="D122" s="176" t="s">
        <v>210</v>
      </c>
      <c r="E122" s="43"/>
      <c r="F122" s="355">
        <v>44.3</v>
      </c>
      <c r="G122" s="44">
        <v>1509.1999999999998</v>
      </c>
      <c r="H122" s="45">
        <f t="shared" ref="H122:H132" si="82">F122*G122</f>
        <v>66857.559999999983</v>
      </c>
      <c r="I122" s="422">
        <v>1</v>
      </c>
      <c r="J122" s="46">
        <v>17</v>
      </c>
      <c r="K122" s="44">
        <v>1636</v>
      </c>
      <c r="L122" s="47">
        <v>96.235294117647058</v>
      </c>
      <c r="M122" s="434">
        <v>15</v>
      </c>
      <c r="N122" s="174">
        <f t="shared" ref="N122:N129" si="83">G122/W122*60</f>
        <v>1437.3333333333346</v>
      </c>
      <c r="O122" s="237">
        <f t="shared" ref="O122:O129" si="84">N122/M122</f>
        <v>95.822222222222308</v>
      </c>
      <c r="P122" s="108">
        <f t="shared" si="79"/>
        <v>-2</v>
      </c>
      <c r="Q122" s="182">
        <f t="shared" si="80"/>
        <v>-0.41307189542474987</v>
      </c>
      <c r="R122" s="109">
        <f t="shared" si="81"/>
        <v>0.99570768812822696</v>
      </c>
      <c r="S122" s="602">
        <f>R134</f>
        <v>0.93296594026666235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-198.66666666666538</v>
      </c>
      <c r="AG122" s="424">
        <f t="shared" si="62"/>
        <v>0.87856560717196497</v>
      </c>
      <c r="AH122" s="616">
        <f>AG134</f>
        <v>0.91697719351154827</v>
      </c>
    </row>
    <row r="123" spans="1:34" ht="19.2" customHeight="1">
      <c r="A123" s="639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1897</v>
      </c>
      <c r="H123" s="45">
        <f t="shared" si="82"/>
        <v>111296.99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1354.9999999999995</v>
      </c>
      <c r="O123" s="86">
        <f t="shared" si="84"/>
        <v>71.315789473684191</v>
      </c>
      <c r="P123" s="54">
        <f t="shared" si="79"/>
        <v>0</v>
      </c>
      <c r="Q123" s="88">
        <f t="shared" si="80"/>
        <v>-4.4736842105263293</v>
      </c>
      <c r="R123" s="421">
        <f t="shared" si="81"/>
        <v>0.94097222222222199</v>
      </c>
      <c r="S123" s="602"/>
      <c r="T123" s="50">
        <v>0.54861111111111105</v>
      </c>
      <c r="U123" s="50">
        <v>0.6069444444444444</v>
      </c>
      <c r="V123" s="227">
        <v>7</v>
      </c>
      <c r="W123" s="433">
        <f t="shared" si="70"/>
        <v>84.000000000000028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-85.000000000000455</v>
      </c>
      <c r="AG123" s="424">
        <f t="shared" si="62"/>
        <v>0.94097222222222188</v>
      </c>
      <c r="AH123" s="602"/>
    </row>
    <row r="124" spans="1:34" ht="19.2" customHeight="1">
      <c r="A124" s="639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2492</v>
      </c>
      <c r="H124" s="45">
        <f t="shared" si="82"/>
        <v>148323.84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1300.1739130434776</v>
      </c>
      <c r="O124" s="237">
        <f t="shared" si="84"/>
        <v>61.913043478260839</v>
      </c>
      <c r="P124" s="108">
        <f t="shared" si="79"/>
        <v>0</v>
      </c>
      <c r="Q124" s="182">
        <f t="shared" si="80"/>
        <v>-4.03933747412011</v>
      </c>
      <c r="R124" s="109">
        <f t="shared" si="81"/>
        <v>0.93875372782922573</v>
      </c>
      <c r="S124" s="640"/>
      <c r="T124" s="50">
        <v>0.62291666666666656</v>
      </c>
      <c r="U124" s="50">
        <v>0.70277777777777772</v>
      </c>
      <c r="V124" s="227">
        <v>23</v>
      </c>
      <c r="W124" s="433">
        <f t="shared" si="70"/>
        <v>115.00000000000007</v>
      </c>
      <c r="X124" s="188">
        <v>0.61111111111111105</v>
      </c>
      <c r="Y124" s="188">
        <v>0.62152777777777779</v>
      </c>
      <c r="Z124" s="54"/>
      <c r="AA124" s="54"/>
      <c r="AB124" s="588"/>
      <c r="AC124" s="588"/>
      <c r="AD124" s="420"/>
      <c r="AE124" s="420"/>
      <c r="AF124" s="108">
        <f t="shared" si="61"/>
        <v>-84.826086956522431</v>
      </c>
      <c r="AG124" s="109">
        <f t="shared" si="62"/>
        <v>0.93875372782922573</v>
      </c>
      <c r="AH124" s="602"/>
    </row>
    <row r="125" spans="1:34" ht="19.2" customHeight="1">
      <c r="A125" s="639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1448</v>
      </c>
      <c r="H125" s="45">
        <f t="shared" si="82"/>
        <v>82231.92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1448.0000000000014</v>
      </c>
      <c r="O125" s="237">
        <f t="shared" si="84"/>
        <v>80.444444444444514</v>
      </c>
      <c r="P125" s="108">
        <f t="shared" si="79"/>
        <v>0</v>
      </c>
      <c r="Q125" s="182">
        <f t="shared" si="80"/>
        <v>-10.444444444444372</v>
      </c>
      <c r="R125" s="109">
        <f t="shared" si="81"/>
        <v>0.88508557457212789</v>
      </c>
      <c r="S125" s="640"/>
      <c r="T125" s="50">
        <v>0.74305555555555547</v>
      </c>
      <c r="U125" s="50">
        <v>0.7847222222222221</v>
      </c>
      <c r="V125" s="227">
        <v>5</v>
      </c>
      <c r="W125" s="433">
        <f t="shared" si="70"/>
        <v>59.999999999999943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-187.99999999999864</v>
      </c>
      <c r="AG125" s="424">
        <f t="shared" si="62"/>
        <v>0.885085574572128</v>
      </c>
      <c r="AH125" s="603"/>
    </row>
    <row r="126" spans="1:34" ht="19.2" customHeight="1">
      <c r="A126" s="639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1193</v>
      </c>
      <c r="H126" s="45">
        <f t="shared" si="82"/>
        <v>67845.91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1460.8163265306125</v>
      </c>
      <c r="O126" s="86">
        <f t="shared" si="84"/>
        <v>81.156462585034035</v>
      </c>
      <c r="P126" s="54">
        <f t="shared" si="79"/>
        <v>0</v>
      </c>
      <c r="Q126" s="88">
        <f t="shared" si="80"/>
        <v>-9.7324263038548509</v>
      </c>
      <c r="R126" s="421">
        <f t="shared" si="81"/>
        <v>0.89291951499426203</v>
      </c>
      <c r="S126" s="640"/>
      <c r="T126" s="50">
        <v>0.78958333333333319</v>
      </c>
      <c r="U126" s="50">
        <v>0.82361111111111096</v>
      </c>
      <c r="V126" s="227">
        <v>7</v>
      </c>
      <c r="W126" s="433">
        <f t="shared" si="70"/>
        <v>48.999999999999986</v>
      </c>
      <c r="X126" s="64"/>
      <c r="Y126" s="64"/>
      <c r="Z126" s="54"/>
      <c r="AA126" s="54"/>
      <c r="AB126" s="588"/>
      <c r="AC126" s="588"/>
      <c r="AD126" s="420"/>
      <c r="AE126" s="420">
        <v>1</v>
      </c>
      <c r="AF126" s="108">
        <f t="shared" si="61"/>
        <v>-175.18367346938749</v>
      </c>
      <c r="AG126" s="109">
        <f t="shared" si="62"/>
        <v>0.89291951499426192</v>
      </c>
      <c r="AH126" s="603"/>
    </row>
    <row r="127" spans="1:34" ht="19.2" customHeight="1">
      <c r="A127" s="639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1472</v>
      </c>
      <c r="H127" s="45">
        <f t="shared" si="82"/>
        <v>70067.199999999997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1358.7692307692323</v>
      </c>
      <c r="O127" s="86">
        <f t="shared" si="84"/>
        <v>71.514170040485908</v>
      </c>
      <c r="P127" s="54">
        <f t="shared" si="79"/>
        <v>0</v>
      </c>
      <c r="Q127" s="88">
        <f t="shared" si="80"/>
        <v>-4.2753036437246124</v>
      </c>
      <c r="R127" s="421">
        <f t="shared" si="81"/>
        <v>0.94358974358974468</v>
      </c>
      <c r="S127" s="640"/>
      <c r="T127" s="50">
        <v>0.82847222222222205</v>
      </c>
      <c r="U127" s="50">
        <v>0.87361111111111089</v>
      </c>
      <c r="V127" s="422">
        <v>7</v>
      </c>
      <c r="W127" s="433">
        <f t="shared" si="70"/>
        <v>64.999999999999929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-81.230769230767692</v>
      </c>
      <c r="AG127" s="109">
        <f t="shared" si="62"/>
        <v>0.94358974358974468</v>
      </c>
      <c r="AH127" s="603"/>
    </row>
    <row r="128" spans="1:34" ht="19.2" customHeight="1">
      <c r="A128" s="639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1439</v>
      </c>
      <c r="H128" s="45">
        <f t="shared" si="82"/>
        <v>72914.13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1415.4098360655751</v>
      </c>
      <c r="O128" s="86">
        <f t="shared" si="84"/>
        <v>78.633879781420831</v>
      </c>
      <c r="P128" s="54">
        <f t="shared" si="79"/>
        <v>0</v>
      </c>
      <c r="Q128" s="88">
        <f t="shared" si="80"/>
        <v>-4.699453551912498</v>
      </c>
      <c r="R128" s="421">
        <f t="shared" si="81"/>
        <v>0.94360655737705001</v>
      </c>
      <c r="S128" s="640"/>
      <c r="T128" s="50">
        <v>0.88958333333333317</v>
      </c>
      <c r="U128" s="50">
        <v>0.93194444444444424</v>
      </c>
      <c r="V128" s="422">
        <v>23</v>
      </c>
      <c r="W128" s="433">
        <f t="shared" si="70"/>
        <v>60.999999999999943</v>
      </c>
      <c r="X128" s="64">
        <v>0.87847222222222221</v>
      </c>
      <c r="Y128" s="64">
        <v>0.88888888888888884</v>
      </c>
      <c r="Z128" s="54"/>
      <c r="AA128" s="54"/>
      <c r="AB128" s="588"/>
      <c r="AC128" s="588"/>
      <c r="AD128" s="420"/>
      <c r="AE128" s="420"/>
      <c r="AF128" s="48">
        <f t="shared" si="61"/>
        <v>-84.590163934424936</v>
      </c>
      <c r="AG128" s="424">
        <f t="shared" si="62"/>
        <v>0.94360655737705001</v>
      </c>
      <c r="AH128" s="603"/>
    </row>
    <row r="129" spans="1:34" ht="19.2" customHeight="1">
      <c r="A129" s="639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1687</v>
      </c>
      <c r="H129" s="45">
        <f t="shared" si="82"/>
        <v>98132.790000000008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1331.8421052631513</v>
      </c>
      <c r="O129" s="86">
        <f t="shared" si="84"/>
        <v>83.240131578946958</v>
      </c>
      <c r="P129" s="54">
        <f t="shared" si="79"/>
        <v>0</v>
      </c>
      <c r="Q129" s="88">
        <f t="shared" si="80"/>
        <v>-6.7598684210530422</v>
      </c>
      <c r="R129" s="421">
        <f t="shared" si="81"/>
        <v>0.92489035087718841</v>
      </c>
      <c r="S129" s="640"/>
      <c r="T129" s="50">
        <v>0.93680555555555534</v>
      </c>
      <c r="U129" s="50">
        <v>0.98958333333333337</v>
      </c>
      <c r="V129" s="422">
        <v>7</v>
      </c>
      <c r="W129" s="433">
        <f t="shared" si="70"/>
        <v>76.000000000000369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-108.15789473684868</v>
      </c>
      <c r="AG129" s="109">
        <f t="shared" si="62"/>
        <v>0.92489035087718841</v>
      </c>
      <c r="AH129" s="603"/>
    </row>
    <row r="130" spans="1:34" ht="19.2" customHeight="1">
      <c r="A130" s="639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2" customHeight="1">
      <c r="A131" s="639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2" customHeight="1">
      <c r="A132" s="639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2" customHeight="1">
      <c r="A133" s="639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2" customHeight="1">
      <c r="A134" s="639"/>
      <c r="B134" s="168">
        <v>0</v>
      </c>
      <c r="C134" s="100" t="s">
        <v>261</v>
      </c>
      <c r="D134" s="617" t="s">
        <v>243</v>
      </c>
      <c r="E134" s="617"/>
      <c r="F134" s="365"/>
      <c r="G134" s="101"/>
      <c r="H134" s="102"/>
      <c r="I134" s="241"/>
      <c r="J134" s="242">
        <v>18.25</v>
      </c>
      <c r="K134" s="242">
        <v>1514.125</v>
      </c>
      <c r="L134" s="243">
        <v>83.609716693695034</v>
      </c>
      <c r="M134" s="242">
        <f t="shared" ref="M134:O134" si="85">AVERAGE(M122:M133)</f>
        <v>18</v>
      </c>
      <c r="N134" s="242">
        <f t="shared" si="85"/>
        <v>1388.4180931256731</v>
      </c>
      <c r="O134" s="243">
        <f t="shared" si="85"/>
        <v>78.005017950562447</v>
      </c>
      <c r="P134" s="51">
        <f t="shared" ref="P134:P144" si="86">M134-J134</f>
        <v>-0.25</v>
      </c>
      <c r="Q134" s="139">
        <f t="shared" ref="Q134:Q144" si="87">O134-L134</f>
        <v>-5.6046987431325874</v>
      </c>
      <c r="R134" s="244">
        <f t="shared" ref="R134:R144" si="88">O134/L134</f>
        <v>0.93296594026666235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-125.70690687432693</v>
      </c>
      <c r="AG134" s="424">
        <f t="shared" si="62"/>
        <v>0.91697719351154827</v>
      </c>
      <c r="AH134" s="603"/>
    </row>
    <row r="135" spans="1:34" ht="19.2" customHeight="1">
      <c r="A135" s="641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2320.5</v>
      </c>
      <c r="H135" s="245">
        <f t="shared" ref="H135:H146" si="89">F135*G135</f>
        <v>125515.845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4" si="90">G135/W135*60</f>
        <v>1351.7475728155337</v>
      </c>
      <c r="O135" s="115">
        <f t="shared" ref="O135:O144" si="91">N135/M135</f>
        <v>75.097087378640765</v>
      </c>
      <c r="P135" s="54">
        <f t="shared" si="86"/>
        <v>0</v>
      </c>
      <c r="Q135" s="88">
        <f t="shared" si="87"/>
        <v>-8.2362459546925635</v>
      </c>
      <c r="R135" s="421">
        <f t="shared" si="88"/>
        <v>0.90116504854368928</v>
      </c>
      <c r="S135" s="638">
        <f>R147</f>
        <v>0.88260109864473801</v>
      </c>
      <c r="T135" s="246">
        <v>0.45833333333333331</v>
      </c>
      <c r="U135" s="50">
        <v>0.52986111111111112</v>
      </c>
      <c r="V135" s="142">
        <v>5</v>
      </c>
      <c r="W135" s="247">
        <f t="shared" ref="W135:W147" si="92">(U135-T135)*24*60</f>
        <v>103.00000000000003</v>
      </c>
      <c r="X135" s="53"/>
      <c r="Y135" s="53"/>
      <c r="Z135" s="54"/>
      <c r="AA135" s="54"/>
      <c r="AB135" s="588"/>
      <c r="AC135" s="588"/>
      <c r="AD135" s="420">
        <v>1</v>
      </c>
      <c r="AE135" s="420"/>
      <c r="AF135" s="116">
        <f t="shared" si="61"/>
        <v>-148.25242718446634</v>
      </c>
      <c r="AG135" s="120">
        <f t="shared" si="62"/>
        <v>0.90116504854368906</v>
      </c>
      <c r="AH135" s="611">
        <f>AG147</f>
        <v>0.88832194444068535</v>
      </c>
    </row>
    <row r="136" spans="1:34" ht="19.2" customHeight="1">
      <c r="A136" s="64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1833</v>
      </c>
      <c r="H136" s="84">
        <f t="shared" si="89"/>
        <v>105828.255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1325.060240963855</v>
      </c>
      <c r="O136" s="86">
        <f t="shared" si="91"/>
        <v>82.816265060240937</v>
      </c>
      <c r="P136" s="54">
        <f t="shared" si="86"/>
        <v>0</v>
      </c>
      <c r="Q136" s="88">
        <f t="shared" si="87"/>
        <v>-14.996234939759063</v>
      </c>
      <c r="R136" s="421">
        <f t="shared" si="88"/>
        <v>0.84668386004080187</v>
      </c>
      <c r="S136" s="638"/>
      <c r="T136" s="246">
        <v>0.53402777777777777</v>
      </c>
      <c r="U136" s="50">
        <v>0.59166666666666667</v>
      </c>
      <c r="V136" s="142">
        <v>6</v>
      </c>
      <c r="W136" s="247">
        <f t="shared" si="92"/>
        <v>83.000000000000028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-239.93975903614501</v>
      </c>
      <c r="AG136" s="125">
        <f t="shared" si="62"/>
        <v>0.84668386004080187</v>
      </c>
      <c r="AH136" s="611"/>
    </row>
    <row r="137" spans="1:34" ht="19.2" customHeight="1">
      <c r="A137" s="642"/>
      <c r="B137" s="422" t="s">
        <v>129</v>
      </c>
      <c r="C137" s="420"/>
      <c r="D137" s="82" t="s">
        <v>186</v>
      </c>
      <c r="E137" s="83"/>
      <c r="F137" s="355">
        <v>56.43</v>
      </c>
      <c r="G137" s="209">
        <v>810.94999999999993</v>
      </c>
      <c r="H137" s="84">
        <f t="shared" si="89"/>
        <v>45761.908499999998</v>
      </c>
      <c r="I137" s="221">
        <v>1</v>
      </c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1351.5833333333323</v>
      </c>
      <c r="O137" s="86">
        <f t="shared" si="91"/>
        <v>79.504901960784252</v>
      </c>
      <c r="P137" s="54">
        <f t="shared" si="86"/>
        <v>1</v>
      </c>
      <c r="Q137" s="88">
        <f t="shared" si="87"/>
        <v>-14.245098039215748</v>
      </c>
      <c r="R137" s="421">
        <f t="shared" si="88"/>
        <v>0.8480522875816987</v>
      </c>
      <c r="S137" s="638"/>
      <c r="T137" s="50">
        <v>0.60763888888888884</v>
      </c>
      <c r="U137" s="50">
        <v>0.63263888888888886</v>
      </c>
      <c r="V137" s="249">
        <v>23</v>
      </c>
      <c r="W137" s="247">
        <f t="shared" si="92"/>
        <v>36.000000000000028</v>
      </c>
      <c r="X137" s="53">
        <v>0.59583333333333333</v>
      </c>
      <c r="Y137" s="53">
        <v>0.6069444444444444</v>
      </c>
      <c r="Z137" s="54"/>
      <c r="AA137" s="54"/>
      <c r="AB137" s="588"/>
      <c r="AC137" s="588"/>
      <c r="AD137" s="420"/>
      <c r="AE137" s="420"/>
      <c r="AF137" s="48">
        <f t="shared" si="61"/>
        <v>-148.41666666666765</v>
      </c>
      <c r="AG137" s="125">
        <f t="shared" si="62"/>
        <v>0.90105555555555494</v>
      </c>
      <c r="AH137" s="611"/>
    </row>
    <row r="138" spans="1:34" ht="19.2" customHeight="1">
      <c r="A138" s="642"/>
      <c r="B138" s="422" t="s">
        <v>130</v>
      </c>
      <c r="C138" s="223"/>
      <c r="D138" s="82" t="s">
        <v>61</v>
      </c>
      <c r="E138" s="83"/>
      <c r="F138" s="355">
        <v>43.14</v>
      </c>
      <c r="G138" s="57">
        <v>733.59999999999991</v>
      </c>
      <c r="H138" s="84">
        <f t="shared" si="89"/>
        <v>31647.503999999997</v>
      </c>
      <c r="I138" s="420">
        <v>1</v>
      </c>
      <c r="J138" s="87">
        <v>16</v>
      </c>
      <c r="K138" s="57">
        <v>1440</v>
      </c>
      <c r="L138" s="86">
        <v>90</v>
      </c>
      <c r="M138" s="228">
        <v>16</v>
      </c>
      <c r="N138" s="57">
        <f t="shared" si="90"/>
        <v>1375.499999999998</v>
      </c>
      <c r="O138" s="86">
        <f t="shared" si="91"/>
        <v>85.968749999999872</v>
      </c>
      <c r="P138" s="54">
        <f t="shared" si="86"/>
        <v>0</v>
      </c>
      <c r="Q138" s="88">
        <f t="shared" si="87"/>
        <v>-4.0312500000001279</v>
      </c>
      <c r="R138" s="426">
        <f t="shared" si="88"/>
        <v>0.95520833333333188</v>
      </c>
      <c r="S138" s="638"/>
      <c r="T138" s="50">
        <v>0.63749999999999996</v>
      </c>
      <c r="U138" s="50">
        <v>0.65972222222222221</v>
      </c>
      <c r="V138" s="249">
        <v>7</v>
      </c>
      <c r="W138" s="247">
        <f t="shared" si="92"/>
        <v>32.000000000000043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-64.500000000002046</v>
      </c>
      <c r="AG138" s="125">
        <f t="shared" si="62"/>
        <v>0.95520833333333188</v>
      </c>
      <c r="AH138" s="611"/>
    </row>
    <row r="139" spans="1:34" ht="19.2" customHeight="1">
      <c r="A139" s="642"/>
      <c r="B139" s="422" t="s">
        <v>128</v>
      </c>
      <c r="C139" s="429"/>
      <c r="D139" s="42" t="s">
        <v>71</v>
      </c>
      <c r="E139" s="43"/>
      <c r="F139" s="355">
        <v>47.65</v>
      </c>
      <c r="G139" s="57">
        <v>741</v>
      </c>
      <c r="H139" s="84">
        <f t="shared" si="89"/>
        <v>35308.65</v>
      </c>
      <c r="I139" s="420">
        <v>1</v>
      </c>
      <c r="J139" s="46">
        <v>18</v>
      </c>
      <c r="K139" s="44">
        <v>1440</v>
      </c>
      <c r="L139" s="47">
        <v>80</v>
      </c>
      <c r="M139" s="228">
        <v>18</v>
      </c>
      <c r="N139" s="57">
        <f t="shared" si="90"/>
        <v>1201.6216216216205</v>
      </c>
      <c r="O139" s="86">
        <f t="shared" si="91"/>
        <v>66.756756756756701</v>
      </c>
      <c r="P139" s="54">
        <f t="shared" si="86"/>
        <v>0</v>
      </c>
      <c r="Q139" s="88">
        <f t="shared" si="87"/>
        <v>-13.243243243243299</v>
      </c>
      <c r="R139" s="421">
        <f t="shared" si="88"/>
        <v>0.83445945945945876</v>
      </c>
      <c r="S139" s="638"/>
      <c r="T139" s="50">
        <v>0.66527777777777775</v>
      </c>
      <c r="U139" s="50">
        <v>0.69097222222222221</v>
      </c>
      <c r="V139" s="250">
        <v>8</v>
      </c>
      <c r="W139" s="247">
        <f t="shared" si="92"/>
        <v>37.000000000000028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-238.37837837837947</v>
      </c>
      <c r="AG139" s="125">
        <f t="shared" si="62"/>
        <v>0.83445945945945865</v>
      </c>
      <c r="AH139" s="611"/>
    </row>
    <row r="140" spans="1:34" ht="19.2" customHeight="1">
      <c r="A140" s="643"/>
      <c r="B140" s="422" t="s">
        <v>132</v>
      </c>
      <c r="C140" s="429"/>
      <c r="D140" s="251" t="s">
        <v>88</v>
      </c>
      <c r="E140" s="83"/>
      <c r="F140" s="355">
        <v>50.98</v>
      </c>
      <c r="G140" s="57">
        <v>1844</v>
      </c>
      <c r="H140" s="84">
        <f t="shared" si="89"/>
        <v>94007.12</v>
      </c>
      <c r="I140" s="420"/>
      <c r="J140" s="87">
        <v>20</v>
      </c>
      <c r="K140" s="57">
        <v>1440</v>
      </c>
      <c r="L140" s="86">
        <v>72</v>
      </c>
      <c r="M140" s="228">
        <v>20</v>
      </c>
      <c r="N140" s="57">
        <f t="shared" si="90"/>
        <v>1301.6470588235293</v>
      </c>
      <c r="O140" s="86">
        <f t="shared" si="91"/>
        <v>65.082352941176467</v>
      </c>
      <c r="P140" s="54">
        <f t="shared" si="86"/>
        <v>0</v>
      </c>
      <c r="Q140" s="88">
        <f t="shared" si="87"/>
        <v>-6.9176470588235333</v>
      </c>
      <c r="R140" s="421">
        <f t="shared" si="88"/>
        <v>0.90392156862745088</v>
      </c>
      <c r="S140" s="645"/>
      <c r="T140" s="63">
        <v>0.73124999999999996</v>
      </c>
      <c r="U140" s="252">
        <v>0.79027777777777775</v>
      </c>
      <c r="V140" s="253">
        <v>5</v>
      </c>
      <c r="W140" s="247">
        <f t="shared" si="92"/>
        <v>85.000000000000014</v>
      </c>
      <c r="X140" s="53"/>
      <c r="Y140" s="53"/>
      <c r="Z140" s="54"/>
      <c r="AA140" s="54"/>
      <c r="AB140" s="588"/>
      <c r="AC140" s="588"/>
      <c r="AD140" s="420">
        <v>1</v>
      </c>
      <c r="AE140" s="420"/>
      <c r="AF140" s="48">
        <f t="shared" si="61"/>
        <v>-138.35294117647072</v>
      </c>
      <c r="AG140" s="125">
        <f t="shared" si="62"/>
        <v>0.90392156862745088</v>
      </c>
      <c r="AH140" s="611"/>
    </row>
    <row r="141" spans="1:34" ht="19.2" customHeight="1">
      <c r="A141" s="643"/>
      <c r="B141" s="422" t="s">
        <v>132</v>
      </c>
      <c r="C141" s="429"/>
      <c r="D141" s="42" t="s">
        <v>87</v>
      </c>
      <c r="E141" s="254"/>
      <c r="F141" s="355">
        <v>50.67</v>
      </c>
      <c r="G141" s="57">
        <v>997</v>
      </c>
      <c r="H141" s="84">
        <f t="shared" si="89"/>
        <v>50517.990000000005</v>
      </c>
      <c r="I141" s="420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1329.3333333333333</v>
      </c>
      <c r="O141" s="86">
        <f t="shared" si="91"/>
        <v>78.196078431372541</v>
      </c>
      <c r="P141" s="54">
        <f t="shared" si="86"/>
        <v>0</v>
      </c>
      <c r="Q141" s="88">
        <f t="shared" si="87"/>
        <v>-10.039215686274517</v>
      </c>
      <c r="R141" s="421">
        <f t="shared" si="88"/>
        <v>0.88622222222222213</v>
      </c>
      <c r="S141" s="645"/>
      <c r="T141" s="63">
        <v>0.79583333333333328</v>
      </c>
      <c r="U141" s="252">
        <v>0.82708333333333328</v>
      </c>
      <c r="V141" s="55">
        <v>8</v>
      </c>
      <c r="W141" s="247">
        <f t="shared" si="92"/>
        <v>45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-170.66666666666674</v>
      </c>
      <c r="AG141" s="125">
        <f t="shared" si="62"/>
        <v>0.88622222222222213</v>
      </c>
      <c r="AH141" s="611"/>
    </row>
    <row r="142" spans="1:34" ht="19.2" customHeight="1">
      <c r="A142" s="643"/>
      <c r="B142" s="422" t="s">
        <v>132</v>
      </c>
      <c r="C142" s="429"/>
      <c r="D142" s="42" t="s">
        <v>89</v>
      </c>
      <c r="E142" s="254"/>
      <c r="F142" s="355">
        <v>50.92</v>
      </c>
      <c r="G142" s="57">
        <v>1903</v>
      </c>
      <c r="H142" s="84">
        <f t="shared" si="89"/>
        <v>96900.760000000009</v>
      </c>
      <c r="I142" s="420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1282.9213483146068</v>
      </c>
      <c r="O142" s="86">
        <f t="shared" si="91"/>
        <v>67.522176227084572</v>
      </c>
      <c r="P142" s="54">
        <f t="shared" si="86"/>
        <v>0</v>
      </c>
      <c r="Q142" s="88">
        <f t="shared" si="87"/>
        <v>-8.2672974571259488</v>
      </c>
      <c r="R142" s="421">
        <f t="shared" si="88"/>
        <v>0.89091760299625489</v>
      </c>
      <c r="S142" s="645"/>
      <c r="T142" s="63">
        <v>0.83194444444444438</v>
      </c>
      <c r="U142" s="252">
        <v>0.89374999999999993</v>
      </c>
      <c r="V142" s="55">
        <v>7</v>
      </c>
      <c r="W142" s="247">
        <f t="shared" si="92"/>
        <v>89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-157.0786516853932</v>
      </c>
      <c r="AG142" s="125">
        <f t="shared" si="62"/>
        <v>0.89091760299625478</v>
      </c>
      <c r="AH142" s="611"/>
    </row>
    <row r="143" spans="1:34" ht="19.2" customHeight="1">
      <c r="A143" s="643"/>
      <c r="B143" s="422" t="s">
        <v>132</v>
      </c>
      <c r="C143" s="255"/>
      <c r="D143" s="82" t="s">
        <v>187</v>
      </c>
      <c r="E143" s="83"/>
      <c r="F143" s="355">
        <v>52.86</v>
      </c>
      <c r="G143" s="57">
        <v>986</v>
      </c>
      <c r="H143" s="84">
        <f t="shared" si="89"/>
        <v>52119.96</v>
      </c>
      <c r="I143" s="420"/>
      <c r="J143" s="87">
        <v>18</v>
      </c>
      <c r="K143" s="57">
        <v>1440</v>
      </c>
      <c r="L143" s="86">
        <v>80</v>
      </c>
      <c r="M143" s="228">
        <v>18</v>
      </c>
      <c r="N143" s="57">
        <f t="shared" si="90"/>
        <v>1286.0869565217392</v>
      </c>
      <c r="O143" s="86">
        <f t="shared" si="91"/>
        <v>71.449275362318843</v>
      </c>
      <c r="P143" s="54">
        <f t="shared" si="86"/>
        <v>0</v>
      </c>
      <c r="Q143" s="88">
        <f t="shared" si="87"/>
        <v>-8.5507246376811565</v>
      </c>
      <c r="R143" s="421">
        <f t="shared" si="88"/>
        <v>0.89311594202898559</v>
      </c>
      <c r="S143" s="645"/>
      <c r="T143" s="63">
        <v>0.9097222222222221</v>
      </c>
      <c r="U143" s="252">
        <v>0.94166666666666654</v>
      </c>
      <c r="V143" s="55">
        <v>23</v>
      </c>
      <c r="W143" s="247">
        <f t="shared" si="92"/>
        <v>46</v>
      </c>
      <c r="X143" s="53">
        <v>0.89861111111111114</v>
      </c>
      <c r="Y143" s="53">
        <v>0.90833333333333333</v>
      </c>
      <c r="Z143" s="54"/>
      <c r="AA143" s="54"/>
      <c r="AB143" s="588"/>
      <c r="AC143" s="588"/>
      <c r="AD143" s="420"/>
      <c r="AE143" s="420"/>
      <c r="AF143" s="48">
        <f t="shared" si="61"/>
        <v>-153.91304347826076</v>
      </c>
      <c r="AG143" s="125">
        <f t="shared" si="62"/>
        <v>0.89311594202898559</v>
      </c>
      <c r="AH143" s="611"/>
    </row>
    <row r="144" spans="1:34" ht="19.2" customHeight="1">
      <c r="A144" s="643"/>
      <c r="B144" s="422" t="s">
        <v>132</v>
      </c>
      <c r="C144" s="429"/>
      <c r="D144" s="42" t="s">
        <v>90</v>
      </c>
      <c r="E144" s="254"/>
      <c r="F144" s="355">
        <v>50.67</v>
      </c>
      <c r="G144" s="57">
        <v>922</v>
      </c>
      <c r="H144" s="84">
        <f t="shared" si="89"/>
        <v>46717.74</v>
      </c>
      <c r="I144" s="420"/>
      <c r="J144" s="46">
        <v>17</v>
      </c>
      <c r="K144" s="44">
        <v>1440</v>
      </c>
      <c r="L144" s="47">
        <v>84.705882352941174</v>
      </c>
      <c r="M144" s="431">
        <v>17</v>
      </c>
      <c r="N144" s="57">
        <f t="shared" si="90"/>
        <v>1257.2727272727273</v>
      </c>
      <c r="O144" s="86">
        <f t="shared" si="91"/>
        <v>73.957219251336895</v>
      </c>
      <c r="P144" s="54">
        <f t="shared" si="86"/>
        <v>0</v>
      </c>
      <c r="Q144" s="88">
        <f t="shared" si="87"/>
        <v>-10.748663101604279</v>
      </c>
      <c r="R144" s="421">
        <f t="shared" si="88"/>
        <v>0.87310606060606055</v>
      </c>
      <c r="S144" s="645"/>
      <c r="T144" s="63">
        <v>0.94652777777777763</v>
      </c>
      <c r="U144" s="252">
        <v>0.97708333333333319</v>
      </c>
      <c r="V144" s="55">
        <v>7</v>
      </c>
      <c r="W144" s="247">
        <f t="shared" si="92"/>
        <v>44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-182.72727272727275</v>
      </c>
      <c r="AG144" s="125">
        <f t="shared" si="62"/>
        <v>0.87310606060606055</v>
      </c>
      <c r="AH144" s="611"/>
    </row>
    <row r="145" spans="1:34" ht="19.2" customHeight="1">
      <c r="A145" s="64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2" customHeight="1">
      <c r="A146" s="64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2" customHeight="1">
      <c r="A147" s="644"/>
      <c r="B147" s="257">
        <v>0</v>
      </c>
      <c r="C147" s="100" t="s">
        <v>263</v>
      </c>
      <c r="D147" s="617" t="s">
        <v>243</v>
      </c>
      <c r="E147" s="617"/>
      <c r="F147" s="369"/>
      <c r="G147" s="101"/>
      <c r="H147" s="102"/>
      <c r="I147" s="103"/>
      <c r="J147" s="101">
        <v>17.5</v>
      </c>
      <c r="K147" s="101">
        <v>1470.5</v>
      </c>
      <c r="L147" s="104">
        <v>84.562648348813212</v>
      </c>
      <c r="M147" s="242">
        <f t="shared" ref="M147:O147" si="93">AVERAGE(M135:M146)</f>
        <v>17.600000000000001</v>
      </c>
      <c r="N147" s="242">
        <f t="shared" si="93"/>
        <v>1306.2774193000278</v>
      </c>
      <c r="O147" s="243">
        <f t="shared" si="93"/>
        <v>74.635086336971185</v>
      </c>
      <c r="P147" s="51">
        <f t="shared" ref="P147:P152" si="94">M147-J147</f>
        <v>0.10000000000000142</v>
      </c>
      <c r="Q147" s="139">
        <f t="shared" ref="Q147:Q152" si="95">O147-L147</f>
        <v>-9.9275620118420278</v>
      </c>
      <c r="R147" s="258">
        <f t="shared" ref="R147:R152" si="96">O147/L147</f>
        <v>0.88260109864473801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2</v>
      </c>
      <c r="AE147" s="107">
        <f>SUM(AE135:AE146)</f>
        <v>0</v>
      </c>
      <c r="AF147" s="204">
        <f t="shared" si="61"/>
        <v>-164.22258069997224</v>
      </c>
      <c r="AG147" s="259">
        <f t="shared" si="62"/>
        <v>0.88832194444068535</v>
      </c>
      <c r="AH147" s="611"/>
    </row>
    <row r="148" spans="1:34" ht="19.2" customHeight="1">
      <c r="A148" s="648" t="s">
        <v>264</v>
      </c>
      <c r="B148" s="420" t="s">
        <v>130</v>
      </c>
      <c r="C148" s="121"/>
      <c r="D148" s="173" t="s">
        <v>143</v>
      </c>
      <c r="E148" s="43"/>
      <c r="F148" s="362">
        <v>36.92</v>
      </c>
      <c r="G148" s="57">
        <v>1614.6000000000001</v>
      </c>
      <c r="H148" s="84">
        <f t="shared" ref="H148:H172" si="97">F148*G148</f>
        <v>59611.032000000007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1467.8181818181836</v>
      </c>
      <c r="O148" s="47">
        <f t="shared" ref="O148:O152" si="99">N148/M148</f>
        <v>122.31818181818197</v>
      </c>
      <c r="P148" s="48">
        <f t="shared" si="94"/>
        <v>0</v>
      </c>
      <c r="Q148" s="49">
        <f t="shared" si="95"/>
        <v>-44.348484848484688</v>
      </c>
      <c r="R148" s="424">
        <f t="shared" si="96"/>
        <v>0.73390909090909184</v>
      </c>
      <c r="S148" s="649">
        <f>R160</f>
        <v>0.8079109061489026</v>
      </c>
      <c r="T148" s="246">
        <v>0.5</v>
      </c>
      <c r="U148" s="50">
        <v>0.54583333333333328</v>
      </c>
      <c r="V148" s="422">
        <v>5</v>
      </c>
      <c r="W148" s="433">
        <f>(U148-T148)*24*60</f>
        <v>65.999999999999929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-532.18181818181642</v>
      </c>
      <c r="AG148" s="125">
        <f t="shared" si="62"/>
        <v>0.73390909090909173</v>
      </c>
      <c r="AH148" s="611">
        <f>AG160</f>
        <v>0.81794975486425703</v>
      </c>
    </row>
    <row r="149" spans="1:34" ht="19.2" customHeight="1">
      <c r="A149" s="648"/>
      <c r="B149" s="420" t="s">
        <v>130</v>
      </c>
      <c r="C149" s="221"/>
      <c r="D149" s="251" t="s">
        <v>201</v>
      </c>
      <c r="E149" s="60"/>
      <c r="F149" s="362">
        <v>26.5</v>
      </c>
      <c r="G149" s="57">
        <v>1843.92</v>
      </c>
      <c r="H149" s="84">
        <f t="shared" si="97"/>
        <v>48863.880000000005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1455.7263157894727</v>
      </c>
      <c r="O149" s="47">
        <f t="shared" si="99"/>
        <v>121.31052631578939</v>
      </c>
      <c r="P149" s="48">
        <f t="shared" si="94"/>
        <v>0</v>
      </c>
      <c r="Q149" s="49">
        <f t="shared" si="95"/>
        <v>-45.356140350877268</v>
      </c>
      <c r="R149" s="424">
        <f t="shared" si="96"/>
        <v>0.72786315789473632</v>
      </c>
      <c r="S149" s="650"/>
      <c r="T149" s="246">
        <v>0.55069444444444438</v>
      </c>
      <c r="U149" s="50">
        <v>0.60347222222222219</v>
      </c>
      <c r="V149" s="422">
        <v>7</v>
      </c>
      <c r="W149" s="433">
        <f t="shared" ref="W149:W159" si="100">(U149-T149)*24*60</f>
        <v>76.000000000000057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-544.27368421052734</v>
      </c>
      <c r="AG149" s="125">
        <f t="shared" si="62"/>
        <v>0.72786315789473632</v>
      </c>
      <c r="AH149" s="652"/>
    </row>
    <row r="150" spans="1:34" ht="19.2" customHeight="1">
      <c r="A150" s="648"/>
      <c r="B150" s="420" t="s">
        <v>132</v>
      </c>
      <c r="C150" s="221"/>
      <c r="D150" s="176" t="s">
        <v>208</v>
      </c>
      <c r="E150" s="60"/>
      <c r="F150" s="362">
        <v>56.43</v>
      </c>
      <c r="G150" s="57">
        <v>472.5</v>
      </c>
      <c r="H150" s="84">
        <f t="shared" si="97"/>
        <v>26663.174999999999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1288.6363636363683</v>
      </c>
      <c r="O150" s="47">
        <f t="shared" si="99"/>
        <v>80.539772727273018</v>
      </c>
      <c r="P150" s="48">
        <f t="shared" si="94"/>
        <v>0</v>
      </c>
      <c r="Q150" s="49">
        <f t="shared" si="95"/>
        <v>-9.4602272727269821</v>
      </c>
      <c r="R150" s="424">
        <f t="shared" si="96"/>
        <v>0.89488636363636687</v>
      </c>
      <c r="S150" s="650"/>
      <c r="T150" s="246">
        <v>0.70833333333333337</v>
      </c>
      <c r="U150" s="50">
        <v>0.72361111111111109</v>
      </c>
      <c r="V150" s="422">
        <v>5</v>
      </c>
      <c r="W150" s="433">
        <f t="shared" si="100"/>
        <v>21.999999999999922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-151.36363636363171</v>
      </c>
      <c r="AG150" s="125">
        <f t="shared" si="62"/>
        <v>0.89488636363636687</v>
      </c>
      <c r="AH150" s="652"/>
    </row>
    <row r="151" spans="1:34" s="218" customFormat="1" ht="19.2" customHeight="1">
      <c r="A151" s="648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2224</v>
      </c>
      <c r="H151" s="84">
        <f t="shared" si="97"/>
        <v>113557.44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1295.5339805825247</v>
      </c>
      <c r="O151" s="47">
        <f t="shared" si="99"/>
        <v>80.970873786407793</v>
      </c>
      <c r="P151" s="48">
        <f t="shared" si="94"/>
        <v>0</v>
      </c>
      <c r="Q151" s="49">
        <f t="shared" si="95"/>
        <v>-9.0291262135922068</v>
      </c>
      <c r="R151" s="424">
        <f t="shared" si="96"/>
        <v>0.89967637540453105</v>
      </c>
      <c r="S151" s="650"/>
      <c r="T151" s="246">
        <v>0.72916666666666663</v>
      </c>
      <c r="U151" s="50">
        <v>0.80069444444444438</v>
      </c>
      <c r="V151" s="422">
        <v>8</v>
      </c>
      <c r="W151" s="433">
        <f t="shared" si="100"/>
        <v>102.99999999999996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-144.46601941747531</v>
      </c>
      <c r="AG151" s="125">
        <f t="shared" si="62"/>
        <v>0.89967637540453105</v>
      </c>
      <c r="AH151" s="652"/>
    </row>
    <row r="152" spans="1:34" s="218" customFormat="1" ht="19.2" customHeight="1">
      <c r="A152" s="648"/>
      <c r="B152" s="420" t="s">
        <v>132</v>
      </c>
      <c r="C152" s="221"/>
      <c r="D152" s="59" t="s">
        <v>91</v>
      </c>
      <c r="E152" s="60"/>
      <c r="F152" s="362">
        <v>50.49</v>
      </c>
      <c r="G152" s="57">
        <v>1276</v>
      </c>
      <c r="H152" s="84">
        <f t="shared" si="97"/>
        <v>64425.240000000005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1297.6271186440688</v>
      </c>
      <c r="O152" s="47">
        <f t="shared" si="99"/>
        <v>92.687651331719195</v>
      </c>
      <c r="P152" s="48">
        <f t="shared" si="94"/>
        <v>0</v>
      </c>
      <c r="Q152" s="49">
        <f t="shared" si="95"/>
        <v>-10.169491525423666</v>
      </c>
      <c r="R152" s="424">
        <f t="shared" si="96"/>
        <v>0.90112994350282549</v>
      </c>
      <c r="S152" s="650"/>
      <c r="T152" s="261">
        <v>0.80555555555555547</v>
      </c>
      <c r="U152" s="63">
        <v>0.84652777777777766</v>
      </c>
      <c r="V152" s="435">
        <v>7</v>
      </c>
      <c r="W152" s="433">
        <f t="shared" si="100"/>
        <v>58.99999999999995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-142.37288135593121</v>
      </c>
      <c r="AG152" s="125">
        <f t="shared" si="62"/>
        <v>0.90112994350282549</v>
      </c>
      <c r="AH152" s="652"/>
    </row>
    <row r="153" spans="1:34" s="218" customFormat="1" ht="19.2" customHeight="1">
      <c r="A153" s="648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2" customHeight="1">
      <c r="A154" s="648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2" customHeight="1">
      <c r="A155" s="648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2" customHeight="1">
      <c r="A156" s="648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2" customHeight="1">
      <c r="A157" s="648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2" customHeight="1">
      <c r="A158" s="648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2" customHeight="1">
      <c r="A159" s="648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2" customHeight="1">
      <c r="A160" s="648"/>
      <c r="B160" s="267">
        <v>0</v>
      </c>
      <c r="C160" s="268" t="s">
        <v>265</v>
      </c>
      <c r="D160" s="647" t="s">
        <v>243</v>
      </c>
      <c r="E160" s="608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</v>
      </c>
      <c r="N160" s="269">
        <f t="shared" si="101"/>
        <v>1361.0683920941237</v>
      </c>
      <c r="O160" s="270">
        <f t="shared" si="101"/>
        <v>99.565401195874273</v>
      </c>
      <c r="P160" s="65">
        <f t="shared" ref="P160:P163" si="102">M160-J160</f>
        <v>0</v>
      </c>
      <c r="Q160" s="74">
        <f t="shared" ref="Q160:Q163" si="103">O160-L160</f>
        <v>-23.672694042220954</v>
      </c>
      <c r="R160" s="271">
        <f>O160/L160</f>
        <v>0.8079109061489026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-302.93160790587626</v>
      </c>
      <c r="AG160" s="129">
        <f t="shared" si="62"/>
        <v>0.81794975486425703</v>
      </c>
      <c r="AH160" s="652"/>
    </row>
    <row r="161" spans="1:36" ht="19.2" customHeight="1">
      <c r="A161" s="610" t="s">
        <v>266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3788</v>
      </c>
      <c r="H161" s="84">
        <f t="shared" ref="H161:H170" si="104">F161*G161</f>
        <v>129663.23999999999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2185.3846153846157</v>
      </c>
      <c r="O161" s="86">
        <f t="shared" ref="O161:O166" si="106">N161/M161</f>
        <v>168.10650887573968</v>
      </c>
      <c r="P161" s="54">
        <f t="shared" si="102"/>
        <v>0</v>
      </c>
      <c r="Q161" s="88">
        <f t="shared" si="103"/>
        <v>-4.9704142011833881</v>
      </c>
      <c r="R161" s="421">
        <f t="shared" ref="R161:R163" si="107">O161/L161</f>
        <v>0.97128205128205158</v>
      </c>
      <c r="S161" s="611">
        <f>R173</f>
        <v>0.92979248177677432</v>
      </c>
      <c r="T161" s="89">
        <v>0.16666666666666666</v>
      </c>
      <c r="U161" s="89">
        <v>0.23888888888888887</v>
      </c>
      <c r="V161" s="420">
        <v>5</v>
      </c>
      <c r="W161" s="90">
        <f t="shared" ref="W161:W172" si="108">(U161-T161)*24*60</f>
        <v>103.99999999999999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-64.615384615384301</v>
      </c>
      <c r="AG161" s="421">
        <f t="shared" si="62"/>
        <v>0.97128205128205147</v>
      </c>
      <c r="AH161" s="611">
        <f>AG173</f>
        <v>0.93403418850162823</v>
      </c>
    </row>
    <row r="162" spans="1:36" ht="19.2" customHeight="1">
      <c r="A162" s="610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3887</v>
      </c>
      <c r="H162" s="84">
        <f t="shared" si="104"/>
        <v>133052.00999999998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2200.1886792452824</v>
      </c>
      <c r="O162" s="86">
        <f t="shared" si="106"/>
        <v>169.24528301886787</v>
      </c>
      <c r="P162" s="54">
        <f t="shared" si="102"/>
        <v>0</v>
      </c>
      <c r="Q162" s="88">
        <f t="shared" si="103"/>
        <v>-3.8316400580551999</v>
      </c>
      <c r="R162" s="421">
        <f t="shared" si="107"/>
        <v>0.97786163522012548</v>
      </c>
      <c r="S162" s="611"/>
      <c r="T162" s="89">
        <v>0.25486111111111109</v>
      </c>
      <c r="U162" s="89">
        <v>0.32847222222222222</v>
      </c>
      <c r="V162" s="420">
        <v>23</v>
      </c>
      <c r="W162" s="90">
        <f t="shared" si="108"/>
        <v>106.00000000000003</v>
      </c>
      <c r="X162" s="96">
        <v>0.24305555555555555</v>
      </c>
      <c r="Y162" s="96">
        <v>0.25347222222222221</v>
      </c>
      <c r="Z162" s="54"/>
      <c r="AA162" s="54"/>
      <c r="AB162" s="588"/>
      <c r="AC162" s="588"/>
      <c r="AD162" s="420">
        <v>1</v>
      </c>
      <c r="AE162" s="420"/>
      <c r="AF162" s="54">
        <f t="shared" si="61"/>
        <v>-49.811320754717599</v>
      </c>
      <c r="AG162" s="421">
        <f t="shared" si="62"/>
        <v>0.97786163522012548</v>
      </c>
      <c r="AH162" s="611"/>
    </row>
    <row r="163" spans="1:36" ht="19.2" customHeight="1">
      <c r="A163" s="610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3630.9</v>
      </c>
      <c r="H163" s="84">
        <f t="shared" si="104"/>
        <v>130095.147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2178.5399999999991</v>
      </c>
      <c r="O163" s="86">
        <f t="shared" si="106"/>
        <v>198.04909090909084</v>
      </c>
      <c r="P163" s="54">
        <f t="shared" si="102"/>
        <v>0</v>
      </c>
      <c r="Q163" s="88">
        <f t="shared" si="103"/>
        <v>-6.4963636363636965</v>
      </c>
      <c r="R163" s="421">
        <f t="shared" si="107"/>
        <v>0.96823999999999966</v>
      </c>
      <c r="S163" s="611"/>
      <c r="T163" s="89">
        <v>0.33333333333333331</v>
      </c>
      <c r="U163" s="89">
        <v>0.40277777777777779</v>
      </c>
      <c r="V163" s="420">
        <v>7</v>
      </c>
      <c r="W163" s="90">
        <f t="shared" si="108"/>
        <v>100.00000000000004</v>
      </c>
      <c r="X163" s="96"/>
      <c r="Y163" s="96"/>
      <c r="Z163" s="54"/>
      <c r="AA163" s="54"/>
      <c r="AB163" s="588"/>
      <c r="AC163" s="588"/>
      <c r="AD163" s="420"/>
      <c r="AE163" s="420"/>
      <c r="AF163" s="54">
        <f t="shared" si="61"/>
        <v>-71.460000000000946</v>
      </c>
      <c r="AG163" s="421">
        <f t="shared" si="62"/>
        <v>0.96823999999999955</v>
      </c>
      <c r="AH163" s="611"/>
    </row>
    <row r="164" spans="1:36" ht="19.2" customHeight="1">
      <c r="A164" s="610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5995.44</v>
      </c>
      <c r="H164" s="84">
        <f t="shared" si="104"/>
        <v>218293.97039999996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2430.5837837837844</v>
      </c>
      <c r="O164" s="86">
        <f t="shared" si="106"/>
        <v>243.05837837837845</v>
      </c>
      <c r="P164" s="54">
        <f>M164-J164</f>
        <v>0</v>
      </c>
      <c r="Q164" s="88">
        <f>O164-L164</f>
        <v>-33.841621621621528</v>
      </c>
      <c r="R164" s="421">
        <f>O164/L164</f>
        <v>0.87778395947410059</v>
      </c>
      <c r="S164" s="611"/>
      <c r="T164" s="89">
        <v>0.44305555555555554</v>
      </c>
      <c r="U164" s="89">
        <v>0.54583333333333328</v>
      </c>
      <c r="V164" s="420">
        <v>5</v>
      </c>
      <c r="W164" s="90">
        <f t="shared" si="108"/>
        <v>147.99999999999994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-338.41621621621562</v>
      </c>
      <c r="AG164" s="421">
        <f>N164/K164</f>
        <v>0.87778395947410048</v>
      </c>
      <c r="AH164" s="611"/>
    </row>
    <row r="165" spans="1:36" ht="19.2" customHeight="1">
      <c r="A165" s="610"/>
      <c r="B165" s="121" t="s">
        <v>131</v>
      </c>
      <c r="C165" s="81"/>
      <c r="D165" s="82" t="s">
        <v>95</v>
      </c>
      <c r="E165" s="83"/>
      <c r="F165" s="358">
        <v>35.83</v>
      </c>
      <c r="G165" s="57">
        <v>1955.1</v>
      </c>
      <c r="H165" s="84">
        <f t="shared" si="104"/>
        <v>70051.232999999993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2172.3333333333344</v>
      </c>
      <c r="O165" s="86">
        <f t="shared" si="106"/>
        <v>197.48484848484858</v>
      </c>
      <c r="P165" s="54">
        <f>M165-J165</f>
        <v>0</v>
      </c>
      <c r="Q165" s="88">
        <f>O165-L165</f>
        <v>-7.0606060606059486</v>
      </c>
      <c r="R165" s="421">
        <f>O165/L165</f>
        <v>0.96548148148148205</v>
      </c>
      <c r="S165" s="611"/>
      <c r="T165" s="89">
        <v>0.56111111111111101</v>
      </c>
      <c r="U165" s="89">
        <v>0.59861111111111098</v>
      </c>
      <c r="V165" s="420">
        <v>22</v>
      </c>
      <c r="W165" s="90">
        <f t="shared" si="108"/>
        <v>53.999999999999972</v>
      </c>
      <c r="X165" s="96">
        <v>0.54999999999999993</v>
      </c>
      <c r="Y165" s="96">
        <v>0.55972222222222223</v>
      </c>
      <c r="Z165" s="54"/>
      <c r="AA165" s="54"/>
      <c r="AB165" s="588"/>
      <c r="AC165" s="588"/>
      <c r="AD165" s="420"/>
      <c r="AE165" s="420"/>
      <c r="AF165" s="54">
        <f>N165-K165</f>
        <v>-77.666666666665606</v>
      </c>
      <c r="AG165" s="421">
        <f>N165/K165</f>
        <v>0.96548148148148194</v>
      </c>
      <c r="AH165" s="611"/>
    </row>
    <row r="166" spans="1:36" ht="19.2" customHeight="1">
      <c r="A166" s="610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2331.5600000000004</v>
      </c>
      <c r="H166" s="84">
        <f t="shared" si="104"/>
        <v>84892.099600000001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2411.9586206896574</v>
      </c>
      <c r="O166" s="86">
        <f t="shared" si="106"/>
        <v>241.19586206896574</v>
      </c>
      <c r="P166" s="54">
        <f>M166-J166</f>
        <v>0</v>
      </c>
      <c r="Q166" s="88">
        <f>O166-L166</f>
        <v>-35.704137931034239</v>
      </c>
      <c r="R166" s="421">
        <f>O166/L166</f>
        <v>0.87105764560839927</v>
      </c>
      <c r="S166" s="611"/>
      <c r="T166" s="89">
        <v>0.60347222222222208</v>
      </c>
      <c r="U166" s="89">
        <v>0.64374999999999982</v>
      </c>
      <c r="V166" s="420">
        <v>7</v>
      </c>
      <c r="W166" s="90">
        <f t="shared" si="108"/>
        <v>57.999999999999957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-357.04137931034256</v>
      </c>
      <c r="AG166" s="421">
        <f>N166/K166</f>
        <v>0.87105764560839927</v>
      </c>
      <c r="AH166" s="611"/>
    </row>
    <row r="167" spans="1:36" ht="19.2" customHeight="1">
      <c r="A167" s="610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2" customHeight="1">
      <c r="A168" s="610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2" customHeight="1">
      <c r="A169" s="610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2" customHeight="1">
      <c r="A170" s="610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2" customHeight="1">
      <c r="A171" s="610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2" customHeight="1">
      <c r="A172" s="610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2" customHeight="1">
      <c r="A173" s="610"/>
      <c r="B173" s="121">
        <v>0</v>
      </c>
      <c r="C173" s="100" t="s">
        <v>267</v>
      </c>
      <c r="D173" s="617" t="s">
        <v>243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2263.1648387394453</v>
      </c>
      <c r="O173" s="104">
        <f t="shared" si="109"/>
        <v>202.85666195598188</v>
      </c>
      <c r="P173" s="54">
        <f>M173-J173</f>
        <v>0</v>
      </c>
      <c r="Q173" s="88">
        <f>O173-L173</f>
        <v>-15.317463918144028</v>
      </c>
      <c r="R173" s="105">
        <f>O173/L173</f>
        <v>0.92979248177677432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-159.83516126055474</v>
      </c>
      <c r="AG173" s="421">
        <f t="shared" si="62"/>
        <v>0.93403418850162823</v>
      </c>
      <c r="AH173" s="611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71" priority="4" operator="greaterThan">
      <formula>0</formula>
    </cfRule>
  </conditionalFormatting>
  <conditionalFormatting sqref="Q5:Q173">
    <cfRule type="cellIs" dxfId="170" priority="9" operator="lessThan">
      <formula>0</formula>
    </cfRule>
  </conditionalFormatting>
  <conditionalFormatting sqref="R5:R173">
    <cfRule type="cellIs" dxfId="169" priority="5" operator="greaterThan">
      <formula>1</formula>
    </cfRule>
    <cfRule type="cellIs" dxfId="168" priority="6" operator="lessThan">
      <formula>0.8</formula>
    </cfRule>
  </conditionalFormatting>
  <conditionalFormatting sqref="S5:S11">
    <cfRule type="cellIs" dxfId="167" priority="3014" operator="lessThan">
      <formula>0.8</formula>
    </cfRule>
  </conditionalFormatting>
  <conditionalFormatting sqref="S21:S29 AH21:AH29">
    <cfRule type="cellIs" dxfId="166" priority="2944" operator="lessThan">
      <formula>0.8</formula>
    </cfRule>
  </conditionalFormatting>
  <conditionalFormatting sqref="S43:S72">
    <cfRule type="cellIs" dxfId="165" priority="2918" operator="lessThan">
      <formula>0.8</formula>
    </cfRule>
  </conditionalFormatting>
  <conditionalFormatting sqref="S82:S91 AH82:AH91">
    <cfRule type="cellIs" dxfId="164" priority="2938" operator="lessThan">
      <formula>0.8</formula>
    </cfRule>
  </conditionalFormatting>
  <conditionalFormatting sqref="S95:S104">
    <cfRule type="cellIs" dxfId="163" priority="2908" operator="lessThan">
      <formula>0.8</formula>
    </cfRule>
  </conditionalFormatting>
  <conditionalFormatting sqref="S108:S109">
    <cfRule type="cellIs" dxfId="162" priority="2917" operator="lessThan">
      <formula>0.8</formula>
    </cfRule>
  </conditionalFormatting>
  <conditionalFormatting sqref="S122:S135 AH135">
    <cfRule type="cellIs" dxfId="161" priority="3031" operator="lessThan">
      <formula>0.8</formula>
    </cfRule>
  </conditionalFormatting>
  <conditionalFormatting sqref="S137 AH137">
    <cfRule type="cellIs" dxfId="160" priority="2988" operator="lessThan">
      <formula>0.8</formula>
    </cfRule>
  </conditionalFormatting>
  <conditionalFormatting sqref="S139:S146 AH139:AH146">
    <cfRule type="cellIs" dxfId="159" priority="2930" operator="lessThan">
      <formula>0.8</formula>
    </cfRule>
  </conditionalFormatting>
  <conditionalFormatting sqref="S148:S150">
    <cfRule type="cellIs" dxfId="158" priority="2946" operator="lessThan">
      <formula>0.8</formula>
    </cfRule>
  </conditionalFormatting>
  <conditionalFormatting sqref="S161">
    <cfRule type="cellIs" dxfId="157" priority="3099" operator="lessThan">
      <formula>0.8</formula>
    </cfRule>
  </conditionalFormatting>
  <conditionalFormatting sqref="AF5:AF173">
    <cfRule type="cellIs" dxfId="156" priority="3" operator="lessThan">
      <formula>0</formula>
    </cfRule>
  </conditionalFormatting>
  <conditionalFormatting sqref="AG5:AG173">
    <cfRule type="cellIs" dxfId="155" priority="1" operator="greaterThan">
      <formula>1</formula>
    </cfRule>
    <cfRule type="cellIs" dxfId="154" priority="2" operator="lessThan">
      <formula>0.8</formula>
    </cfRule>
  </conditionalFormatting>
  <conditionalFormatting sqref="AH5:AH9 S17:S18 AH17:AH18 AH57 AH95">
    <cfRule type="cellIs" dxfId="153" priority="3105" operator="lessThan">
      <formula>0.8</formula>
    </cfRule>
  </conditionalFormatting>
  <conditionalFormatting sqref="AH31 S31:S32">
    <cfRule type="cellIs" dxfId="152" priority="3035" operator="lessThan">
      <formula>0.8</formula>
    </cfRule>
  </conditionalFormatting>
  <conditionalFormatting sqref="AH70:AH72">
    <cfRule type="cellIs" dxfId="151" priority="3008" operator="lessThan">
      <formula>0.8</formula>
    </cfRule>
  </conditionalFormatting>
  <conditionalFormatting sqref="AH97:AH98">
    <cfRule type="cellIs" dxfId="150" priority="2999" operator="lessThan">
      <formula>0.8</formula>
    </cfRule>
  </conditionalFormatting>
  <conditionalFormatting sqref="AH100:AH107">
    <cfRule type="cellIs" dxfId="149" priority="2961" operator="lessThan">
      <formula>0.8</formula>
    </cfRule>
  </conditionalFormatting>
  <conditionalFormatting sqref="AH109">
    <cfRule type="cellIs" dxfId="148" priority="3054" operator="lessThan">
      <formula>0.8</formula>
    </cfRule>
  </conditionalFormatting>
  <conditionalFormatting sqref="AH148">
    <cfRule type="cellIs" dxfId="147" priority="3047" operator="lessThan">
      <formula>0.8</formula>
    </cfRule>
  </conditionalFormatting>
  <conditionalFormatting sqref="AH150">
    <cfRule type="cellIs" dxfId="146" priority="2947" operator="lessThan">
      <formula>0.8</formula>
    </cfRule>
  </conditionalFormatting>
  <dataValidations count="1">
    <dataValidation type="list" allowBlank="1" showInputMessage="1" showErrorMessage="1" sqref="AB5:AC173" xr:uid="{00000000-0002-0000-02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W38"/>
  <sheetViews>
    <sheetView zoomScale="40" zoomScaleNormal="40" workbookViewId="0">
      <selection activeCell="I15" sqref="I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7" t="s">
        <v>0</v>
      </c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  <c r="N1" s="1"/>
      <c r="O1" s="1"/>
    </row>
    <row r="2" spans="2:17" ht="27.75" customHeight="1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9"/>
      <c r="N2" s="1"/>
      <c r="O2" s="1"/>
    </row>
    <row r="3" spans="2:17" ht="46.5" customHeight="1">
      <c r="B3" s="510" t="s">
        <v>1</v>
      </c>
      <c r="C3" s="511"/>
      <c r="D3" s="512" t="s">
        <v>311</v>
      </c>
      <c r="E3" s="513"/>
      <c r="F3" s="510" t="s">
        <v>2</v>
      </c>
      <c r="G3" s="511"/>
      <c r="H3" s="514">
        <v>301061.75</v>
      </c>
      <c r="I3" s="515"/>
      <c r="J3" s="510" t="s">
        <v>3</v>
      </c>
      <c r="K3" s="511"/>
      <c r="L3" s="505">
        <v>9906626.0091257859</v>
      </c>
      <c r="M3" s="506"/>
      <c r="N3" s="372"/>
      <c r="O3" s="372"/>
      <c r="P3" s="372"/>
      <c r="Q3" s="372"/>
    </row>
    <row r="4" spans="2:17" ht="24" customHeight="1">
      <c r="B4" s="510" t="s">
        <v>135</v>
      </c>
      <c r="C4" s="511"/>
      <c r="D4" s="527" t="s">
        <v>135</v>
      </c>
      <c r="E4" s="528"/>
      <c r="F4" s="503" t="s">
        <v>136</v>
      </c>
      <c r="G4" s="504"/>
      <c r="H4" s="503" t="s">
        <v>137</v>
      </c>
      <c r="I4" s="504"/>
      <c r="J4" s="503" t="s">
        <v>138</v>
      </c>
      <c r="K4" s="504"/>
      <c r="L4" s="505" t="s">
        <v>139</v>
      </c>
      <c r="M4" s="506"/>
      <c r="N4" s="519" t="s">
        <v>4</v>
      </c>
      <c r="O4" s="520"/>
      <c r="P4" s="520" t="s">
        <v>5</v>
      </c>
      <c r="Q4" s="520"/>
    </row>
    <row r="5" spans="2:17" ht="24" customHeight="1">
      <c r="B5" s="521" t="s">
        <v>35</v>
      </c>
      <c r="C5" s="522"/>
      <c r="D5" s="527" t="s">
        <v>140</v>
      </c>
      <c r="E5" s="528"/>
      <c r="F5" s="527" t="s">
        <v>6</v>
      </c>
      <c r="G5" s="528"/>
      <c r="H5" s="529" t="s">
        <v>7</v>
      </c>
      <c r="I5" s="530"/>
      <c r="J5" s="531" t="s">
        <v>8</v>
      </c>
      <c r="K5" s="532"/>
      <c r="L5" s="533" t="s">
        <v>9</v>
      </c>
      <c r="M5" s="534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3"/>
      <c r="C6" s="524"/>
      <c r="D6" s="510" t="s">
        <v>10</v>
      </c>
      <c r="E6" s="511"/>
      <c r="F6" s="535">
        <f>AVERAGE(D13:O13,P13:Q13,D30:E30,G30:H30,J30:M30)</f>
        <v>382.56959678411476</v>
      </c>
      <c r="G6" s="536"/>
      <c r="H6" s="548">
        <f>AVERAGE(D13:P13,Q13)</f>
        <v>139.03793780360891</v>
      </c>
      <c r="I6" s="549"/>
      <c r="J6" s="548">
        <f>AVERAGE(D30:E30,G30:H30)</f>
        <v>736.25</v>
      </c>
      <c r="K6" s="549"/>
      <c r="L6" s="550">
        <f>AVERAGE(J30:M30)</f>
        <v>881.25</v>
      </c>
      <c r="M6" s="551"/>
      <c r="N6" s="552">
        <v>0</v>
      </c>
      <c r="O6" s="539">
        <v>0</v>
      </c>
      <c r="P6" s="516">
        <v>17</v>
      </c>
      <c r="Q6" s="539">
        <v>8</v>
      </c>
    </row>
    <row r="7" spans="2:17" s="5" customFormat="1" ht="39.6" customHeight="1">
      <c r="B7" s="523"/>
      <c r="C7" s="524"/>
      <c r="D7" s="540" t="s">
        <v>11</v>
      </c>
      <c r="E7" s="541"/>
      <c r="F7" s="542">
        <f>AVERAGE(D14:O14,P14:Q14,D31:E31,J31:M31,G31:H31)</f>
        <v>370.6765819883754</v>
      </c>
      <c r="G7" s="543"/>
      <c r="H7" s="544">
        <f>AVERAGE(D14:P14,Q14)</f>
        <v>126.14662847187586</v>
      </c>
      <c r="I7" s="545"/>
      <c r="J7" s="544">
        <f>AVERAGE(D31:E31,G31:H31)</f>
        <v>708.55397952742919</v>
      </c>
      <c r="K7" s="545"/>
      <c r="L7" s="546">
        <f>AVERAGE(J31:M31)</f>
        <v>888.65402175707027</v>
      </c>
      <c r="M7" s="547"/>
      <c r="N7" s="552"/>
      <c r="O7" s="539"/>
      <c r="P7" s="516"/>
      <c r="Q7" s="539"/>
    </row>
    <row r="8" spans="2:17" s="5" customFormat="1" ht="39.6" customHeight="1">
      <c r="B8" s="525"/>
      <c r="C8" s="526"/>
      <c r="D8" s="540" t="s">
        <v>12</v>
      </c>
      <c r="E8" s="541"/>
      <c r="F8" s="517">
        <f>AVERAGE(D15:O15,P15:Q15,D32:E32,G32:H32,J32:M32)</f>
        <v>0.9198223144780916</v>
      </c>
      <c r="G8" s="518"/>
      <c r="H8" s="517">
        <f>AVERAGE(D15:O15,P15:Q15)</f>
        <v>0.90186463566035535</v>
      </c>
      <c r="I8" s="518"/>
      <c r="J8" s="517">
        <f>AVERAGE(D32:E32,G32:H32)</f>
        <v>0.88863850084575757</v>
      </c>
      <c r="K8" s="518"/>
      <c r="L8" s="517">
        <f>AVERAGE(J32:M32)</f>
        <v>1.0138580039725023</v>
      </c>
      <c r="M8" s="518"/>
      <c r="N8" s="552"/>
      <c r="O8" s="539"/>
      <c r="P8" s="516"/>
      <c r="Q8" s="539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53" t="s">
        <v>145</v>
      </c>
      <c r="C10" s="554"/>
      <c r="D10" s="555" t="s">
        <v>146</v>
      </c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7"/>
    </row>
    <row r="11" spans="2:17" ht="17.25" customHeight="1">
      <c r="B11" s="558" t="s">
        <v>147</v>
      </c>
      <c r="C11" s="522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559"/>
      <c r="C12" s="526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560" t="s">
        <v>35</v>
      </c>
      <c r="C13" s="14" t="s">
        <v>161</v>
      </c>
      <c r="D13" s="19">
        <v>142.73864809081527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85.571281144036561</v>
      </c>
      <c r="J13" s="19">
        <v>91.108932461873636</v>
      </c>
      <c r="K13" s="19">
        <v>87.55350385768341</v>
      </c>
      <c r="L13" s="19">
        <v>95.839831059129295</v>
      </c>
      <c r="M13" s="19">
        <v>82.88619697391627</v>
      </c>
      <c r="N13" s="19">
        <v>86.498180705030563</v>
      </c>
      <c r="O13" s="19">
        <v>127.22222222222221</v>
      </c>
      <c r="P13" s="19">
        <v>218.17412587412591</v>
      </c>
      <c r="Q13" s="21">
        <v>150</v>
      </c>
    </row>
    <row r="14" spans="2:17" ht="39.9" customHeight="1">
      <c r="B14" s="561"/>
      <c r="C14" s="14" t="s">
        <v>162</v>
      </c>
      <c r="D14" s="19">
        <v>133.67683753569702</v>
      </c>
      <c r="E14" s="19">
        <v>102.00064615259433</v>
      </c>
      <c r="F14" s="19">
        <v>113.72182132156253</v>
      </c>
      <c r="G14" s="19">
        <v>271.57035859791671</v>
      </c>
      <c r="H14" s="19">
        <v>219.34847948983062</v>
      </c>
      <c r="I14" s="19">
        <v>78.757245823734664</v>
      </c>
      <c r="J14" s="19">
        <v>79.796133685692624</v>
      </c>
      <c r="K14" s="19">
        <v>74.300673421029629</v>
      </c>
      <c r="L14" s="19">
        <v>85.94742822937873</v>
      </c>
      <c r="M14" s="19">
        <v>75.619681949801404</v>
      </c>
      <c r="N14" s="19">
        <v>78.333260589289637</v>
      </c>
      <c r="O14" s="19">
        <v>107.36459794637987</v>
      </c>
      <c r="P14" s="19">
        <v>202.2914770425059</v>
      </c>
      <c r="Q14" s="9">
        <v>143.32415682084806</v>
      </c>
    </row>
    <row r="15" spans="2:17" ht="39.9" customHeight="1">
      <c r="B15" s="562"/>
      <c r="C15" s="373" t="s">
        <v>163</v>
      </c>
      <c r="D15" s="10">
        <f t="shared" ref="D15:Q15" si="0">D14/D13</f>
        <v>0.93651466735657452</v>
      </c>
      <c r="E15" s="10">
        <f t="shared" si="0"/>
        <v>0.89593127341000323</v>
      </c>
      <c r="F15" s="10">
        <f t="shared" si="0"/>
        <v>0.84565861217634053</v>
      </c>
      <c r="G15" s="10">
        <f t="shared" si="0"/>
        <v>0.89208587070153655</v>
      </c>
      <c r="H15" s="10">
        <f t="shared" si="0"/>
        <v>0.96975117248135645</v>
      </c>
      <c r="I15" s="10">
        <f t="shared" si="0"/>
        <v>0.92037006774700181</v>
      </c>
      <c r="J15" s="10">
        <f t="shared" si="0"/>
        <v>0.87583216628166416</v>
      </c>
      <c r="K15" s="10">
        <f t="shared" si="0"/>
        <v>0.84863163833858657</v>
      </c>
      <c r="L15" s="10">
        <f t="shared" si="0"/>
        <v>0.89678192542255886</v>
      </c>
      <c r="M15" s="10">
        <f t="shared" si="0"/>
        <v>0.91233142200502226</v>
      </c>
      <c r="N15" s="10">
        <f t="shared" si="0"/>
        <v>0.90560587460695496</v>
      </c>
      <c r="O15" s="10">
        <f t="shared" si="0"/>
        <v>0.84391387032088994</v>
      </c>
      <c r="P15" s="375">
        <f t="shared" si="0"/>
        <v>0.92720195959082985</v>
      </c>
      <c r="Q15" s="11">
        <f t="shared" si="0"/>
        <v>0.95549437880565369</v>
      </c>
    </row>
    <row r="16" spans="2:17" ht="22.8" customHeight="1">
      <c r="B16" s="563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564"/>
      <c r="C17" s="373" t="s">
        <v>36</v>
      </c>
      <c r="D17" s="12">
        <v>0.74930555555555556</v>
      </c>
      <c r="E17" s="12">
        <v>0.68819444444444444</v>
      </c>
      <c r="F17" s="12">
        <v>0.62569444444444444</v>
      </c>
      <c r="G17" s="12">
        <v>0.68402777777777768</v>
      </c>
      <c r="H17" s="12">
        <v>0.7416666666666667</v>
      </c>
      <c r="I17" s="12">
        <v>0.78263888888888877</v>
      </c>
      <c r="J17" s="12">
        <v>0.82986111111111116</v>
      </c>
      <c r="K17" s="12">
        <v>0.82361111111111107</v>
      </c>
      <c r="L17" s="12">
        <v>0.95902777777777781</v>
      </c>
      <c r="M17" s="12">
        <v>1.0305555555555552</v>
      </c>
      <c r="N17" s="12">
        <v>0.96180555555555547</v>
      </c>
      <c r="O17" s="22">
        <v>0.82222222222222219</v>
      </c>
      <c r="P17" s="12">
        <v>0.63611111111111107</v>
      </c>
      <c r="Q17" s="376">
        <v>0.60416666666666663</v>
      </c>
    </row>
    <row r="18" spans="2:23" ht="22.8" customHeight="1">
      <c r="B18" s="537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538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537" t="s">
        <v>16</v>
      </c>
      <c r="C20" s="377" t="s">
        <v>166</v>
      </c>
      <c r="D20" s="378">
        <v>1</v>
      </c>
      <c r="E20" s="378">
        <v>2</v>
      </c>
      <c r="F20" s="378">
        <v>1</v>
      </c>
      <c r="G20" s="378" t="s">
        <v>15</v>
      </c>
      <c r="H20" s="378">
        <v>1</v>
      </c>
      <c r="I20" s="378">
        <v>2</v>
      </c>
      <c r="J20" s="378">
        <v>2</v>
      </c>
      <c r="K20" s="378">
        <v>2</v>
      </c>
      <c r="L20" s="378">
        <v>1</v>
      </c>
      <c r="M20" s="378">
        <v>2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538"/>
      <c r="C21" s="377" t="s">
        <v>168</v>
      </c>
      <c r="D21" s="378" t="s">
        <v>15</v>
      </c>
      <c r="E21" s="378">
        <v>2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2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565" t="s">
        <v>169</v>
      </c>
      <c r="C22" s="511"/>
      <c r="D22" s="380">
        <v>18.5</v>
      </c>
      <c r="E22" s="380">
        <v>17.571428571428573</v>
      </c>
      <c r="F22" s="380">
        <v>15</v>
      </c>
      <c r="G22" s="380">
        <v>6.7142857142857144</v>
      </c>
      <c r="H22" s="380">
        <v>6.666666666666667</v>
      </c>
      <c r="I22" s="380">
        <v>17.333333333333332</v>
      </c>
      <c r="J22" s="380">
        <v>17.666666666666668</v>
      </c>
      <c r="K22" s="380">
        <v>17.399999999999999</v>
      </c>
      <c r="L22" s="380">
        <v>16.111111111111111</v>
      </c>
      <c r="M22" s="380">
        <v>18.222222222222221</v>
      </c>
      <c r="N22" s="380">
        <v>17.333333333333332</v>
      </c>
      <c r="O22" s="380">
        <v>14</v>
      </c>
      <c r="P22" s="380">
        <v>11.333333333333334</v>
      </c>
      <c r="Q22" s="381">
        <v>11.333333333333334</v>
      </c>
    </row>
    <row r="23" spans="2:23" ht="22.8" customHeight="1">
      <c r="B23" s="565" t="s">
        <v>170</v>
      </c>
      <c r="C23" s="511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5" t="s">
        <v>171</v>
      </c>
      <c r="C24" s="51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6" t="s">
        <v>172</v>
      </c>
      <c r="C25" s="56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53"/>
      <c r="C27" s="578"/>
      <c r="D27" s="570" t="s">
        <v>173</v>
      </c>
      <c r="E27" s="571"/>
      <c r="F27" s="571"/>
      <c r="G27" s="571"/>
      <c r="H27" s="572"/>
      <c r="I27" s="573" t="s">
        <v>174</v>
      </c>
      <c r="J27" s="574"/>
      <c r="K27" s="574"/>
      <c r="L27" s="574"/>
      <c r="M27" s="575"/>
      <c r="N27" s="372"/>
      <c r="O27" s="372"/>
      <c r="P27" s="372"/>
      <c r="Q27" s="372"/>
    </row>
    <row r="28" spans="2:23" ht="17.25" customHeight="1">
      <c r="B28" s="558" t="s">
        <v>147</v>
      </c>
      <c r="C28" s="57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9"/>
      <c r="C29" s="577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560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561"/>
      <c r="C31" s="386" t="s">
        <v>162</v>
      </c>
      <c r="D31" s="388">
        <v>159.99999999999972</v>
      </c>
      <c r="E31" s="8">
        <v>823.70953428511621</v>
      </c>
      <c r="F31" s="8">
        <v>0</v>
      </c>
      <c r="G31" s="8">
        <v>865.18539452078437</v>
      </c>
      <c r="H31" s="389">
        <v>985.32098930381665</v>
      </c>
      <c r="I31" s="388">
        <v>0</v>
      </c>
      <c r="J31" s="8">
        <v>1047.9999999999952</v>
      </c>
      <c r="K31" s="8">
        <v>712.49999999999932</v>
      </c>
      <c r="L31" s="8">
        <v>912.30866944373372</v>
      </c>
      <c r="M31" s="389">
        <v>881.80741758455281</v>
      </c>
      <c r="N31" s="372"/>
      <c r="O31" s="372"/>
      <c r="P31" s="372"/>
      <c r="Q31" s="372"/>
    </row>
    <row r="32" spans="2:23" ht="39.9" customHeight="1">
      <c r="B32" s="562"/>
      <c r="C32" s="407" t="s">
        <v>163</v>
      </c>
      <c r="D32" s="390">
        <f t="shared" ref="D32:M32" si="1">D31/D30</f>
        <v>0.49999999999999911</v>
      </c>
      <c r="E32" s="10">
        <f t="shared" si="1"/>
        <v>0.99843579913347424</v>
      </c>
      <c r="F32" s="10">
        <f t="shared" si="1"/>
        <v>0</v>
      </c>
      <c r="G32" s="10">
        <f t="shared" si="1"/>
        <v>0.96131710502309375</v>
      </c>
      <c r="H32" s="10">
        <f t="shared" si="1"/>
        <v>1.094801099226463</v>
      </c>
      <c r="I32" s="388">
        <f t="shared" si="1"/>
        <v>0</v>
      </c>
      <c r="J32" s="10">
        <f t="shared" si="1"/>
        <v>1.2703030303030245</v>
      </c>
      <c r="K32" s="10">
        <f t="shared" si="1"/>
        <v>0.79166666666666596</v>
      </c>
      <c r="L32" s="10">
        <f t="shared" si="1"/>
        <v>1.0136762993819264</v>
      </c>
      <c r="M32" s="11">
        <f t="shared" si="1"/>
        <v>0.97978601953839206</v>
      </c>
      <c r="N32" s="372"/>
      <c r="O32" s="372"/>
      <c r="P32" s="372"/>
      <c r="Q32" s="372"/>
    </row>
    <row r="33" spans="2:17" ht="25.8" customHeight="1">
      <c r="B33" s="563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2944.8000000000006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5.9027777777777783E-2</v>
      </c>
      <c r="N33" s="372"/>
      <c r="O33" s="372"/>
      <c r="P33" s="372"/>
      <c r="Q33" s="372"/>
    </row>
    <row r="34" spans="2:17" ht="25.8" customHeight="1">
      <c r="B34" s="564"/>
      <c r="C34" s="407" t="s">
        <v>36</v>
      </c>
      <c r="D34" s="391">
        <v>0.3923611111111111</v>
      </c>
      <c r="E34" s="12">
        <v>0.37083333333333335</v>
      </c>
      <c r="F34" s="12">
        <v>0</v>
      </c>
      <c r="G34" s="12">
        <v>1085.9999999999986</v>
      </c>
      <c r="H34" s="376">
        <v>0.58402777777777781</v>
      </c>
      <c r="I34" s="23">
        <v>0</v>
      </c>
      <c r="J34" s="12">
        <v>0.73611111111111116</v>
      </c>
      <c r="K34" s="12">
        <v>0.78472222222222221</v>
      </c>
      <c r="L34" s="12">
        <v>46176.065972222219</v>
      </c>
      <c r="M34" s="13">
        <v>46176.045138888891</v>
      </c>
      <c r="N34" s="372"/>
      <c r="O34" s="372"/>
      <c r="P34" s="372"/>
      <c r="Q34" s="372"/>
    </row>
    <row r="35" spans="2:17" ht="25.8" customHeight="1">
      <c r="B35" s="565" t="s">
        <v>169</v>
      </c>
      <c r="C35" s="5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565" t="s">
        <v>170</v>
      </c>
      <c r="C36" s="5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565" t="s">
        <v>171</v>
      </c>
      <c r="C37" s="5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566" t="s">
        <v>172</v>
      </c>
      <c r="C38" s="569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3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45" priority="1" operator="lessThan">
      <formula>0.8</formula>
    </cfRule>
  </conditionalFormatting>
  <conditionalFormatting sqref="D15:Q15">
    <cfRule type="cellIs" dxfId="144" priority="4" operator="lessThan">
      <formula>0.8</formula>
    </cfRule>
  </conditionalFormatting>
  <conditionalFormatting sqref="J32:M32">
    <cfRule type="cellIs" dxfId="14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  <pageSetUpPr fitToPage="1"/>
  </sheetPr>
  <dimension ref="A1:R126"/>
  <sheetViews>
    <sheetView zoomScale="85" zoomScaleNormal="85" workbookViewId="0">
      <selection activeCell="G31" sqref="G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435</v>
      </c>
      <c r="B1" s="277"/>
      <c r="C1" s="278"/>
      <c r="D1" s="279" t="s">
        <v>316</v>
      </c>
      <c r="E1" s="280">
        <f>SUM(G5:G124)</f>
        <v>96111</v>
      </c>
      <c r="F1" s="281" t="s">
        <v>3</v>
      </c>
      <c r="G1" s="282">
        <f>SUM(H5:H124)</f>
        <v>1844440.2837022399</v>
      </c>
      <c r="H1" s="283" t="s">
        <v>436</v>
      </c>
      <c r="I1" s="284">
        <f>+J16+J64+J24+J38+J51+J81+J100+J91+J57+J124+J111</f>
        <v>44.828571428571429</v>
      </c>
      <c r="J1" s="487" t="s">
        <v>437</v>
      </c>
      <c r="K1" s="488"/>
      <c r="L1" s="489"/>
      <c r="M1" s="487" t="s">
        <v>438</v>
      </c>
      <c r="N1" s="488"/>
      <c r="O1" s="488"/>
      <c r="P1" s="488"/>
      <c r="Q1" s="488"/>
      <c r="R1" s="489"/>
    </row>
    <row r="2" spans="1:18" ht="26.25" customHeight="1" thickBot="1">
      <c r="A2" s="493" t="s">
        <v>439</v>
      </c>
      <c r="B2" s="494"/>
      <c r="C2" s="286"/>
      <c r="D2" s="414" t="s">
        <v>333</v>
      </c>
      <c r="E2" s="287">
        <f>AVERAGE(L16,L24,L38,L51,L100,L111,L91)</f>
        <v>633.30706009161531</v>
      </c>
      <c r="F2" s="288" t="s">
        <v>40</v>
      </c>
      <c r="G2" s="289">
        <f>G1/E1</f>
        <v>19.190730339942775</v>
      </c>
      <c r="H2" s="290" t="s">
        <v>440</v>
      </c>
      <c r="I2" s="291">
        <f>COUNT(I5:I124)</f>
        <v>0</v>
      </c>
      <c r="J2" s="490"/>
      <c r="K2" s="491"/>
      <c r="L2" s="492"/>
      <c r="M2" s="490"/>
      <c r="N2" s="491"/>
      <c r="O2" s="491"/>
      <c r="P2" s="491"/>
      <c r="Q2" s="491"/>
      <c r="R2" s="492"/>
    </row>
    <row r="3" spans="1:18" ht="23.25" customHeight="1">
      <c r="A3" s="495" t="s">
        <v>335</v>
      </c>
      <c r="B3" s="497" t="s">
        <v>441</v>
      </c>
      <c r="C3" s="416"/>
      <c r="D3" s="498" t="s">
        <v>337</v>
      </c>
      <c r="E3" s="498"/>
      <c r="F3" s="499" t="s">
        <v>43</v>
      </c>
      <c r="G3" s="500" t="s">
        <v>442</v>
      </c>
      <c r="H3" s="498" t="s">
        <v>443</v>
      </c>
      <c r="I3" s="501" t="s">
        <v>339</v>
      </c>
      <c r="J3" s="468" t="s">
        <v>343</v>
      </c>
      <c r="K3" s="480" t="s">
        <v>341</v>
      </c>
      <c r="L3" s="482" t="s">
        <v>333</v>
      </c>
      <c r="M3" s="484" t="s">
        <v>48</v>
      </c>
      <c r="N3" s="484"/>
      <c r="O3" s="468" t="s">
        <v>106</v>
      </c>
      <c r="P3" s="485" t="s">
        <v>444</v>
      </c>
      <c r="Q3" s="468" t="s">
        <v>445</v>
      </c>
      <c r="R3" s="468"/>
    </row>
    <row r="4" spans="1:18" ht="15.75" customHeight="1">
      <c r="A4" s="496"/>
      <c r="B4" s="497"/>
      <c r="C4" s="416"/>
      <c r="D4" s="498"/>
      <c r="E4" s="498"/>
      <c r="F4" s="499"/>
      <c r="G4" s="500"/>
      <c r="H4" s="498"/>
      <c r="I4" s="502"/>
      <c r="J4" s="479"/>
      <c r="K4" s="481"/>
      <c r="L4" s="483"/>
      <c r="M4" s="419" t="s">
        <v>50</v>
      </c>
      <c r="N4" s="419" t="s">
        <v>51</v>
      </c>
      <c r="O4" s="479"/>
      <c r="P4" s="486"/>
      <c r="Q4" s="292" t="s">
        <v>446</v>
      </c>
      <c r="R4" s="292" t="s">
        <v>447</v>
      </c>
    </row>
    <row r="5" spans="1:18">
      <c r="A5" s="469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16">
        <v>2055</v>
      </c>
      <c r="H5" s="296">
        <f>F5*G5</f>
        <v>61579.089026915106</v>
      </c>
      <c r="I5" s="417"/>
      <c r="J5" s="297">
        <v>13</v>
      </c>
      <c r="K5" s="298">
        <f t="shared" ref="K5:K10" si="0">G5/P5*60</f>
        <v>1233.0000000000002</v>
      </c>
      <c r="L5" s="299">
        <f t="shared" ref="L5:L10" si="1">K5/J5</f>
        <v>94.846153846153868</v>
      </c>
      <c r="M5" s="300">
        <v>0.17361111111111113</v>
      </c>
      <c r="N5" s="300">
        <v>0.24305555555555555</v>
      </c>
      <c r="O5" s="292">
        <v>10</v>
      </c>
      <c r="P5" s="411">
        <f t="shared" ref="P5:P10" si="2">(N5-M5)*24*60</f>
        <v>99.999999999999972</v>
      </c>
      <c r="Q5" s="301"/>
      <c r="R5" s="301"/>
    </row>
    <row r="6" spans="1:18">
      <c r="A6" s="469"/>
      <c r="B6" s="293">
        <v>0</v>
      </c>
      <c r="C6" s="293"/>
      <c r="D6" s="294" t="s">
        <v>192</v>
      </c>
      <c r="E6" s="294"/>
      <c r="F6" s="295" t="s">
        <v>133</v>
      </c>
      <c r="G6" s="416">
        <v>2379</v>
      </c>
      <c r="H6" s="296">
        <f t="shared" ref="H6:H15" si="3">F6*G6</f>
        <v>0</v>
      </c>
      <c r="I6" s="417"/>
      <c r="J6" s="297">
        <v>9</v>
      </c>
      <c r="K6" s="298">
        <f t="shared" si="0"/>
        <v>1586.0000000000007</v>
      </c>
      <c r="L6" s="299">
        <f t="shared" si="1"/>
        <v>176.22222222222229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469"/>
      <c r="B7" s="293">
        <v>0</v>
      </c>
      <c r="C7" s="293"/>
      <c r="D7" s="294" t="s">
        <v>193</v>
      </c>
      <c r="E7" s="294"/>
      <c r="F7" s="295" t="s">
        <v>133</v>
      </c>
      <c r="G7" s="416">
        <v>2258</v>
      </c>
      <c r="H7" s="296">
        <f t="shared" si="3"/>
        <v>0</v>
      </c>
      <c r="I7" s="417"/>
      <c r="J7" s="297">
        <v>9</v>
      </c>
      <c r="K7" s="298">
        <f t="shared" si="0"/>
        <v>1593.8823529411761</v>
      </c>
      <c r="L7" s="299">
        <f t="shared" si="1"/>
        <v>177.09803921568624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9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1951</v>
      </c>
      <c r="H8" s="296">
        <f t="shared" si="3"/>
        <v>71113.950000000012</v>
      </c>
      <c r="I8" s="417"/>
      <c r="J8" s="297">
        <v>13</v>
      </c>
      <c r="K8" s="298">
        <f t="shared" si="0"/>
        <v>1463.2499999999995</v>
      </c>
      <c r="L8" s="299">
        <f t="shared" si="1"/>
        <v>112.55769230769228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0.45833333333333331</v>
      </c>
      <c r="R8" s="301">
        <v>0.48958333333333331</v>
      </c>
    </row>
    <row r="9" spans="1:18">
      <c r="A9" s="469"/>
      <c r="B9" s="293" t="s">
        <v>134</v>
      </c>
      <c r="C9" s="293"/>
      <c r="D9" s="294" t="s">
        <v>195</v>
      </c>
      <c r="E9" s="294"/>
      <c r="F9" s="295">
        <v>29.85</v>
      </c>
      <c r="G9" s="302">
        <v>2379</v>
      </c>
      <c r="H9" s="296">
        <f t="shared" si="3"/>
        <v>71013.150000000009</v>
      </c>
      <c r="I9" s="417"/>
      <c r="J9" s="297">
        <v>12</v>
      </c>
      <c r="K9" s="298">
        <f t="shared" si="0"/>
        <v>1784.2500000000027</v>
      </c>
      <c r="L9" s="299">
        <f t="shared" si="1"/>
        <v>148.68750000000023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469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2258</v>
      </c>
      <c r="H10" s="296">
        <f t="shared" si="3"/>
        <v>66656.160000000003</v>
      </c>
      <c r="I10" s="417"/>
      <c r="J10" s="297">
        <v>12</v>
      </c>
      <c r="K10" s="298">
        <f t="shared" si="0"/>
        <v>1806.4000000000028</v>
      </c>
      <c r="L10" s="299">
        <f t="shared" si="1"/>
        <v>150.53333333333356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469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70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70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70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70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71"/>
      <c r="B16" s="293">
        <v>0</v>
      </c>
      <c r="C16" s="293" t="s">
        <v>450</v>
      </c>
      <c r="D16" s="455" t="s">
        <v>371</v>
      </c>
      <c r="E16" s="455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1577.7970588235303</v>
      </c>
      <c r="L16" s="309">
        <f>AVERAGE(L5:L15)</f>
        <v>143.32415682084806</v>
      </c>
      <c r="M16" s="300"/>
      <c r="N16" s="300"/>
      <c r="O16" s="298"/>
      <c r="P16" s="298"/>
      <c r="Q16" s="299"/>
      <c r="R16" s="299"/>
    </row>
    <row r="17" spans="1:18" ht="15.75" customHeight="1">
      <c r="A17" s="472" t="s">
        <v>451</v>
      </c>
      <c r="B17" s="293" t="s">
        <v>134</v>
      </c>
      <c r="C17" s="416"/>
      <c r="D17" s="475" t="s">
        <v>180</v>
      </c>
      <c r="E17" s="476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1599.999999999997</v>
      </c>
      <c r="L17" s="299">
        <f>K17/J17</f>
        <v>159.99999999999972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472"/>
      <c r="B18" s="293">
        <v>0</v>
      </c>
      <c r="C18" s="416"/>
      <c r="D18" s="477"/>
      <c r="E18" s="478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2"/>
      <c r="B19" s="293">
        <v>0</v>
      </c>
      <c r="C19" s="416"/>
      <c r="D19" s="477"/>
      <c r="E19" s="478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3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3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3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3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474"/>
      <c r="B24" s="293">
        <v>0</v>
      </c>
      <c r="C24" s="6" t="s">
        <v>452</v>
      </c>
      <c r="D24" s="455" t="s">
        <v>371</v>
      </c>
      <c r="E24" s="455"/>
      <c r="F24" s="304"/>
      <c r="G24" s="313"/>
      <c r="H24" s="306"/>
      <c r="I24" s="307"/>
      <c r="J24" s="308">
        <f>AVERAGE(J17:J23)</f>
        <v>10</v>
      </c>
      <c r="K24" s="308">
        <f>AVERAGE(K17:K23)</f>
        <v>1599.999999999997</v>
      </c>
      <c r="L24" s="309">
        <f>AVERAGE(L17:L23)</f>
        <v>159.99999999999972</v>
      </c>
      <c r="M24" s="300"/>
      <c r="N24" s="300"/>
      <c r="O24" s="292"/>
      <c r="P24" s="292"/>
      <c r="Q24" s="292"/>
      <c r="R24" s="292"/>
    </row>
    <row r="25" spans="1:18">
      <c r="A25" s="459" t="s">
        <v>453</v>
      </c>
      <c r="B25" s="293" t="s">
        <v>131</v>
      </c>
      <c r="C25" s="314"/>
      <c r="D25" s="316" t="s">
        <v>454</v>
      </c>
      <c r="E25" s="315"/>
      <c r="F25" s="295">
        <v>15.03</v>
      </c>
      <c r="G25" s="416">
        <v>1248</v>
      </c>
      <c r="H25" s="296">
        <f t="shared" ref="H25:H37" si="6">F25*G25</f>
        <v>18757.439999999999</v>
      </c>
      <c r="I25" s="417"/>
      <c r="J25" s="297">
        <v>4</v>
      </c>
      <c r="K25" s="298">
        <f t="shared" ref="K25:K28" si="7">G25/P25*60</f>
        <v>2773.3333333333348</v>
      </c>
      <c r="L25" s="299">
        <f t="shared" ref="L25:L28" si="8">K25/J25</f>
        <v>693.33333333333371</v>
      </c>
      <c r="M25" s="300">
        <v>0.18055555555555555</v>
      </c>
      <c r="N25" s="300">
        <v>0.19930555555555554</v>
      </c>
      <c r="O25" s="292">
        <v>20</v>
      </c>
      <c r="P25" s="411">
        <f t="shared" ref="P25:P28" si="9">(N25-M25)*24*60</f>
        <v>26.999999999999986</v>
      </c>
      <c r="Q25" s="301"/>
      <c r="R25" s="301"/>
    </row>
    <row r="26" spans="1:18">
      <c r="A26" s="459"/>
      <c r="B26" s="293" t="s">
        <v>131</v>
      </c>
      <c r="C26" s="314"/>
      <c r="D26" s="312" t="s">
        <v>107</v>
      </c>
      <c r="E26" s="317"/>
      <c r="F26" s="295">
        <v>18.18</v>
      </c>
      <c r="G26" s="416">
        <v>3246</v>
      </c>
      <c r="H26" s="296">
        <f t="shared" si="6"/>
        <v>59012.28</v>
      </c>
      <c r="I26" s="417"/>
      <c r="J26" s="297">
        <v>4</v>
      </c>
      <c r="K26" s="298">
        <f t="shared" si="7"/>
        <v>2782.2857142857133</v>
      </c>
      <c r="L26" s="299">
        <f t="shared" si="8"/>
        <v>695.57142857142833</v>
      </c>
      <c r="M26" s="300">
        <v>0.21319444444444444</v>
      </c>
      <c r="N26" s="300">
        <v>0.26180555555555557</v>
      </c>
      <c r="O26" s="292">
        <v>20</v>
      </c>
      <c r="P26" s="411">
        <f t="shared" si="9"/>
        <v>70.000000000000028</v>
      </c>
      <c r="Q26" s="301"/>
      <c r="R26" s="301"/>
    </row>
    <row r="27" spans="1:18">
      <c r="A27" s="459"/>
      <c r="B27" s="293" t="s">
        <v>131</v>
      </c>
      <c r="C27" s="314"/>
      <c r="D27" s="316" t="s">
        <v>109</v>
      </c>
      <c r="E27" s="317"/>
      <c r="F27" s="295">
        <v>18.53</v>
      </c>
      <c r="G27" s="416">
        <v>1971</v>
      </c>
      <c r="H27" s="296">
        <f t="shared" si="6"/>
        <v>36522.630000000005</v>
      </c>
      <c r="I27" s="417"/>
      <c r="J27" s="297">
        <v>3</v>
      </c>
      <c r="K27" s="298">
        <f t="shared" si="7"/>
        <v>2750.2325581395394</v>
      </c>
      <c r="L27" s="299">
        <f t="shared" si="8"/>
        <v>916.74418604651316</v>
      </c>
      <c r="M27" s="300">
        <v>0.27569444444444446</v>
      </c>
      <c r="N27" s="300">
        <v>0.30555555555555552</v>
      </c>
      <c r="O27" s="292">
        <v>20</v>
      </c>
      <c r="P27" s="411">
        <f t="shared" si="9"/>
        <v>42.999999999999929</v>
      </c>
      <c r="Q27" s="301"/>
      <c r="R27" s="301"/>
    </row>
    <row r="28" spans="1:18">
      <c r="A28" s="459"/>
      <c r="B28" s="293" t="s">
        <v>131</v>
      </c>
      <c r="C28" s="416"/>
      <c r="D28" s="312" t="s">
        <v>455</v>
      </c>
      <c r="E28" s="317"/>
      <c r="F28" s="295">
        <v>24.93</v>
      </c>
      <c r="G28" s="416">
        <v>3660</v>
      </c>
      <c r="H28" s="296">
        <f t="shared" si="6"/>
        <v>91243.8</v>
      </c>
      <c r="I28" s="417"/>
      <c r="J28" s="297">
        <v>3</v>
      </c>
      <c r="K28" s="298">
        <f t="shared" si="7"/>
        <v>2967.5675675675689</v>
      </c>
      <c r="L28" s="299">
        <f t="shared" si="8"/>
        <v>989.18918918918962</v>
      </c>
      <c r="M28" s="300">
        <v>0.31944444444444448</v>
      </c>
      <c r="N28" s="300">
        <v>0.37083333333333335</v>
      </c>
      <c r="O28" s="292">
        <v>20</v>
      </c>
      <c r="P28" s="411">
        <f t="shared" si="9"/>
        <v>73.999999999999972</v>
      </c>
      <c r="Q28" s="301"/>
      <c r="R28" s="301"/>
    </row>
    <row r="29" spans="1:18">
      <c r="A29" s="459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59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59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59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59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59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59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59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59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460"/>
      <c r="B38" s="293">
        <v>0</v>
      </c>
      <c r="C38" s="6" t="s">
        <v>27</v>
      </c>
      <c r="D38" s="450" t="s">
        <v>108</v>
      </c>
      <c r="E38" s="450"/>
      <c r="F38" s="304"/>
      <c r="G38" s="320"/>
      <c r="H38" s="306"/>
      <c r="I38" s="307"/>
      <c r="J38" s="308">
        <f>AVERAGE(J25:J37)</f>
        <v>3.5</v>
      </c>
      <c r="K38" s="308">
        <f>AVERAGE(K25:K37)</f>
        <v>2818.354793331539</v>
      </c>
      <c r="L38" s="309">
        <f>AVERAGE(L25:L37)</f>
        <v>823.70953428511621</v>
      </c>
      <c r="M38" s="300"/>
      <c r="N38" s="300"/>
      <c r="O38" s="298"/>
      <c r="P38" s="298"/>
      <c r="Q38" s="299"/>
      <c r="R38" s="299"/>
    </row>
    <row r="39" spans="1:18" ht="16.2" customHeight="1">
      <c r="A39" s="461" t="s">
        <v>456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62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62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62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62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62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62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62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62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63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63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63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64"/>
      <c r="B51" s="293">
        <v>0</v>
      </c>
      <c r="C51" s="6" t="s">
        <v>28</v>
      </c>
      <c r="D51" s="455" t="s">
        <v>371</v>
      </c>
      <c r="E51" s="455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5" t="s">
        <v>457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1068</v>
      </c>
      <c r="H52" s="296">
        <f>F52*G52</f>
        <v>19416.239999999998</v>
      </c>
      <c r="I52" s="417"/>
      <c r="J52" s="297">
        <v>3</v>
      </c>
      <c r="K52" s="298">
        <f>G52/P52*60</f>
        <v>3051.4285714285588</v>
      </c>
      <c r="L52" s="299">
        <f>K52/J52</f>
        <v>1017.1428571428529</v>
      </c>
      <c r="M52" s="300">
        <v>0.30555555555555552</v>
      </c>
      <c r="N52" s="300">
        <v>0.32013888888888892</v>
      </c>
      <c r="O52" s="298">
        <v>20</v>
      </c>
      <c r="P52" s="411">
        <f>(N52-M52)*24*60</f>
        <v>21.000000000000085</v>
      </c>
      <c r="Q52" s="301"/>
      <c r="R52" s="301"/>
    </row>
    <row r="53" spans="1:18" ht="15.6" customHeight="1">
      <c r="A53" s="466"/>
      <c r="B53" s="293" t="s">
        <v>131</v>
      </c>
      <c r="C53" s="416"/>
      <c r="D53" s="315" t="s">
        <v>110</v>
      </c>
      <c r="E53" s="331"/>
      <c r="F53" s="295">
        <v>25.03</v>
      </c>
      <c r="G53" s="302">
        <v>760</v>
      </c>
      <c r="H53" s="296">
        <f t="shared" ref="H53:H116" si="11">F53*G53</f>
        <v>19022.8</v>
      </c>
      <c r="I53" s="417"/>
      <c r="J53" s="297">
        <v>4</v>
      </c>
      <c r="K53" s="298">
        <f t="shared" ref="K53:K57" si="12">G53/P53*60</f>
        <v>3039.9999999999945</v>
      </c>
      <c r="L53" s="299">
        <f t="shared" ref="L53:L57" si="13">K53/J53</f>
        <v>759.99999999999864</v>
      </c>
      <c r="M53" s="300">
        <v>0.33402777777777781</v>
      </c>
      <c r="N53" s="300">
        <v>0.3444444444444445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466"/>
      <c r="B54" s="293" t="s">
        <v>131</v>
      </c>
      <c r="C54" s="416"/>
      <c r="D54" s="315" t="s">
        <v>111</v>
      </c>
      <c r="E54" s="413"/>
      <c r="F54" s="295">
        <v>24.82</v>
      </c>
      <c r="G54" s="302">
        <v>1004</v>
      </c>
      <c r="H54" s="296">
        <f t="shared" si="11"/>
        <v>24919.279999999999</v>
      </c>
      <c r="I54" s="417"/>
      <c r="J54" s="297">
        <v>4</v>
      </c>
      <c r="K54" s="298">
        <f t="shared" si="12"/>
        <v>3170.5263157894851</v>
      </c>
      <c r="L54" s="299">
        <f t="shared" si="13"/>
        <v>792.63157894737128</v>
      </c>
      <c r="M54" s="300">
        <v>0.35833333333333334</v>
      </c>
      <c r="N54" s="300">
        <v>0.37152777777777773</v>
      </c>
      <c r="O54" s="298">
        <v>20</v>
      </c>
      <c r="P54" s="411">
        <f t="shared" si="14"/>
        <v>18.999999999999932</v>
      </c>
      <c r="Q54" s="301"/>
      <c r="R54" s="301"/>
    </row>
    <row r="55" spans="1:18" ht="15.6" customHeight="1">
      <c r="A55" s="466"/>
      <c r="B55" s="293" t="s">
        <v>131</v>
      </c>
      <c r="C55" s="416"/>
      <c r="D55" s="315" t="s">
        <v>112</v>
      </c>
      <c r="E55" s="317"/>
      <c r="F55" s="295">
        <v>30</v>
      </c>
      <c r="G55" s="302">
        <v>1545</v>
      </c>
      <c r="H55" s="296">
        <f t="shared" si="11"/>
        <v>46350</v>
      </c>
      <c r="I55" s="417"/>
      <c r="J55" s="297">
        <v>4</v>
      </c>
      <c r="K55" s="298">
        <f t="shared" si="12"/>
        <v>3196.5517241379425</v>
      </c>
      <c r="L55" s="299">
        <f t="shared" si="13"/>
        <v>799.13793103448563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466"/>
      <c r="B56" s="293" t="s">
        <v>131</v>
      </c>
      <c r="C56" s="416"/>
      <c r="D56" s="316" t="s">
        <v>458</v>
      </c>
      <c r="E56" s="317"/>
      <c r="F56" s="295">
        <v>23.72</v>
      </c>
      <c r="G56" s="302">
        <v>1227</v>
      </c>
      <c r="H56" s="296">
        <f t="shared" si="11"/>
        <v>29104.44</v>
      </c>
      <c r="I56" s="417"/>
      <c r="J56" s="297">
        <v>4</v>
      </c>
      <c r="K56" s="298">
        <f t="shared" si="12"/>
        <v>2944.8000000000006</v>
      </c>
      <c r="L56" s="299">
        <f t="shared" si="13"/>
        <v>736.20000000000016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466"/>
      <c r="B57" s="293" t="s">
        <v>131</v>
      </c>
      <c r="C57" s="6" t="s">
        <v>31</v>
      </c>
      <c r="D57" s="315" t="s">
        <v>459</v>
      </c>
      <c r="E57" s="317"/>
      <c r="F57" s="295">
        <v>17.07</v>
      </c>
      <c r="G57" s="302">
        <v>2715</v>
      </c>
      <c r="H57" s="296">
        <f t="shared" si="11"/>
        <v>46345.05</v>
      </c>
      <c r="I57" s="417"/>
      <c r="J57" s="297">
        <v>3</v>
      </c>
      <c r="K57" s="298">
        <f t="shared" si="12"/>
        <v>3257.9999999999959</v>
      </c>
      <c r="L57" s="299">
        <f t="shared" si="13"/>
        <v>1085.9999999999986</v>
      </c>
      <c r="M57" s="300">
        <v>0.49652777777777773</v>
      </c>
      <c r="N57" s="300">
        <v>0.53125</v>
      </c>
      <c r="O57" s="298">
        <v>20</v>
      </c>
      <c r="P57" s="411">
        <f t="shared" si="14"/>
        <v>50.000000000000064</v>
      </c>
      <c r="Q57" s="301"/>
      <c r="R57" s="301"/>
    </row>
    <row r="58" spans="1:18" ht="15.6" customHeight="1">
      <c r="A58" s="46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7"/>
      <c r="B64" s="293">
        <v>0</v>
      </c>
      <c r="C64" s="6" t="s">
        <v>460</v>
      </c>
      <c r="D64" s="455" t="s">
        <v>371</v>
      </c>
      <c r="E64" s="455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3110.2177685593292</v>
      </c>
      <c r="L64" s="309">
        <f>AVERAGE(L52:L63)</f>
        <v>865.18539452078437</v>
      </c>
      <c r="M64" s="300"/>
      <c r="N64" s="300"/>
      <c r="O64" s="292"/>
      <c r="P64" s="292"/>
      <c r="Q64" s="292"/>
      <c r="R64" s="292"/>
    </row>
    <row r="65" spans="1:18" ht="15.6" customHeight="1">
      <c r="A65" s="452" t="s">
        <v>461</v>
      </c>
      <c r="B65" s="293" t="s">
        <v>131</v>
      </c>
      <c r="C65" s="416"/>
      <c r="D65" s="316" t="s">
        <v>462</v>
      </c>
      <c r="E65" s="330"/>
      <c r="F65" s="295">
        <v>22.281818181818181</v>
      </c>
      <c r="G65" s="416">
        <v>719</v>
      </c>
      <c r="H65" s="296">
        <f>F65*G65</f>
        <v>16020.627272727272</v>
      </c>
      <c r="I65" s="417"/>
      <c r="J65" s="297">
        <v>4</v>
      </c>
      <c r="K65" s="298">
        <f t="shared" ref="K65:K72" si="15">G65/P65*60</f>
        <v>3081.4285714285738</v>
      </c>
      <c r="L65" s="299">
        <f t="shared" ref="L65:L72" si="16">K65/J65</f>
        <v>770.35714285714346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53"/>
      <c r="B66" s="293" t="s">
        <v>131</v>
      </c>
      <c r="C66" s="416"/>
      <c r="D66" s="316" t="s">
        <v>115</v>
      </c>
      <c r="E66" s="331"/>
      <c r="F66" s="295">
        <v>18.18</v>
      </c>
      <c r="G66" s="302">
        <v>1623</v>
      </c>
      <c r="H66" s="296">
        <f t="shared" ref="H66:H74" si="17">F66*G66</f>
        <v>29506.14</v>
      </c>
      <c r="I66" s="417"/>
      <c r="J66" s="297">
        <v>3</v>
      </c>
      <c r="K66" s="298">
        <f t="shared" si="15"/>
        <v>3141.2903225806481</v>
      </c>
      <c r="L66" s="299">
        <f t="shared" si="16"/>
        <v>1047.0967741935494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453"/>
      <c r="B67" s="293" t="s">
        <v>131</v>
      </c>
      <c r="C67" s="416"/>
      <c r="D67" s="332" t="s">
        <v>463</v>
      </c>
      <c r="E67" s="317"/>
      <c r="F67" s="295">
        <v>17.890909090909091</v>
      </c>
      <c r="G67" s="302">
        <v>1874</v>
      </c>
      <c r="H67" s="296">
        <f t="shared" si="17"/>
        <v>33527.563636363637</v>
      </c>
      <c r="I67" s="417"/>
      <c r="J67" s="297">
        <v>3</v>
      </c>
      <c r="K67" s="298">
        <f t="shared" si="15"/>
        <v>3123.3333333333339</v>
      </c>
      <c r="L67" s="299">
        <f t="shared" si="16"/>
        <v>1041.1111111111113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453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4864</v>
      </c>
      <c r="H68" s="296">
        <f t="shared" si="17"/>
        <v>69485.714285714275</v>
      </c>
      <c r="I68" s="417"/>
      <c r="J68" s="297">
        <v>3</v>
      </c>
      <c r="K68" s="298">
        <f t="shared" si="15"/>
        <v>3172.1739130434785</v>
      </c>
      <c r="L68" s="299">
        <f t="shared" si="16"/>
        <v>1057.3913043478262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453"/>
      <c r="B69" s="293" t="s">
        <v>131</v>
      </c>
      <c r="C69" s="416"/>
      <c r="D69" s="316" t="s">
        <v>464</v>
      </c>
      <c r="E69" s="317"/>
      <c r="F69" s="295">
        <v>16.66</v>
      </c>
      <c r="G69" s="302">
        <v>3191</v>
      </c>
      <c r="H69" s="296">
        <f t="shared" si="17"/>
        <v>53162.06</v>
      </c>
      <c r="I69" s="417"/>
      <c r="J69" s="297">
        <v>4</v>
      </c>
      <c r="K69" s="298">
        <f t="shared" si="15"/>
        <v>3190.9999999999986</v>
      </c>
      <c r="L69" s="299">
        <f t="shared" si="16"/>
        <v>797.74999999999966</v>
      </c>
      <c r="M69" s="300">
        <v>0.40138888888888885</v>
      </c>
      <c r="N69" s="300">
        <v>0.44305555555555554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453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3132</v>
      </c>
      <c r="H70" s="296">
        <f t="shared" si="17"/>
        <v>43941.96</v>
      </c>
      <c r="I70" s="417"/>
      <c r="J70" s="297">
        <v>3</v>
      </c>
      <c r="K70" s="298">
        <f t="shared" si="15"/>
        <v>3185.0847457627146</v>
      </c>
      <c r="L70" s="299">
        <f t="shared" si="16"/>
        <v>1061.6949152542381</v>
      </c>
      <c r="M70" s="300">
        <v>0.45694444444444443</v>
      </c>
      <c r="N70" s="300">
        <v>0.49791666666666662</v>
      </c>
      <c r="O70" s="298">
        <v>20</v>
      </c>
      <c r="P70" s="411">
        <f t="shared" si="18"/>
        <v>58.99999999999995</v>
      </c>
      <c r="Q70" s="301"/>
      <c r="R70" s="301"/>
    </row>
    <row r="71" spans="1:18" ht="15.6" customHeight="1">
      <c r="A71" s="453"/>
      <c r="B71" s="293" t="s">
        <v>131</v>
      </c>
      <c r="C71" s="314"/>
      <c r="D71" s="332" t="s">
        <v>465</v>
      </c>
      <c r="E71" s="317"/>
      <c r="F71" s="295">
        <v>25.2</v>
      </c>
      <c r="G71" s="334">
        <v>1257</v>
      </c>
      <c r="H71" s="296">
        <f t="shared" si="17"/>
        <v>31676.399999999998</v>
      </c>
      <c r="I71" s="417"/>
      <c r="J71" s="297">
        <v>3</v>
      </c>
      <c r="K71" s="298">
        <f t="shared" si="15"/>
        <v>3142.49999999999</v>
      </c>
      <c r="L71" s="299">
        <f t="shared" si="16"/>
        <v>1047.4999999999966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453"/>
      <c r="B72" s="293" t="s">
        <v>131</v>
      </c>
      <c r="C72" s="416"/>
      <c r="D72" s="332" t="s">
        <v>466</v>
      </c>
      <c r="E72" s="317"/>
      <c r="F72" s="295">
        <v>20.72</v>
      </c>
      <c r="G72" s="302">
        <v>3179</v>
      </c>
      <c r="H72" s="296">
        <f t="shared" si="17"/>
        <v>65868.87999999999</v>
      </c>
      <c r="I72" s="417"/>
      <c r="J72" s="297">
        <v>3</v>
      </c>
      <c r="K72" s="298">
        <f t="shared" si="15"/>
        <v>3179.0000000000032</v>
      </c>
      <c r="L72" s="299">
        <f t="shared" si="16"/>
        <v>1059.6666666666677</v>
      </c>
      <c r="M72" s="300">
        <v>0.54236111111111118</v>
      </c>
      <c r="N72" s="300">
        <v>0.58402777777777781</v>
      </c>
      <c r="O72" s="298">
        <v>20</v>
      </c>
      <c r="P72" s="411">
        <f t="shared" si="18"/>
        <v>59.999999999999943</v>
      </c>
      <c r="Q72" s="301"/>
      <c r="R72" s="301"/>
    </row>
    <row r="73" spans="1:18" ht="15.6" customHeight="1">
      <c r="A73" s="453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53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54"/>
      <c r="B75" s="293">
        <v>0</v>
      </c>
      <c r="C75" s="6" t="s">
        <v>467</v>
      </c>
      <c r="D75" s="455" t="s">
        <v>371</v>
      </c>
      <c r="E75" s="455"/>
      <c r="F75" s="304"/>
      <c r="G75" s="309"/>
      <c r="H75" s="327"/>
      <c r="I75" s="328"/>
      <c r="J75" s="308">
        <f>AVERAGE(J65:J74)</f>
        <v>3.25</v>
      </c>
      <c r="K75" s="308">
        <f>AVERAGE(K65:K74)</f>
        <v>3151.9763607685923</v>
      </c>
      <c r="L75" s="309">
        <f>AVERAGE(L65:L74)</f>
        <v>985.32098930381665</v>
      </c>
      <c r="M75" s="300"/>
      <c r="N75" s="300"/>
      <c r="O75" s="292"/>
      <c r="P75" s="292"/>
      <c r="Q75" s="292"/>
      <c r="R75" s="292"/>
    </row>
    <row r="76" spans="1:18" ht="16.2" customHeight="1">
      <c r="A76" s="456" t="s">
        <v>117</v>
      </c>
      <c r="B76" s="293">
        <v>0</v>
      </c>
      <c r="C76" s="293"/>
      <c r="D76" s="457"/>
      <c r="E76" s="458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56"/>
      <c r="B77" s="293">
        <v>0</v>
      </c>
      <c r="C77" s="293"/>
      <c r="D77" s="457"/>
      <c r="E77" s="458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56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56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56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56"/>
      <c r="B81" s="293">
        <v>0</v>
      </c>
      <c r="C81" s="6" t="s">
        <v>31</v>
      </c>
      <c r="D81" s="450" t="s">
        <v>371</v>
      </c>
      <c r="E81" s="450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41" t="s">
        <v>468</v>
      </c>
      <c r="B82" s="293" t="s">
        <v>131</v>
      </c>
      <c r="C82" s="314"/>
      <c r="D82" s="315" t="s">
        <v>469</v>
      </c>
      <c r="E82" s="340"/>
      <c r="F82" s="295">
        <v>17.22</v>
      </c>
      <c r="G82" s="319">
        <v>1048</v>
      </c>
      <c r="H82" s="341">
        <f t="shared" ref="H82:H90" si="19">F82*G82</f>
        <v>18046.559999999998</v>
      </c>
      <c r="I82" s="417"/>
      <c r="J82" s="297">
        <v>3</v>
      </c>
      <c r="K82" s="298">
        <f t="shared" ref="K82" si="20">G82/P82*60</f>
        <v>3143.9999999999859</v>
      </c>
      <c r="L82" s="299">
        <f t="shared" ref="L82" si="21">K82/J82</f>
        <v>1047.9999999999952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42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42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42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42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42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42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42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42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442"/>
      <c r="B91" s="293">
        <v>0</v>
      </c>
      <c r="C91" s="6" t="s">
        <v>453</v>
      </c>
      <c r="D91" s="443" t="s">
        <v>371</v>
      </c>
      <c r="E91" s="443"/>
      <c r="F91" s="304"/>
      <c r="G91" s="344"/>
      <c r="H91" s="345"/>
      <c r="I91" s="307"/>
      <c r="J91" s="308">
        <f>AVERAGE(J82:J90)</f>
        <v>3</v>
      </c>
      <c r="K91" s="308">
        <f>AVERAGE(K82:K90)</f>
        <v>3143.9999999999859</v>
      </c>
      <c r="L91" s="309">
        <f>AVERAGE(L82:L90)</f>
        <v>1047.9999999999952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444" t="s">
        <v>470</v>
      </c>
      <c r="B92" s="293" t="s">
        <v>131</v>
      </c>
      <c r="C92" s="293"/>
      <c r="D92" s="346" t="s">
        <v>471</v>
      </c>
      <c r="E92" s="340"/>
      <c r="F92" s="295">
        <v>24.54</v>
      </c>
      <c r="G92" s="416">
        <v>1609</v>
      </c>
      <c r="H92" s="296">
        <f t="shared" ref="H92:H99" si="23">F92*G92</f>
        <v>39484.86</v>
      </c>
      <c r="I92" s="417"/>
      <c r="J92" s="297">
        <v>3</v>
      </c>
      <c r="K92" s="298">
        <f>G92/P92*60</f>
        <v>2413.4999999999991</v>
      </c>
      <c r="L92" s="299">
        <f t="shared" ref="L92:L93" si="24">K92/J92</f>
        <v>804.49999999999966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5"/>
      <c r="B93" s="293" t="s">
        <v>131</v>
      </c>
      <c r="C93" s="293"/>
      <c r="D93" s="315" t="s">
        <v>472</v>
      </c>
      <c r="E93" s="335"/>
      <c r="F93" s="295">
        <v>23.27</v>
      </c>
      <c r="G93" s="302">
        <v>1241</v>
      </c>
      <c r="H93" s="296">
        <f t="shared" si="23"/>
        <v>28878.07</v>
      </c>
      <c r="I93" s="417"/>
      <c r="J93" s="297">
        <v>4</v>
      </c>
      <c r="K93" s="298">
        <f t="shared" ref="K93" si="25">G93/P93*60</f>
        <v>2481.9999999999959</v>
      </c>
      <c r="L93" s="299">
        <f t="shared" si="24"/>
        <v>620.49999999999898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5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6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6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6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6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6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6"/>
      <c r="B100" s="293">
        <v>0</v>
      </c>
      <c r="C100" s="6" t="s">
        <v>473</v>
      </c>
      <c r="D100" s="447" t="s">
        <v>371</v>
      </c>
      <c r="E100" s="448"/>
      <c r="F100" s="304"/>
      <c r="G100" s="305"/>
      <c r="H100" s="347"/>
      <c r="I100" s="307"/>
      <c r="J100" s="308">
        <f>AVERAGE(J92:J99)</f>
        <v>3.5</v>
      </c>
      <c r="K100" s="308">
        <f>AVERAGE(K92:K99)</f>
        <v>2447.7499999999973</v>
      </c>
      <c r="L100" s="309">
        <f>AVERAGE(L92:L99)</f>
        <v>712.49999999999932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449" t="s">
        <v>474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1241</v>
      </c>
      <c r="H101" s="296">
        <f t="shared" ref="H101:H110" si="26">F101*G101</f>
        <v>31062.230000000003</v>
      </c>
      <c r="I101" s="417"/>
      <c r="J101" s="297">
        <v>4</v>
      </c>
      <c r="K101" s="298">
        <f>G101/P101*60</f>
        <v>2978.3999999999915</v>
      </c>
      <c r="L101" s="299">
        <f t="shared" ref="L101:L105" si="27">K101/J101</f>
        <v>744.59999999999786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9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1974</v>
      </c>
      <c r="H102" s="296">
        <f t="shared" si="26"/>
        <v>48994.68</v>
      </c>
      <c r="I102" s="417"/>
      <c r="J102" s="297">
        <v>4</v>
      </c>
      <c r="K102" s="298">
        <f t="shared" ref="K102:K105" si="29">G102/P102*60</f>
        <v>2960.9999999999986</v>
      </c>
      <c r="L102" s="299">
        <f t="shared" si="27"/>
        <v>740.24999999999966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449"/>
      <c r="B103" s="293" t="s">
        <v>131</v>
      </c>
      <c r="C103" s="6"/>
      <c r="D103" s="315" t="s">
        <v>475</v>
      </c>
      <c r="E103" s="315"/>
      <c r="F103" s="295">
        <v>30</v>
      </c>
      <c r="G103" s="416">
        <v>2115</v>
      </c>
      <c r="H103" s="296">
        <f t="shared" si="26"/>
        <v>63450</v>
      </c>
      <c r="I103" s="417"/>
      <c r="J103" s="297">
        <v>3</v>
      </c>
      <c r="K103" s="298">
        <f t="shared" si="29"/>
        <v>3172.4999999999986</v>
      </c>
      <c r="L103" s="299">
        <f t="shared" si="27"/>
        <v>1057.4999999999995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449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3292</v>
      </c>
      <c r="H104" s="296">
        <f t="shared" si="26"/>
        <v>94052.44</v>
      </c>
      <c r="I104" s="417"/>
      <c r="J104" s="297">
        <v>3</v>
      </c>
      <c r="K104" s="298">
        <f t="shared" si="29"/>
        <v>3038.7692307692187</v>
      </c>
      <c r="L104" s="299">
        <f t="shared" si="27"/>
        <v>1012.9230769230729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449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9308</v>
      </c>
      <c r="H105" s="296">
        <f t="shared" si="26"/>
        <v>132971.42857142855</v>
      </c>
      <c r="I105" s="417"/>
      <c r="J105" s="297">
        <v>3</v>
      </c>
      <c r="K105" s="298">
        <f t="shared" si="29"/>
        <v>3018.8108108867968</v>
      </c>
      <c r="L105" s="299">
        <f t="shared" si="27"/>
        <v>1006.2702702955989</v>
      </c>
      <c r="M105" s="300">
        <v>46175.9375</v>
      </c>
      <c r="N105" s="300">
        <v>46176.065972222219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449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9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9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9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9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9"/>
      <c r="B111" s="293">
        <v>0</v>
      </c>
      <c r="C111" s="6" t="s">
        <v>460</v>
      </c>
      <c r="D111" s="450" t="s">
        <v>371</v>
      </c>
      <c r="E111" s="451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3033.8960083312004</v>
      </c>
      <c r="L111" s="309">
        <f>AVERAGE(L101:L110)</f>
        <v>912.30866944373372</v>
      </c>
      <c r="M111" s="300"/>
      <c r="N111" s="300"/>
      <c r="O111" s="298"/>
      <c r="P111" s="298"/>
      <c r="Q111" s="299"/>
      <c r="R111" s="292"/>
    </row>
    <row r="112" spans="1:18" ht="16.2" customHeight="1">
      <c r="A112" s="439" t="s">
        <v>476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1608</v>
      </c>
      <c r="H112" s="341">
        <f t="shared" si="11"/>
        <v>26853.599999999999</v>
      </c>
      <c r="I112" s="417"/>
      <c r="J112" s="297">
        <v>3</v>
      </c>
      <c r="K112" s="298">
        <f t="shared" ref="K112:K118" si="30">G112/P112*60</f>
        <v>3216.0000000000118</v>
      </c>
      <c r="L112" s="299">
        <f t="shared" ref="L112:L118" si="31">K112/J112</f>
        <v>1072.0000000000039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39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1062</v>
      </c>
      <c r="H113" s="341">
        <f t="shared" si="11"/>
        <v>19307.16</v>
      </c>
      <c r="I113" s="417"/>
      <c r="J113" s="297">
        <v>4</v>
      </c>
      <c r="K113" s="298">
        <f t="shared" si="30"/>
        <v>2548.8000000000252</v>
      </c>
      <c r="L113" s="299">
        <f t="shared" si="31"/>
        <v>637.2000000000063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439"/>
      <c r="B114" s="293" t="s">
        <v>131</v>
      </c>
      <c r="C114" s="314"/>
      <c r="D114" s="410" t="s">
        <v>477</v>
      </c>
      <c r="E114" s="315"/>
      <c r="F114" s="295">
        <v>18.18</v>
      </c>
      <c r="G114" s="416">
        <v>1195</v>
      </c>
      <c r="H114" s="341">
        <f t="shared" si="11"/>
        <v>21725.1</v>
      </c>
      <c r="I114" s="417"/>
      <c r="J114" s="297">
        <v>3</v>
      </c>
      <c r="K114" s="298">
        <f t="shared" si="30"/>
        <v>2868.0000000000282</v>
      </c>
      <c r="L114" s="299">
        <f t="shared" si="31"/>
        <v>956.00000000000944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439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6165</v>
      </c>
      <c r="H115" s="341">
        <f t="shared" si="11"/>
        <v>102708.9</v>
      </c>
      <c r="I115" s="417"/>
      <c r="J115" s="297">
        <v>4</v>
      </c>
      <c r="K115" s="298">
        <f t="shared" si="30"/>
        <v>3082.5000000000032</v>
      </c>
      <c r="L115" s="299">
        <f t="shared" si="31"/>
        <v>770.6250000000008</v>
      </c>
      <c r="M115" s="300">
        <v>0.81944444444444453</v>
      </c>
      <c r="N115" s="300">
        <v>0.90277777777777779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439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2759.9999999999923</v>
      </c>
      <c r="L116" s="299">
        <f t="shared" si="31"/>
        <v>689.99999999999807</v>
      </c>
      <c r="M116" s="300">
        <v>0.91666666666666663</v>
      </c>
      <c r="N116" s="343">
        <v>0.93402777777777779</v>
      </c>
      <c r="O116" s="292">
        <v>20</v>
      </c>
      <c r="P116" s="411">
        <f t="shared" si="32"/>
        <v>25.000000000000071</v>
      </c>
      <c r="Q116" s="301">
        <v>0.93402777777777779</v>
      </c>
      <c r="R116" s="301">
        <v>0.97569444444444453</v>
      </c>
    </row>
    <row r="117" spans="1:18">
      <c r="A117" s="439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4103</v>
      </c>
      <c r="H117" s="341">
        <f t="shared" ref="H117:H123" si="33">F117*G117</f>
        <v>73406.399999999994</v>
      </c>
      <c r="I117" s="417"/>
      <c r="J117" s="297">
        <v>3</v>
      </c>
      <c r="K117" s="298">
        <f t="shared" si="30"/>
        <v>3077.2500000447799</v>
      </c>
      <c r="L117" s="299">
        <f t="shared" si="31"/>
        <v>1025.7500000149266</v>
      </c>
      <c r="M117" s="300">
        <v>46175.989583333336</v>
      </c>
      <c r="N117" s="300">
        <v>46176.045138888891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439"/>
      <c r="B118" s="293" t="s">
        <v>131</v>
      </c>
      <c r="C118" s="314"/>
      <c r="D118" s="315" t="s">
        <v>478</v>
      </c>
      <c r="E118" s="331"/>
      <c r="F118" s="295">
        <v>14.03</v>
      </c>
      <c r="G118" s="416">
        <v>6637</v>
      </c>
      <c r="H118" s="341">
        <f t="shared" si="33"/>
        <v>93117.11</v>
      </c>
      <c r="I118" s="417"/>
      <c r="J118" s="297">
        <v>3</v>
      </c>
      <c r="K118" s="298">
        <f t="shared" si="30"/>
        <v>3063.23076923077</v>
      </c>
      <c r="L118" s="299">
        <f t="shared" si="31"/>
        <v>1021.0769230769233</v>
      </c>
      <c r="M118" s="300">
        <v>5.9027777777777783E-2</v>
      </c>
      <c r="N118" s="300">
        <v>0.14930555555555555</v>
      </c>
      <c r="O118" s="298">
        <v>20</v>
      </c>
      <c r="P118" s="411">
        <f t="shared" si="32"/>
        <v>129.99999999999997</v>
      </c>
      <c r="Q118" s="301"/>
      <c r="R118" s="301"/>
    </row>
    <row r="119" spans="1:18">
      <c r="A119" s="439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39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39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39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39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439"/>
      <c r="B124" s="293">
        <v>0</v>
      </c>
      <c r="C124" s="6" t="s">
        <v>467</v>
      </c>
      <c r="D124" s="440" t="s">
        <v>371</v>
      </c>
      <c r="E124" s="440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2945.1115384679442</v>
      </c>
      <c r="L124" s="309">
        <f>AVERAGE(L112:L123)</f>
        <v>881.80741758455281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74" activePane="bottomLeft" state="frozen"/>
      <selection activeCell="AE8" sqref="AE8"/>
      <selection pane="bottomLeft" activeCell="AA92" sqref="AA9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314</v>
      </c>
      <c r="B1" s="28"/>
      <c r="C1" s="28"/>
      <c r="D1" s="438" t="s">
        <v>316</v>
      </c>
      <c r="E1" s="29">
        <f>SUM(G5:G173)</f>
        <v>204950.75000000003</v>
      </c>
      <c r="F1" s="422" t="s">
        <v>3</v>
      </c>
      <c r="G1" s="30">
        <f>SUM(H5:H173)</f>
        <v>8062185.7254235456</v>
      </c>
      <c r="H1" s="437" t="s">
        <v>37</v>
      </c>
      <c r="I1" s="31">
        <f>M17+M30+M43+M56+M69+M82+M95+M108+M121+M134+M147+M160+M173</f>
        <v>193.85238095238097</v>
      </c>
      <c r="J1" s="579" t="s">
        <v>38</v>
      </c>
      <c r="K1" s="579"/>
      <c r="L1" s="579"/>
      <c r="M1" s="579" t="s">
        <v>39</v>
      </c>
      <c r="N1" s="579"/>
      <c r="O1" s="579"/>
      <c r="P1" s="579" t="s">
        <v>318</v>
      </c>
      <c r="Q1" s="579"/>
      <c r="R1" s="579"/>
      <c r="S1" s="579"/>
      <c r="T1" s="579" t="s">
        <v>320</v>
      </c>
      <c r="U1" s="579"/>
      <c r="V1" s="579"/>
      <c r="W1" s="579"/>
      <c r="X1" s="579"/>
      <c r="Y1" s="579"/>
      <c r="Z1" s="32" t="s">
        <v>322</v>
      </c>
      <c r="AA1" s="32" t="s">
        <v>324</v>
      </c>
      <c r="AB1" s="595" t="s">
        <v>326</v>
      </c>
      <c r="AC1" s="596"/>
      <c r="AD1" s="32" t="s">
        <v>322</v>
      </c>
      <c r="AE1" s="32" t="s">
        <v>328</v>
      </c>
      <c r="AF1" s="579" t="s">
        <v>330</v>
      </c>
      <c r="AG1" s="580"/>
      <c r="AH1" s="580"/>
    </row>
    <row r="2" spans="1:34" ht="26.25" customHeight="1">
      <c r="A2" s="587" t="s">
        <v>331</v>
      </c>
      <c r="B2" s="587"/>
      <c r="C2" s="438"/>
      <c r="D2" s="438" t="s">
        <v>333</v>
      </c>
      <c r="E2" s="34">
        <f>AVERAGE(O17,O30,O43,O56,O69,O82,O95,O108,O121,O134,O147,O160,O173)</f>
        <v>124.82528013733955</v>
      </c>
      <c r="F2" s="35" t="s">
        <v>40</v>
      </c>
      <c r="G2" s="36">
        <f>G1/E1</f>
        <v>39.337185764987659</v>
      </c>
      <c r="H2" s="437" t="s">
        <v>41</v>
      </c>
      <c r="I2" s="437">
        <f>COUNT(I5:I173)</f>
        <v>16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17</v>
      </c>
      <c r="AE2" s="38">
        <f>AE17+AE30+AE43+AE56+AE69+AE82+AE95+AE108+AE121+AE134+AE147+AE160+AE173</f>
        <v>8</v>
      </c>
      <c r="AF2" s="580"/>
      <c r="AG2" s="580"/>
      <c r="AH2" s="580"/>
    </row>
    <row r="3" spans="1:34" ht="30.6" customHeight="1">
      <c r="A3" s="588" t="s">
        <v>335</v>
      </c>
      <c r="B3" s="588" t="s">
        <v>42</v>
      </c>
      <c r="C3" s="589"/>
      <c r="D3" s="588" t="s">
        <v>337</v>
      </c>
      <c r="E3" s="588"/>
      <c r="F3" s="589" t="s">
        <v>43</v>
      </c>
      <c r="G3" s="604" t="s">
        <v>44</v>
      </c>
      <c r="H3" s="589" t="s">
        <v>45</v>
      </c>
      <c r="I3" s="581" t="s">
        <v>339</v>
      </c>
      <c r="J3" s="582" t="s">
        <v>46</v>
      </c>
      <c r="K3" s="583" t="s">
        <v>47</v>
      </c>
      <c r="L3" s="584" t="s">
        <v>35</v>
      </c>
      <c r="M3" s="604" t="s">
        <v>46</v>
      </c>
      <c r="N3" s="583" t="s">
        <v>341</v>
      </c>
      <c r="O3" s="584" t="s">
        <v>333</v>
      </c>
      <c r="P3" s="582" t="s">
        <v>343</v>
      </c>
      <c r="Q3" s="584" t="s">
        <v>333</v>
      </c>
      <c r="R3" s="585" t="s">
        <v>345</v>
      </c>
      <c r="S3" s="586" t="s">
        <v>347</v>
      </c>
      <c r="T3" s="604" t="s">
        <v>48</v>
      </c>
      <c r="U3" s="604"/>
      <c r="V3" s="605" t="s">
        <v>49</v>
      </c>
      <c r="W3" s="581" t="s">
        <v>349</v>
      </c>
      <c r="X3" s="604" t="s">
        <v>351</v>
      </c>
      <c r="Y3" s="604"/>
      <c r="Z3" s="606" t="s">
        <v>352</v>
      </c>
      <c r="AA3" s="607"/>
      <c r="AB3" s="591" t="s">
        <v>354</v>
      </c>
      <c r="AC3" s="592"/>
      <c r="AD3" s="593" t="s">
        <v>355</v>
      </c>
      <c r="AE3" s="594"/>
      <c r="AF3" s="583" t="s">
        <v>356</v>
      </c>
      <c r="AG3" s="585" t="s">
        <v>357</v>
      </c>
      <c r="AH3" s="586" t="s">
        <v>358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50</v>
      </c>
      <c r="U4" s="432" t="s">
        <v>51</v>
      </c>
      <c r="V4" s="604"/>
      <c r="W4" s="581"/>
      <c r="X4" s="422" t="s">
        <v>360</v>
      </c>
      <c r="Y4" s="422" t="s">
        <v>36</v>
      </c>
      <c r="Z4" s="432" t="s">
        <v>361</v>
      </c>
      <c r="AA4" s="432" t="s">
        <v>362</v>
      </c>
      <c r="AB4" s="592"/>
      <c r="AC4" s="592"/>
      <c r="AD4" s="432" t="s">
        <v>363</v>
      </c>
      <c r="AE4" s="39" t="s">
        <v>364</v>
      </c>
      <c r="AF4" s="583"/>
      <c r="AG4" s="585"/>
      <c r="AH4" s="586"/>
    </row>
    <row r="5" spans="1:34" ht="18.75" customHeight="1">
      <c r="A5" s="599" t="s">
        <v>366</v>
      </c>
      <c r="B5" s="40" t="s">
        <v>127</v>
      </c>
      <c r="C5" s="41"/>
      <c r="D5" s="42" t="s">
        <v>52</v>
      </c>
      <c r="E5" s="43"/>
      <c r="F5" s="355">
        <v>37.83</v>
      </c>
      <c r="G5" s="44">
        <v>5558</v>
      </c>
      <c r="H5" s="45">
        <f t="shared" ref="H5:H16" si="0">F5*G5</f>
        <v>210259.13999999998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2399.1366906474818</v>
      </c>
      <c r="O5" s="47">
        <f t="shared" ref="O5:O12" si="2">N5/M5</f>
        <v>119.95683453237409</v>
      </c>
      <c r="P5" s="48">
        <f t="shared" ref="P5:P12" si="3">M5-J5</f>
        <v>0</v>
      </c>
      <c r="Q5" s="49">
        <f t="shared" ref="Q5:Q12" si="4">O5-L5</f>
        <v>-4.3165467625911447E-2</v>
      </c>
      <c r="R5" s="424">
        <f t="shared" ref="R5:R12" si="5">O5/L5</f>
        <v>0.99964028776978409</v>
      </c>
      <c r="S5" s="602">
        <f>R17</f>
        <v>0.93651466735657452</v>
      </c>
      <c r="T5" s="89">
        <v>0.25</v>
      </c>
      <c r="U5" s="89">
        <v>0.34652777777777777</v>
      </c>
      <c r="V5" s="422">
        <v>5</v>
      </c>
      <c r="W5" s="433">
        <f>(U5-T5)*24*60</f>
        <v>139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-0.86330935251817209</v>
      </c>
      <c r="AG5" s="424">
        <f t="shared" ref="AG5:AG70" si="7">N5/K5</f>
        <v>0.99964028776978409</v>
      </c>
      <c r="AH5" s="602">
        <f>AG17</f>
        <v>0.95135747980332375</v>
      </c>
    </row>
    <row r="6" spans="1:34" ht="19.2" customHeight="1">
      <c r="A6" s="600"/>
      <c r="B6" s="40" t="s">
        <v>127</v>
      </c>
      <c r="C6" s="41"/>
      <c r="D6" s="42" t="s">
        <v>188</v>
      </c>
      <c r="E6" s="43"/>
      <c r="F6" s="355">
        <v>38.99</v>
      </c>
      <c r="G6" s="44">
        <v>1843</v>
      </c>
      <c r="H6" s="45">
        <f t="shared" si="0"/>
        <v>71858.570000000007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2457.3333333333335</v>
      </c>
      <c r="O6" s="47">
        <f t="shared" si="2"/>
        <v>144.54901960784315</v>
      </c>
      <c r="P6" s="48">
        <f t="shared" si="3"/>
        <v>0</v>
      </c>
      <c r="Q6" s="49">
        <f t="shared" si="4"/>
        <v>-14.274509803921546</v>
      </c>
      <c r="R6" s="424">
        <f t="shared" si="5"/>
        <v>0.91012345679012363</v>
      </c>
      <c r="S6" s="602"/>
      <c r="T6" s="89">
        <v>0.36249999999999999</v>
      </c>
      <c r="U6" s="89">
        <v>0.39374999999999999</v>
      </c>
      <c r="V6" s="422">
        <v>23</v>
      </c>
      <c r="W6" s="433">
        <f t="shared" ref="W6:W17" si="8">(U6-T6)*24*60</f>
        <v>45</v>
      </c>
      <c r="X6" s="53">
        <v>0.35069444444444442</v>
      </c>
      <c r="Y6" s="53">
        <v>0.3611111111111111</v>
      </c>
      <c r="Z6" s="54"/>
      <c r="AA6" s="54"/>
      <c r="AB6" s="588"/>
      <c r="AC6" s="588"/>
      <c r="AD6" s="420"/>
      <c r="AE6" s="420"/>
      <c r="AF6" s="48">
        <f t="shared" si="6"/>
        <v>-242.66666666666652</v>
      </c>
      <c r="AG6" s="424">
        <f t="shared" si="7"/>
        <v>0.91012345679012352</v>
      </c>
      <c r="AH6" s="602"/>
    </row>
    <row r="7" spans="1:34" ht="19.2" customHeight="1">
      <c r="A7" s="600"/>
      <c r="B7" s="40" t="s">
        <v>127</v>
      </c>
      <c r="C7" s="41"/>
      <c r="D7" s="42" t="s">
        <v>184</v>
      </c>
      <c r="E7" s="43"/>
      <c r="F7" s="355">
        <v>28.86</v>
      </c>
      <c r="G7" s="44">
        <v>2224</v>
      </c>
      <c r="H7" s="45">
        <f t="shared" si="0"/>
        <v>64184.639999999999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2426.1818181818162</v>
      </c>
      <c r="O7" s="47">
        <f t="shared" si="2"/>
        <v>142.71657754010684</v>
      </c>
      <c r="P7" s="48">
        <f t="shared" si="3"/>
        <v>0</v>
      </c>
      <c r="Q7" s="49">
        <f t="shared" si="4"/>
        <v>-16.106951871657856</v>
      </c>
      <c r="R7" s="424">
        <f t="shared" si="5"/>
        <v>0.89858585858585793</v>
      </c>
      <c r="S7" s="602"/>
      <c r="T7" s="89">
        <v>0.39791666666666664</v>
      </c>
      <c r="U7" s="89">
        <v>0.43611111111111112</v>
      </c>
      <c r="V7" s="422">
        <v>6</v>
      </c>
      <c r="W7" s="433">
        <f t="shared" si="8"/>
        <v>55.000000000000043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-273.8181818181838</v>
      </c>
      <c r="AG7" s="424">
        <f t="shared" si="7"/>
        <v>0.89858585858585782</v>
      </c>
      <c r="AH7" s="602"/>
    </row>
    <row r="8" spans="1:34" ht="19.2" customHeight="1">
      <c r="A8" s="600"/>
      <c r="B8" s="40" t="s">
        <v>127</v>
      </c>
      <c r="C8" s="41"/>
      <c r="D8" s="42" t="s">
        <v>53</v>
      </c>
      <c r="E8" s="43"/>
      <c r="F8" s="355">
        <v>31.11</v>
      </c>
      <c r="G8" s="44">
        <v>3553</v>
      </c>
      <c r="H8" s="45">
        <f t="shared" si="0"/>
        <v>110533.83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2664.7499999999991</v>
      </c>
      <c r="O8" s="47">
        <f t="shared" si="2"/>
        <v>140.24999999999994</v>
      </c>
      <c r="P8" s="48">
        <f t="shared" si="3"/>
        <v>1</v>
      </c>
      <c r="Q8" s="49">
        <f t="shared" si="4"/>
        <v>-9.7500000000000568</v>
      </c>
      <c r="R8" s="424">
        <f t="shared" si="5"/>
        <v>0.93499999999999961</v>
      </c>
      <c r="S8" s="602"/>
      <c r="T8" s="89">
        <v>0.44097222222222221</v>
      </c>
      <c r="U8" s="89">
        <v>0.49652777777777779</v>
      </c>
      <c r="V8" s="422">
        <v>7</v>
      </c>
      <c r="W8" s="433">
        <f t="shared" si="8"/>
        <v>80.000000000000028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-35.250000000000909</v>
      </c>
      <c r="AG8" s="424">
        <f t="shared" si="7"/>
        <v>0.98694444444444407</v>
      </c>
      <c r="AH8" s="602"/>
    </row>
    <row r="9" spans="1:34" ht="19.2" customHeight="1">
      <c r="A9" s="600"/>
      <c r="B9" s="40" t="s">
        <v>127</v>
      </c>
      <c r="C9" s="55"/>
      <c r="D9" s="42" t="s">
        <v>209</v>
      </c>
      <c r="E9" s="56"/>
      <c r="F9" s="355">
        <v>35.89</v>
      </c>
      <c r="G9" s="57">
        <v>2858</v>
      </c>
      <c r="H9" s="45">
        <f t="shared" si="0"/>
        <v>102573.62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2521.7647058823495</v>
      </c>
      <c r="O9" s="47">
        <f t="shared" si="2"/>
        <v>148.33910034602056</v>
      </c>
      <c r="P9" s="48">
        <f t="shared" si="3"/>
        <v>0</v>
      </c>
      <c r="Q9" s="49">
        <f t="shared" si="4"/>
        <v>-10.484429065744138</v>
      </c>
      <c r="R9" s="424">
        <f t="shared" si="5"/>
        <v>0.93398692810457395</v>
      </c>
      <c r="S9" s="602"/>
      <c r="T9" s="89">
        <v>0.53680555555555554</v>
      </c>
      <c r="U9" s="89">
        <v>0.58402777777777781</v>
      </c>
      <c r="V9" s="422">
        <v>5</v>
      </c>
      <c r="W9" s="433">
        <f t="shared" si="8"/>
        <v>68.000000000000085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-178.23529411765048</v>
      </c>
      <c r="AG9" s="424">
        <f t="shared" si="7"/>
        <v>0.93398692810457384</v>
      </c>
      <c r="AH9" s="602"/>
    </row>
    <row r="10" spans="1:34" ht="19.2" customHeight="1">
      <c r="A10" s="601"/>
      <c r="B10" s="40" t="s">
        <v>127</v>
      </c>
      <c r="C10" s="41"/>
      <c r="D10" s="42" t="s">
        <v>205</v>
      </c>
      <c r="E10" s="43"/>
      <c r="F10" s="355">
        <v>46.93</v>
      </c>
      <c r="G10" s="44">
        <v>1526</v>
      </c>
      <c r="H10" s="45">
        <f t="shared" si="0"/>
        <v>71615.179999999993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2233.170731707316</v>
      </c>
      <c r="O10" s="47">
        <f t="shared" si="2"/>
        <v>124.06504065040644</v>
      </c>
      <c r="P10" s="48">
        <f t="shared" si="3"/>
        <v>0</v>
      </c>
      <c r="Q10" s="49">
        <f t="shared" si="4"/>
        <v>-9.2682926829268979</v>
      </c>
      <c r="R10" s="424">
        <f t="shared" si="5"/>
        <v>0.93048780487804827</v>
      </c>
      <c r="S10" s="603"/>
      <c r="T10" s="89">
        <v>0.58888888888888891</v>
      </c>
      <c r="U10" s="89">
        <v>0.61736111111111114</v>
      </c>
      <c r="V10" s="422">
        <v>7</v>
      </c>
      <c r="W10" s="433">
        <f t="shared" si="8"/>
        <v>41.000000000000014</v>
      </c>
      <c r="X10" s="53"/>
      <c r="Y10" s="53"/>
      <c r="Z10" s="54"/>
      <c r="AA10" s="54"/>
      <c r="AB10" s="588"/>
      <c r="AC10" s="588"/>
      <c r="AD10" s="420">
        <v>1</v>
      </c>
      <c r="AE10" s="420"/>
      <c r="AF10" s="48">
        <f t="shared" si="6"/>
        <v>-166.82926829268399</v>
      </c>
      <c r="AG10" s="424">
        <f t="shared" si="7"/>
        <v>0.93048780487804839</v>
      </c>
      <c r="AH10" s="603"/>
    </row>
    <row r="11" spans="1:34" ht="19.2" customHeight="1">
      <c r="A11" s="601"/>
      <c r="B11" s="40" t="s">
        <v>127</v>
      </c>
      <c r="C11" s="41"/>
      <c r="D11" s="42" t="s">
        <v>367</v>
      </c>
      <c r="E11" s="43"/>
      <c r="F11" s="355">
        <v>43.96</v>
      </c>
      <c r="G11" s="44">
        <v>4594</v>
      </c>
      <c r="H11" s="45">
        <f t="shared" si="0"/>
        <v>201952.24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2355.8974358974347</v>
      </c>
      <c r="O11" s="47">
        <f t="shared" si="2"/>
        <v>117.79487179487174</v>
      </c>
      <c r="P11" s="48">
        <f t="shared" si="3"/>
        <v>0</v>
      </c>
      <c r="Q11" s="49">
        <f t="shared" si="4"/>
        <v>-2.2051282051282612</v>
      </c>
      <c r="R11" s="424">
        <f t="shared" si="5"/>
        <v>0.98162393162393113</v>
      </c>
      <c r="S11" s="603"/>
      <c r="T11" s="89">
        <v>0.6333333333333333</v>
      </c>
      <c r="U11" s="89">
        <v>0.71458333333333335</v>
      </c>
      <c r="V11" s="422">
        <v>23</v>
      </c>
      <c r="W11" s="433">
        <f t="shared" si="8"/>
        <v>117.00000000000006</v>
      </c>
      <c r="X11" s="53">
        <v>0.62152777777777779</v>
      </c>
      <c r="Y11" s="53">
        <v>0.63194444444444442</v>
      </c>
      <c r="Z11" s="54"/>
      <c r="AA11" s="54"/>
      <c r="AB11" s="588"/>
      <c r="AC11" s="588"/>
      <c r="AD11" s="420"/>
      <c r="AE11" s="420"/>
      <c r="AF11" s="48">
        <f t="shared" si="6"/>
        <v>-44.102564102565339</v>
      </c>
      <c r="AG11" s="424">
        <f t="shared" si="7"/>
        <v>0.98162393162393113</v>
      </c>
      <c r="AH11" s="603"/>
    </row>
    <row r="12" spans="1:34" ht="19.2" customHeight="1">
      <c r="A12" s="601"/>
      <c r="B12" s="40" t="s">
        <v>127</v>
      </c>
      <c r="C12" s="41"/>
      <c r="D12" s="59" t="s">
        <v>55</v>
      </c>
      <c r="E12" s="43"/>
      <c r="F12" s="355">
        <v>37.799999999999997</v>
      </c>
      <c r="G12" s="44">
        <v>1888.3200000000002</v>
      </c>
      <c r="H12" s="45">
        <f t="shared" si="0"/>
        <v>71378.495999999999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20</v>
      </c>
      <c r="N12" s="44">
        <f t="shared" si="1"/>
        <v>2634.8651162790698</v>
      </c>
      <c r="O12" s="47">
        <f t="shared" si="2"/>
        <v>131.74325581395348</v>
      </c>
      <c r="P12" s="48">
        <f t="shared" si="3"/>
        <v>1</v>
      </c>
      <c r="Q12" s="49">
        <f t="shared" si="4"/>
        <v>-10.362007343941258</v>
      </c>
      <c r="R12" s="424">
        <f t="shared" si="5"/>
        <v>0.92708217054263564</v>
      </c>
      <c r="S12" s="603"/>
      <c r="T12" s="89">
        <v>0.71944444444444444</v>
      </c>
      <c r="U12" s="89">
        <v>0.74930555555555556</v>
      </c>
      <c r="V12" s="422">
        <v>7</v>
      </c>
      <c r="W12" s="433">
        <f t="shared" si="8"/>
        <v>43.000000000000007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-65.134883720930247</v>
      </c>
      <c r="AG12" s="424">
        <f t="shared" si="7"/>
        <v>0.97587596899224804</v>
      </c>
      <c r="AH12" s="603"/>
    </row>
    <row r="13" spans="1:34" ht="19.2" customHeight="1">
      <c r="A13" s="601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2" customHeight="1">
      <c r="A14" s="601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2" customHeight="1">
      <c r="A15" s="601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2" customHeight="1">
      <c r="A16" s="601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2" customHeight="1">
      <c r="A17" s="601"/>
      <c r="B17" s="69">
        <v>0</v>
      </c>
      <c r="C17" s="69" t="s">
        <v>369</v>
      </c>
      <c r="D17" s="608" t="s">
        <v>371</v>
      </c>
      <c r="E17" s="608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18.5</v>
      </c>
      <c r="N17" s="70">
        <f t="shared" si="9"/>
        <v>2461.6374789911001</v>
      </c>
      <c r="O17" s="73">
        <f t="shared" si="9"/>
        <v>133.67683753569702</v>
      </c>
      <c r="P17" s="65">
        <f t="shared" ref="P17:P28" si="10">M17-J17</f>
        <v>0.25</v>
      </c>
      <c r="Q17" s="74">
        <f t="shared" ref="Q17:Q24" si="11">O17-L17</f>
        <v>-9.0618105551182566</v>
      </c>
      <c r="R17" s="75">
        <f>O17/L17</f>
        <v>0.93651466735657452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-125.86252100889988</v>
      </c>
      <c r="AG17" s="425">
        <f t="shared" si="7"/>
        <v>0.95135747980332375</v>
      </c>
      <c r="AH17" s="603"/>
    </row>
    <row r="18" spans="1:34" ht="19.2" customHeight="1">
      <c r="A18" s="610" t="s">
        <v>373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5021.25</v>
      </c>
      <c r="H18" s="84">
        <f t="shared" ref="H18:H29" si="12">F18*G18</f>
        <v>185083.27499999999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2199.0875912408765</v>
      </c>
      <c r="O18" s="86">
        <f t="shared" ref="O18:O24" si="14">N18/M18</f>
        <v>122.17153284671537</v>
      </c>
      <c r="P18" s="54">
        <f t="shared" si="10"/>
        <v>1</v>
      </c>
      <c r="Q18" s="88">
        <f t="shared" si="11"/>
        <v>-10.181408329755214</v>
      </c>
      <c r="R18" s="421">
        <f t="shared" ref="R18:R24" si="15">O18/L18</f>
        <v>0.92307380373073833</v>
      </c>
      <c r="S18" s="611">
        <f>R30</f>
        <v>0.89593127341000323</v>
      </c>
      <c r="T18" s="89">
        <v>0.16666666666666666</v>
      </c>
      <c r="U18" s="89">
        <v>0.26180555555555551</v>
      </c>
      <c r="V18" s="420">
        <v>5</v>
      </c>
      <c r="W18" s="90">
        <f>(U18-T18)*24*60</f>
        <v>136.99999999999994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-50.912408759123537</v>
      </c>
      <c r="AG18" s="92">
        <f t="shared" si="7"/>
        <v>0.97737226277372291</v>
      </c>
      <c r="AH18" s="612">
        <f>AG30</f>
        <v>0.94370014313616779</v>
      </c>
    </row>
    <row r="19" spans="1:34" ht="19.2" customHeight="1">
      <c r="A19" s="610"/>
      <c r="B19" s="430" t="s">
        <v>129</v>
      </c>
      <c r="C19" s="429"/>
      <c r="D19" s="82" t="s">
        <v>62</v>
      </c>
      <c r="E19" s="83"/>
      <c r="F19" s="355">
        <v>38.39</v>
      </c>
      <c r="G19" s="57">
        <v>1508.65</v>
      </c>
      <c r="H19" s="84">
        <f t="shared" si="12"/>
        <v>57917.073500000006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1414.3593749999998</v>
      </c>
      <c r="O19" s="95">
        <f t="shared" si="14"/>
        <v>83.197610294117638</v>
      </c>
      <c r="P19" s="54">
        <f t="shared" si="10"/>
        <v>1</v>
      </c>
      <c r="Q19" s="88">
        <f t="shared" si="11"/>
        <v>-19.052389705882362</v>
      </c>
      <c r="R19" s="421">
        <f t="shared" si="15"/>
        <v>0.81366856033366886</v>
      </c>
      <c r="S19" s="611"/>
      <c r="T19" s="89">
        <v>0.27777777777777773</v>
      </c>
      <c r="U19" s="89">
        <v>0.32222222222222219</v>
      </c>
      <c r="V19" s="420">
        <v>23</v>
      </c>
      <c r="W19" s="90">
        <f>(U19-T19)*24*60</f>
        <v>64.000000000000014</v>
      </c>
      <c r="X19" s="96">
        <v>0.26666666666666666</v>
      </c>
      <c r="Y19" s="96">
        <v>0.27638888888888885</v>
      </c>
      <c r="Z19" s="54"/>
      <c r="AA19" s="54"/>
      <c r="AB19" s="588"/>
      <c r="AC19" s="588"/>
      <c r="AD19" s="420"/>
      <c r="AE19" s="420"/>
      <c r="AF19" s="48">
        <f t="shared" si="6"/>
        <v>-221.64062500000023</v>
      </c>
      <c r="AG19" s="424">
        <f t="shared" si="7"/>
        <v>0.86452284535452306</v>
      </c>
      <c r="AH19" s="613"/>
    </row>
    <row r="20" spans="1:34" ht="19.2" customHeight="1">
      <c r="A20" s="610"/>
      <c r="B20" s="430" t="s">
        <v>129</v>
      </c>
      <c r="C20" s="55"/>
      <c r="D20" s="42" t="s">
        <v>186</v>
      </c>
      <c r="E20" s="83"/>
      <c r="F20" s="355">
        <v>56.43</v>
      </c>
      <c r="G20" s="57">
        <v>1373.45</v>
      </c>
      <c r="H20" s="84">
        <f t="shared" si="12"/>
        <v>77503.783500000005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1396.7288135593215</v>
      </c>
      <c r="O20" s="95">
        <f t="shared" si="14"/>
        <v>82.160518444665968</v>
      </c>
      <c r="P20" s="54">
        <f t="shared" si="10"/>
        <v>1</v>
      </c>
      <c r="Q20" s="88">
        <f t="shared" si="11"/>
        <v>-11.589481555334032</v>
      </c>
      <c r="R20" s="421">
        <f t="shared" si="15"/>
        <v>0.87637886340977034</v>
      </c>
      <c r="S20" s="611"/>
      <c r="T20" s="89">
        <v>0.32708333333333328</v>
      </c>
      <c r="U20" s="89">
        <v>0.36805555555555552</v>
      </c>
      <c r="V20" s="420">
        <v>7</v>
      </c>
      <c r="W20" s="90">
        <f t="shared" ref="W20:W29" si="16">(U20-T20)*24*60</f>
        <v>59.000000000000028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-103.27118644067855</v>
      </c>
      <c r="AG20" s="92">
        <f t="shared" si="7"/>
        <v>0.93115254237288092</v>
      </c>
      <c r="AH20" s="613"/>
    </row>
    <row r="21" spans="1:34" ht="19.2" customHeight="1">
      <c r="A21" s="610"/>
      <c r="B21" s="430" t="s">
        <v>130</v>
      </c>
      <c r="C21" s="97"/>
      <c r="D21" s="98" t="s">
        <v>61</v>
      </c>
      <c r="E21" s="43"/>
      <c r="F21" s="355">
        <v>43.14</v>
      </c>
      <c r="G21" s="44">
        <v>1331.8500000000001</v>
      </c>
      <c r="H21" s="84">
        <f t="shared" si="12"/>
        <v>57456.009000000005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1401.947368421052</v>
      </c>
      <c r="O21" s="95">
        <f t="shared" si="14"/>
        <v>82.467492260061888</v>
      </c>
      <c r="P21" s="54">
        <f t="shared" si="10"/>
        <v>1</v>
      </c>
      <c r="Q21" s="88">
        <f t="shared" si="11"/>
        <v>-7.5325077399381115</v>
      </c>
      <c r="R21" s="421">
        <f t="shared" si="15"/>
        <v>0.91630546955624326</v>
      </c>
      <c r="S21" s="611"/>
      <c r="T21" s="89">
        <v>0.37291666666666662</v>
      </c>
      <c r="U21" s="89">
        <v>0.41249999999999998</v>
      </c>
      <c r="V21" s="420">
        <v>7</v>
      </c>
      <c r="W21" s="90">
        <f t="shared" si="16"/>
        <v>57.000000000000036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-38.052631578947967</v>
      </c>
      <c r="AG21" s="424">
        <f t="shared" si="7"/>
        <v>0.9735745614035084</v>
      </c>
      <c r="AH21" s="614"/>
    </row>
    <row r="22" spans="1:34" ht="19.2" customHeight="1">
      <c r="A22" s="610"/>
      <c r="B22" s="430" t="s">
        <v>129</v>
      </c>
      <c r="C22" s="97"/>
      <c r="D22" s="42" t="s">
        <v>210</v>
      </c>
      <c r="E22" s="43"/>
      <c r="F22" s="355">
        <v>44.3</v>
      </c>
      <c r="G22" s="44">
        <v>2497.9500000000003</v>
      </c>
      <c r="H22" s="84">
        <f t="shared" si="12"/>
        <v>110659.18500000001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1455.1165048543687</v>
      </c>
      <c r="O22" s="95">
        <f t="shared" si="14"/>
        <v>85.595088520845223</v>
      </c>
      <c r="P22" s="54">
        <f t="shared" si="10"/>
        <v>0</v>
      </c>
      <c r="Q22" s="88">
        <f t="shared" si="11"/>
        <v>-10.640205596801835</v>
      </c>
      <c r="R22" s="421">
        <f t="shared" si="15"/>
        <v>0.88943551641465091</v>
      </c>
      <c r="S22" s="611"/>
      <c r="T22" s="89">
        <v>0.42777777777777776</v>
      </c>
      <c r="U22" s="89">
        <v>0.49930555555555556</v>
      </c>
      <c r="V22" s="420">
        <v>22</v>
      </c>
      <c r="W22" s="90">
        <f t="shared" si="16"/>
        <v>103.00000000000003</v>
      </c>
      <c r="X22" s="96">
        <v>0.41666666666666669</v>
      </c>
      <c r="Y22" s="96">
        <v>0.42708333333333331</v>
      </c>
      <c r="Z22" s="54"/>
      <c r="AA22" s="54"/>
      <c r="AB22" s="588"/>
      <c r="AC22" s="588"/>
      <c r="AD22" s="420"/>
      <c r="AE22" s="420"/>
      <c r="AF22" s="91">
        <f t="shared" si="6"/>
        <v>-180.88349514563129</v>
      </c>
      <c r="AG22" s="92">
        <f t="shared" si="7"/>
        <v>0.8894355164146508</v>
      </c>
      <c r="AH22" s="614"/>
    </row>
    <row r="23" spans="1:34" ht="19.2" customHeight="1">
      <c r="A23" s="610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5122</v>
      </c>
      <c r="H23" s="84">
        <f t="shared" si="12"/>
        <v>197094.56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2626.6666666666656</v>
      </c>
      <c r="O23" s="95">
        <f t="shared" si="14"/>
        <v>138.24561403508767</v>
      </c>
      <c r="P23" s="54">
        <f t="shared" si="10"/>
        <v>1</v>
      </c>
      <c r="Q23" s="88">
        <f t="shared" si="11"/>
        <v>-11.754385964912331</v>
      </c>
      <c r="R23" s="421">
        <f t="shared" si="15"/>
        <v>0.92163742690058448</v>
      </c>
      <c r="S23" s="611"/>
      <c r="T23" s="89">
        <v>0.5395833333333333</v>
      </c>
      <c r="U23" s="89">
        <v>0.62083333333333335</v>
      </c>
      <c r="V23" s="420">
        <v>5</v>
      </c>
      <c r="W23" s="90">
        <f t="shared" si="16"/>
        <v>117.00000000000006</v>
      </c>
      <c r="X23" s="96"/>
      <c r="Y23" s="96"/>
      <c r="Z23" s="54"/>
      <c r="AA23" s="54"/>
      <c r="AB23" s="588"/>
      <c r="AC23" s="588"/>
      <c r="AD23" s="420">
        <v>1</v>
      </c>
      <c r="AE23" s="420">
        <v>1</v>
      </c>
      <c r="AF23" s="48">
        <f t="shared" si="6"/>
        <v>-73.333333333334394</v>
      </c>
      <c r="AG23" s="424">
        <f t="shared" si="7"/>
        <v>0.9728395061728391</v>
      </c>
      <c r="AH23" s="614"/>
    </row>
    <row r="24" spans="1:34" ht="19.2" customHeight="1">
      <c r="A24" s="610"/>
      <c r="B24" s="430" t="s">
        <v>127</v>
      </c>
      <c r="C24" s="81"/>
      <c r="D24" s="82" t="s">
        <v>60</v>
      </c>
      <c r="E24" s="83"/>
      <c r="F24" s="355">
        <v>36.86</v>
      </c>
      <c r="G24" s="57">
        <v>2703.75</v>
      </c>
      <c r="H24" s="84">
        <f t="shared" si="12"/>
        <v>99660.224999999991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2162.9999999999986</v>
      </c>
      <c r="O24" s="95">
        <f t="shared" si="14"/>
        <v>120.16666666666659</v>
      </c>
      <c r="P24" s="54">
        <f t="shared" si="10"/>
        <v>1</v>
      </c>
      <c r="Q24" s="88">
        <f t="shared" si="11"/>
        <v>-12.186274509803994</v>
      </c>
      <c r="R24" s="421">
        <f t="shared" si="15"/>
        <v>0.90792592592592536</v>
      </c>
      <c r="S24" s="611"/>
      <c r="T24" s="89">
        <v>0.63611111111111107</v>
      </c>
      <c r="U24" s="89">
        <v>0.68819444444444444</v>
      </c>
      <c r="V24" s="420">
        <v>22</v>
      </c>
      <c r="W24" s="90">
        <f t="shared" si="16"/>
        <v>75.000000000000057</v>
      </c>
      <c r="X24" s="96">
        <v>0.625</v>
      </c>
      <c r="Y24" s="96">
        <v>0.63541666666666663</v>
      </c>
      <c r="Z24" s="54"/>
      <c r="AA24" s="54"/>
      <c r="AB24" s="588"/>
      <c r="AC24" s="588"/>
      <c r="AD24" s="420">
        <v>1</v>
      </c>
      <c r="AE24" s="420">
        <v>1</v>
      </c>
      <c r="AF24" s="91">
        <f t="shared" si="6"/>
        <v>-87.000000000001364</v>
      </c>
      <c r="AG24" s="92">
        <f t="shared" si="7"/>
        <v>0.96133333333333271</v>
      </c>
      <c r="AH24" s="614"/>
    </row>
    <row r="25" spans="1:34" ht="19.2" customHeight="1">
      <c r="A25" s="610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2" customHeight="1">
      <c r="A26" s="610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2" customHeight="1">
      <c r="A27" s="610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2" customHeight="1">
      <c r="A28" s="610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2" customHeight="1">
      <c r="A29" s="610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2" customHeight="1">
      <c r="A30" s="610"/>
      <c r="B30" s="99">
        <v>0</v>
      </c>
      <c r="C30" s="100" t="s">
        <v>375</v>
      </c>
      <c r="D30" s="609" t="s">
        <v>376</v>
      </c>
      <c r="E30" s="609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17.571428571428573</v>
      </c>
      <c r="N30" s="101">
        <f t="shared" si="17"/>
        <v>1808.1294742488974</v>
      </c>
      <c r="O30" s="104">
        <f t="shared" si="17"/>
        <v>102.00064615259433</v>
      </c>
      <c r="P30" s="54">
        <f t="shared" ref="P30:P37" si="18">M30-J30</f>
        <v>0.85714285714285765</v>
      </c>
      <c r="Q30" s="88">
        <f t="shared" ref="Q30:Q37" si="19">O30-L30</f>
        <v>-11.848093343203999</v>
      </c>
      <c r="R30" s="105">
        <f t="shared" ref="R30:R37" si="20">O30/L30</f>
        <v>0.89593127341000323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2</v>
      </c>
      <c r="AE30" s="107">
        <f>SUM(AE18:AE29)</f>
        <v>2</v>
      </c>
      <c r="AF30" s="108">
        <f t="shared" si="6"/>
        <v>-107.8705257511026</v>
      </c>
      <c r="AG30" s="109">
        <f t="shared" ref="AG30" si="21">N30/K30</f>
        <v>0.94370014313616779</v>
      </c>
      <c r="AH30" s="615"/>
    </row>
    <row r="31" spans="1:34" ht="19.2" customHeight="1">
      <c r="A31" s="618" t="s">
        <v>378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2185.3000000000002</v>
      </c>
      <c r="H31" s="112">
        <f t="shared" ref="H31:H40" si="22">F31*G31</f>
        <v>57910.450000000004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1425.1956521739132</v>
      </c>
      <c r="O31" s="115">
        <f t="shared" ref="O31:O37" si="24">N31/M31</f>
        <v>118.76630434782611</v>
      </c>
      <c r="P31" s="116">
        <f t="shared" si="18"/>
        <v>0</v>
      </c>
      <c r="Q31" s="117">
        <f t="shared" si="19"/>
        <v>-47.90036231884055</v>
      </c>
      <c r="R31" s="423">
        <f t="shared" si="20"/>
        <v>0.71259782608695665</v>
      </c>
      <c r="S31" s="620">
        <f>R43</f>
        <v>0.84565861217634053</v>
      </c>
      <c r="T31" s="118">
        <v>0.125</v>
      </c>
      <c r="U31" s="118">
        <v>0.18888888888888888</v>
      </c>
      <c r="V31" s="142">
        <v>5</v>
      </c>
      <c r="W31" s="119">
        <f t="shared" ref="W31:W42" si="25">(U31-T31)*24*60</f>
        <v>92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-574.80434782608677</v>
      </c>
      <c r="AG31" s="120">
        <f t="shared" si="7"/>
        <v>0.71259782608695665</v>
      </c>
      <c r="AH31" s="616">
        <f>AG43</f>
        <v>0.84791968090788683</v>
      </c>
    </row>
    <row r="32" spans="1:34" ht="19.2" customHeight="1">
      <c r="A32" s="619"/>
      <c r="B32" s="121" t="s">
        <v>131</v>
      </c>
      <c r="C32" s="122"/>
      <c r="D32" s="42" t="s">
        <v>63</v>
      </c>
      <c r="E32" s="43"/>
      <c r="F32" s="355">
        <v>35.33</v>
      </c>
      <c r="G32" s="134">
        <v>2310</v>
      </c>
      <c r="H32" s="84">
        <f t="shared" si="22"/>
        <v>81612.3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1898.6301369863008</v>
      </c>
      <c r="O32" s="47">
        <f t="shared" si="24"/>
        <v>158.21917808219175</v>
      </c>
      <c r="P32" s="116">
        <f t="shared" si="18"/>
        <v>0</v>
      </c>
      <c r="Q32" s="49">
        <f t="shared" si="19"/>
        <v>-18.280821917808254</v>
      </c>
      <c r="R32" s="424">
        <f t="shared" si="20"/>
        <v>0.89642593814272942</v>
      </c>
      <c r="S32" s="611"/>
      <c r="T32" s="89">
        <v>0.19375000000000001</v>
      </c>
      <c r="U32" s="89">
        <v>0.24444444444444446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588"/>
      <c r="AC32" s="588"/>
      <c r="AD32" s="420"/>
      <c r="AE32" s="420">
        <v>1</v>
      </c>
      <c r="AF32" s="48">
        <f t="shared" si="6"/>
        <v>-219.36986301369916</v>
      </c>
      <c r="AG32" s="424">
        <f t="shared" si="7"/>
        <v>0.89642593814272942</v>
      </c>
      <c r="AH32" s="602"/>
    </row>
    <row r="33" spans="1:34" ht="19.2" customHeight="1">
      <c r="A33" s="61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1919</v>
      </c>
      <c r="H33" s="84">
        <f t="shared" si="22"/>
        <v>65687.37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1887.5409836065578</v>
      </c>
      <c r="O33" s="47">
        <f t="shared" si="24"/>
        <v>157.29508196721315</v>
      </c>
      <c r="P33" s="116">
        <f t="shared" si="18"/>
        <v>0</v>
      </c>
      <c r="Q33" s="49">
        <f t="shared" si="19"/>
        <v>-19.20491803278685</v>
      </c>
      <c r="R33" s="424">
        <f t="shared" si="20"/>
        <v>0.89119026610319063</v>
      </c>
      <c r="S33" s="611"/>
      <c r="T33" s="89">
        <v>0.24930555555555559</v>
      </c>
      <c r="U33" s="89">
        <v>0.29166666666666669</v>
      </c>
      <c r="V33" s="142">
        <v>7</v>
      </c>
      <c r="W33" s="90">
        <f t="shared" si="25"/>
        <v>60.999999999999986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-230.4590163934422</v>
      </c>
      <c r="AG33" s="125">
        <f t="shared" si="7"/>
        <v>0.89119026610319063</v>
      </c>
      <c r="AH33" s="602"/>
    </row>
    <row r="34" spans="1:34" ht="19.2" customHeight="1">
      <c r="A34" s="619"/>
      <c r="B34" s="121" t="s">
        <v>132</v>
      </c>
      <c r="C34" s="126"/>
      <c r="D34" s="147" t="s">
        <v>144</v>
      </c>
      <c r="E34" s="83"/>
      <c r="F34" s="355">
        <v>54.09</v>
      </c>
      <c r="G34" s="137">
        <v>589.6</v>
      </c>
      <c r="H34" s="84">
        <f t="shared" si="22"/>
        <v>31891.464000000004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1263.4285714285725</v>
      </c>
      <c r="O34" s="47">
        <f t="shared" si="24"/>
        <v>70.190476190476247</v>
      </c>
      <c r="P34" s="116">
        <f t="shared" si="18"/>
        <v>0</v>
      </c>
      <c r="Q34" s="49">
        <f t="shared" si="19"/>
        <v>-13.142857142857082</v>
      </c>
      <c r="R34" s="424">
        <f t="shared" si="20"/>
        <v>0.84228571428571497</v>
      </c>
      <c r="S34" s="611"/>
      <c r="T34" s="89">
        <v>0.30763888888888891</v>
      </c>
      <c r="U34" s="89">
        <v>0.32708333333333334</v>
      </c>
      <c r="V34" s="137">
        <v>23</v>
      </c>
      <c r="W34" s="90">
        <f t="shared" si="25"/>
        <v>27.999999999999979</v>
      </c>
      <c r="X34" s="123">
        <v>0.29583333333333334</v>
      </c>
      <c r="Y34" s="123">
        <v>0.30694444444444441</v>
      </c>
      <c r="Z34" s="124"/>
      <c r="AA34" s="124"/>
      <c r="AB34" s="588"/>
      <c r="AC34" s="588"/>
      <c r="AD34" s="420"/>
      <c r="AE34" s="420"/>
      <c r="AF34" s="48">
        <f t="shared" si="6"/>
        <v>-236.57142857142753</v>
      </c>
      <c r="AG34" s="125">
        <f t="shared" si="7"/>
        <v>0.84228571428571497</v>
      </c>
      <c r="AH34" s="602"/>
    </row>
    <row r="35" spans="1:34" ht="19.2" customHeight="1">
      <c r="A35" s="619"/>
      <c r="B35" s="121" t="s">
        <v>129</v>
      </c>
      <c r="C35" s="41"/>
      <c r="D35" s="150" t="s">
        <v>189</v>
      </c>
      <c r="E35" s="43"/>
      <c r="F35" s="355">
        <v>56.43</v>
      </c>
      <c r="G35" s="137">
        <v>2053</v>
      </c>
      <c r="H35" s="84">
        <f t="shared" si="22"/>
        <v>115850.79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1296.6315789473688</v>
      </c>
      <c r="O35" s="47">
        <f t="shared" si="24"/>
        <v>76.272445820433461</v>
      </c>
      <c r="P35" s="116">
        <f t="shared" si="18"/>
        <v>0</v>
      </c>
      <c r="Q35" s="49">
        <f t="shared" si="19"/>
        <v>-19.962848297213597</v>
      </c>
      <c r="R35" s="424">
        <f t="shared" si="20"/>
        <v>0.79256208982113008</v>
      </c>
      <c r="S35" s="611"/>
      <c r="T35" s="89">
        <v>0.33194444444444443</v>
      </c>
      <c r="U35" s="89">
        <v>0.39791666666666664</v>
      </c>
      <c r="V35" s="134">
        <v>7</v>
      </c>
      <c r="W35" s="90">
        <f t="shared" si="25"/>
        <v>94.999999999999986</v>
      </c>
      <c r="X35" s="123"/>
      <c r="Y35" s="123"/>
      <c r="Z35" s="124"/>
      <c r="AA35" s="124"/>
      <c r="AB35" s="588"/>
      <c r="AC35" s="588"/>
      <c r="AD35" s="420">
        <v>1</v>
      </c>
      <c r="AE35" s="420"/>
      <c r="AF35" s="116">
        <f t="shared" si="6"/>
        <v>-339.36842105263122</v>
      </c>
      <c r="AG35" s="120">
        <f t="shared" si="7"/>
        <v>0.79256208982113008</v>
      </c>
      <c r="AH35" s="603"/>
    </row>
    <row r="36" spans="1:34" ht="19.2" customHeight="1">
      <c r="A36" s="619"/>
      <c r="B36" s="121" t="s">
        <v>129</v>
      </c>
      <c r="C36" s="128"/>
      <c r="D36" s="150" t="s">
        <v>179</v>
      </c>
      <c r="E36" s="83"/>
      <c r="F36" s="355">
        <v>49.91</v>
      </c>
      <c r="G36" s="134">
        <v>2812.55</v>
      </c>
      <c r="H36" s="84">
        <f t="shared" si="22"/>
        <v>140374.37049999999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1328.7637795275589</v>
      </c>
      <c r="O36" s="47">
        <f t="shared" si="24"/>
        <v>88.584251968503921</v>
      </c>
      <c r="P36" s="116">
        <f t="shared" si="18"/>
        <v>0</v>
      </c>
      <c r="Q36" s="49">
        <f t="shared" si="19"/>
        <v>-11.415748031496079</v>
      </c>
      <c r="R36" s="424">
        <f t="shared" si="20"/>
        <v>0.88584251968503924</v>
      </c>
      <c r="S36" s="611"/>
      <c r="T36" s="89">
        <v>0.41319444444444442</v>
      </c>
      <c r="U36" s="89">
        <v>0.50138888888888888</v>
      </c>
      <c r="V36" s="134">
        <v>22</v>
      </c>
      <c r="W36" s="90">
        <f t="shared" si="25"/>
        <v>127.00000000000003</v>
      </c>
      <c r="X36" s="123">
        <v>0.40277777777777773</v>
      </c>
      <c r="Y36" s="123">
        <v>0.41250000000000003</v>
      </c>
      <c r="Z36" s="124"/>
      <c r="AA36" s="124"/>
      <c r="AB36" s="588"/>
      <c r="AC36" s="588"/>
      <c r="AD36" s="420"/>
      <c r="AE36" s="420"/>
      <c r="AF36" s="48">
        <f t="shared" si="6"/>
        <v>-171.23622047244112</v>
      </c>
      <c r="AG36" s="424">
        <f t="shared" si="7"/>
        <v>0.88584251968503924</v>
      </c>
      <c r="AH36" s="603"/>
    </row>
    <row r="37" spans="1:34" ht="19.2" customHeight="1">
      <c r="A37" s="61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4855.6799999999994</v>
      </c>
      <c r="H37" s="84">
        <f t="shared" si="22"/>
        <v>183544.70399999997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2407.775206611569</v>
      </c>
      <c r="O37" s="47">
        <f t="shared" si="24"/>
        <v>126.7250108742931</v>
      </c>
      <c r="P37" s="116">
        <f t="shared" si="18"/>
        <v>0</v>
      </c>
      <c r="Q37" s="49">
        <f t="shared" si="19"/>
        <v>-15.380252283601635</v>
      </c>
      <c r="R37" s="424">
        <f t="shared" si="20"/>
        <v>0.89176859504132178</v>
      </c>
      <c r="S37" s="611"/>
      <c r="T37" s="89">
        <v>0.54166666666666663</v>
      </c>
      <c r="U37" s="89">
        <v>0.62569444444444444</v>
      </c>
      <c r="V37" s="134">
        <v>5</v>
      </c>
      <c r="W37" s="90">
        <f t="shared" si="25"/>
        <v>121.00000000000006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-292.22479338843095</v>
      </c>
      <c r="AG37" s="125">
        <f t="shared" si="7"/>
        <v>0.89176859504132189</v>
      </c>
      <c r="AH37" s="603"/>
    </row>
    <row r="38" spans="1:34" ht="19.2" customHeight="1">
      <c r="A38" s="61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2" customHeight="1">
      <c r="A39" s="61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2" customHeight="1">
      <c r="A40" s="61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2" customHeight="1">
      <c r="A41" s="61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2" customHeight="1">
      <c r="A42" s="61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2" customHeight="1">
      <c r="A43" s="619"/>
      <c r="B43" s="121">
        <v>0</v>
      </c>
      <c r="C43" s="100" t="s">
        <v>380</v>
      </c>
      <c r="D43" s="617" t="s">
        <v>376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1643.9951298974058</v>
      </c>
      <c r="O43" s="104">
        <f t="shared" si="26"/>
        <v>113.72182132156253</v>
      </c>
      <c r="P43" s="54">
        <f>M43-J43</f>
        <v>0</v>
      </c>
      <c r="Q43" s="88">
        <f>N43-K43</f>
        <v>-294.86201295973706</v>
      </c>
      <c r="R43" s="105">
        <f t="shared" ref="R43:R50" si="27">O43/L43</f>
        <v>0.84565861217634053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-294.86201295973706</v>
      </c>
      <c r="AG43" s="425">
        <f t="shared" si="7"/>
        <v>0.84791968090788683</v>
      </c>
      <c r="AH43" s="603"/>
    </row>
    <row r="44" spans="1:34" s="145" customFormat="1" ht="19.2" customHeight="1">
      <c r="A44" s="622" t="s">
        <v>382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1818</v>
      </c>
      <c r="H44" s="45">
        <f>F44*G44</f>
        <v>49995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1558.2857142857144</v>
      </c>
      <c r="O44" s="138">
        <f t="shared" ref="O44:O50" si="30">N44/M44</f>
        <v>129.85714285714286</v>
      </c>
      <c r="P44" s="51">
        <f t="shared" ref="P44:P50" si="31">M44-J44</f>
        <v>0</v>
      </c>
      <c r="Q44" s="139">
        <f t="shared" ref="Q44:Q50" si="32">O44-L44</f>
        <v>-36.809523809523796</v>
      </c>
      <c r="R44" s="140">
        <f t="shared" si="27"/>
        <v>0.77914285714285725</v>
      </c>
      <c r="S44" s="602">
        <f>R56</f>
        <v>0.89208587070153655</v>
      </c>
      <c r="T44" s="118">
        <v>0.125</v>
      </c>
      <c r="U44" s="118">
        <v>0.1736111111111111</v>
      </c>
      <c r="V44" s="142">
        <v>5</v>
      </c>
      <c r="W44" s="143">
        <f t="shared" ref="W44:W56" si="33">(U44-T44)*24*60</f>
        <v>69.999999999999986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-441.71428571428555</v>
      </c>
      <c r="AG44" s="428">
        <f t="shared" si="7"/>
        <v>0.77914285714285725</v>
      </c>
      <c r="AH44" s="625">
        <f>AG56</f>
        <v>0.96175301478038921</v>
      </c>
    </row>
    <row r="45" spans="1:34" s="145" customFormat="1" ht="19.2" customHeight="1">
      <c r="A45" s="623"/>
      <c r="B45" s="97" t="s">
        <v>131</v>
      </c>
      <c r="C45" s="133"/>
      <c r="D45" s="42" t="s">
        <v>76</v>
      </c>
      <c r="E45" s="43"/>
      <c r="F45" s="362">
        <v>24.73</v>
      </c>
      <c r="G45" s="134">
        <v>2330</v>
      </c>
      <c r="H45" s="45">
        <f>F45*G45</f>
        <v>57620.9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2150.7692307692305</v>
      </c>
      <c r="O45" s="138">
        <f t="shared" si="30"/>
        <v>430.15384615384608</v>
      </c>
      <c r="P45" s="51">
        <f t="shared" si="31"/>
        <v>1</v>
      </c>
      <c r="Q45" s="139">
        <f t="shared" si="32"/>
        <v>-69.846153846153925</v>
      </c>
      <c r="R45" s="140">
        <f t="shared" si="27"/>
        <v>0.86030769230769211</v>
      </c>
      <c r="S45" s="602"/>
      <c r="T45" s="89">
        <v>0.17708333333333331</v>
      </c>
      <c r="U45" s="89">
        <v>0.22222222222222221</v>
      </c>
      <c r="V45" s="142">
        <v>5</v>
      </c>
      <c r="W45" s="143">
        <f t="shared" si="33"/>
        <v>65.000000000000014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150.76923076923049</v>
      </c>
      <c r="AG45" s="428">
        <f t="shared" si="7"/>
        <v>1.0753846153846152</v>
      </c>
      <c r="AH45" s="625"/>
    </row>
    <row r="46" spans="1:34" s="145" customFormat="1" ht="19.2" customHeight="1">
      <c r="A46" s="623"/>
      <c r="B46" s="97" t="s">
        <v>131</v>
      </c>
      <c r="C46" s="133"/>
      <c r="D46" s="42" t="s">
        <v>77</v>
      </c>
      <c r="E46" s="43"/>
      <c r="F46" s="362">
        <v>24.73</v>
      </c>
      <c r="G46" s="134">
        <v>2244</v>
      </c>
      <c r="H46" s="45">
        <f t="shared" ref="H46:H51" si="34">F46*G46</f>
        <v>55494.12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2103.7499999999995</v>
      </c>
      <c r="O46" s="138">
        <f t="shared" si="30"/>
        <v>420.74999999999989</v>
      </c>
      <c r="P46" s="51">
        <f t="shared" si="31"/>
        <v>1</v>
      </c>
      <c r="Q46" s="139">
        <f t="shared" si="32"/>
        <v>-79.250000000000114</v>
      </c>
      <c r="R46" s="140">
        <f t="shared" si="27"/>
        <v>0.8414999999999998</v>
      </c>
      <c r="S46" s="602"/>
      <c r="T46" s="89">
        <v>0.22569444444444442</v>
      </c>
      <c r="U46" s="89">
        <v>0.27013888888888887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103.74999999999955</v>
      </c>
      <c r="AG46" s="428">
        <f t="shared" si="7"/>
        <v>1.0518749999999997</v>
      </c>
      <c r="AH46" s="625"/>
    </row>
    <row r="47" spans="1:34" s="145" customFormat="1" ht="19.2" customHeight="1">
      <c r="A47" s="623"/>
      <c r="B47" s="97" t="s">
        <v>130</v>
      </c>
      <c r="C47" s="133"/>
      <c r="D47" s="42" t="s">
        <v>67</v>
      </c>
      <c r="E47" s="148"/>
      <c r="F47" s="362">
        <v>31.43</v>
      </c>
      <c r="G47" s="137">
        <v>1834</v>
      </c>
      <c r="H47" s="45">
        <f t="shared" si="34"/>
        <v>57642.62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1447.8947368421057</v>
      </c>
      <c r="O47" s="138">
        <f t="shared" si="30"/>
        <v>206.84210526315795</v>
      </c>
      <c r="P47" s="51">
        <f t="shared" si="31"/>
        <v>0</v>
      </c>
      <c r="Q47" s="139">
        <f t="shared" si="32"/>
        <v>-7.4436090225563305</v>
      </c>
      <c r="R47" s="140">
        <f t="shared" si="27"/>
        <v>0.96526315789473716</v>
      </c>
      <c r="S47" s="602"/>
      <c r="T47" s="89">
        <v>0.28749999999999998</v>
      </c>
      <c r="U47" s="89">
        <v>0.34027777777777773</v>
      </c>
      <c r="V47" s="137">
        <v>25</v>
      </c>
      <c r="W47" s="143">
        <f t="shared" si="33"/>
        <v>75.999999999999972</v>
      </c>
      <c r="X47" s="123">
        <v>0.27499999999999997</v>
      </c>
      <c r="Y47" s="123">
        <v>0.28611111111111115</v>
      </c>
      <c r="Z47" s="124"/>
      <c r="AA47" s="124"/>
      <c r="AB47" s="588"/>
      <c r="AC47" s="588"/>
      <c r="AD47" s="420"/>
      <c r="AE47" s="420"/>
      <c r="AF47" s="144">
        <f t="shared" si="28"/>
        <v>-52.105263157894342</v>
      </c>
      <c r="AG47" s="428">
        <f t="shared" si="7"/>
        <v>0.96526315789473716</v>
      </c>
      <c r="AH47" s="625"/>
    </row>
    <row r="48" spans="1:34" s="145" customFormat="1" ht="19.2" customHeight="1">
      <c r="A48" s="623"/>
      <c r="B48" s="97" t="s">
        <v>130</v>
      </c>
      <c r="C48" s="133"/>
      <c r="D48" s="42" t="s">
        <v>178</v>
      </c>
      <c r="E48" s="148"/>
      <c r="F48" s="362">
        <v>11.86</v>
      </c>
      <c r="G48" s="137">
        <v>1858</v>
      </c>
      <c r="H48" s="45">
        <f t="shared" si="34"/>
        <v>22035.879999999997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1447.7922077922083</v>
      </c>
      <c r="O48" s="138">
        <f t="shared" si="30"/>
        <v>241.29870129870139</v>
      </c>
      <c r="P48" s="51">
        <f t="shared" si="31"/>
        <v>0</v>
      </c>
      <c r="Q48" s="139">
        <f t="shared" si="32"/>
        <v>-8.7012987012986116</v>
      </c>
      <c r="R48" s="140">
        <f t="shared" si="27"/>
        <v>0.96519480519480561</v>
      </c>
      <c r="S48" s="602"/>
      <c r="T48" s="89">
        <v>0.34722222222222215</v>
      </c>
      <c r="U48" s="89">
        <v>0.40069444444444435</v>
      </c>
      <c r="V48" s="134">
        <v>10</v>
      </c>
      <c r="W48" s="143">
        <f t="shared" si="33"/>
        <v>76.999999999999972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-52.207792207791726</v>
      </c>
      <c r="AG48" s="428">
        <f t="shared" si="7"/>
        <v>0.96519480519480549</v>
      </c>
      <c r="AH48" s="625"/>
    </row>
    <row r="49" spans="1:34" s="145" customFormat="1" ht="19.2" customHeight="1">
      <c r="A49" s="623"/>
      <c r="B49" s="97" t="s">
        <v>132</v>
      </c>
      <c r="C49" s="133"/>
      <c r="D49" s="42" t="s">
        <v>66</v>
      </c>
      <c r="E49" s="148"/>
      <c r="F49" s="362">
        <v>10.09</v>
      </c>
      <c r="G49" s="134">
        <v>4141.5300000000007</v>
      </c>
      <c r="H49" s="45">
        <f t="shared" si="34"/>
        <v>41788.037700000008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1411.8852272727274</v>
      </c>
      <c r="O49" s="138">
        <f t="shared" si="30"/>
        <v>235.31420454545457</v>
      </c>
      <c r="P49" s="51">
        <f t="shared" si="31"/>
        <v>0</v>
      </c>
      <c r="Q49" s="139">
        <f t="shared" si="32"/>
        <v>-14.685795454545428</v>
      </c>
      <c r="R49" s="140">
        <f t="shared" si="27"/>
        <v>0.94125681818181828</v>
      </c>
      <c r="S49" s="602"/>
      <c r="T49" s="89">
        <v>0.4409722222222221</v>
      </c>
      <c r="U49" s="89">
        <v>0.56319444444444433</v>
      </c>
      <c r="V49" s="134">
        <v>5</v>
      </c>
      <c r="W49" s="143">
        <f t="shared" si="33"/>
        <v>176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-88.114772727272566</v>
      </c>
      <c r="AG49" s="428">
        <f t="shared" si="7"/>
        <v>0.94125681818181828</v>
      </c>
      <c r="AH49" s="625"/>
    </row>
    <row r="50" spans="1:34" s="145" customFormat="1" ht="19.2" customHeight="1">
      <c r="A50" s="623"/>
      <c r="B50" s="97" t="s">
        <v>132</v>
      </c>
      <c r="C50" s="133"/>
      <c r="D50" s="42" t="s">
        <v>66</v>
      </c>
      <c r="E50" s="148"/>
      <c r="F50" s="362">
        <v>10.09</v>
      </c>
      <c r="G50" s="134">
        <v>3527.9700000000003</v>
      </c>
      <c r="H50" s="45">
        <f t="shared" si="34"/>
        <v>35597.217300000004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1420.6590604026853</v>
      </c>
      <c r="O50" s="138">
        <f t="shared" si="30"/>
        <v>236.77651006711423</v>
      </c>
      <c r="P50" s="51">
        <f t="shared" si="31"/>
        <v>0</v>
      </c>
      <c r="Q50" s="139">
        <f t="shared" si="32"/>
        <v>-13.223489932885769</v>
      </c>
      <c r="R50" s="140">
        <f t="shared" si="27"/>
        <v>0.94710604026845691</v>
      </c>
      <c r="S50" s="602"/>
      <c r="T50" s="89">
        <v>0.58055555555555549</v>
      </c>
      <c r="U50" s="89">
        <v>0.68402777777777768</v>
      </c>
      <c r="V50" s="134">
        <v>25</v>
      </c>
      <c r="W50" s="143">
        <f t="shared" si="33"/>
        <v>148.99999999999994</v>
      </c>
      <c r="X50" s="152">
        <v>0.56805555555555554</v>
      </c>
      <c r="Y50" s="152">
        <v>0.57986111111111105</v>
      </c>
      <c r="Z50" s="153"/>
      <c r="AA50" s="153"/>
      <c r="AB50" s="588"/>
      <c r="AC50" s="588"/>
      <c r="AD50" s="420"/>
      <c r="AE50" s="420">
        <v>1</v>
      </c>
      <c r="AF50" s="144">
        <f t="shared" si="28"/>
        <v>-79.340939597314673</v>
      </c>
      <c r="AG50" s="428">
        <f t="shared" si="7"/>
        <v>0.94710604026845691</v>
      </c>
      <c r="AH50" s="625"/>
    </row>
    <row r="51" spans="1:34" s="145" customFormat="1" ht="19.2" customHeight="1">
      <c r="A51" s="623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2" customHeight="1">
      <c r="A52" s="623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2" customHeight="1">
      <c r="A53" s="623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2" customHeight="1">
      <c r="A54" s="623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2" customHeight="1">
      <c r="A55" s="623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2" customHeight="1">
      <c r="A56" s="624"/>
      <c r="B56" s="157">
        <v>0</v>
      </c>
      <c r="C56" s="268" t="s">
        <v>384</v>
      </c>
      <c r="D56" s="621" t="s">
        <v>376</v>
      </c>
      <c r="E56" s="617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1648.7194539092386</v>
      </c>
      <c r="O56" s="104">
        <f t="shared" si="35"/>
        <v>271.57035859791671</v>
      </c>
      <c r="P56" s="158">
        <f>M56-J56</f>
        <v>0.28571428571428559</v>
      </c>
      <c r="Q56" s="117">
        <f>N56-K56</f>
        <v>-65.566260376475611</v>
      </c>
      <c r="R56" s="159">
        <f t="shared" ref="R56:R62" si="36">O56/L56</f>
        <v>0.89208587070153655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-65.566260376475611</v>
      </c>
      <c r="AG56" s="421">
        <f>N56/K56</f>
        <v>0.96175301478038921</v>
      </c>
      <c r="AH56" s="625"/>
    </row>
    <row r="57" spans="1:34" ht="19.2" customHeight="1">
      <c r="A57" s="628" t="s">
        <v>386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1192</v>
      </c>
      <c r="H57" s="84">
        <f t="shared" ref="H57:H66" si="37">F57*G57</f>
        <v>33685.919999999998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1459.5918367346944</v>
      </c>
      <c r="O57" s="86">
        <f t="shared" ref="O57:O62" si="39">N57/M57</f>
        <v>208.51311953352777</v>
      </c>
      <c r="P57" s="165">
        <f t="shared" ref="P57:P62" si="40">M57-J57</f>
        <v>0</v>
      </c>
      <c r="Q57" s="49">
        <f t="shared" ref="Q57:Q62" si="41">O57-L57</f>
        <v>-5.7725947521865066</v>
      </c>
      <c r="R57" s="424">
        <f t="shared" si="36"/>
        <v>0.97306122448979626</v>
      </c>
      <c r="S57" s="602">
        <f>R69</f>
        <v>0.96975117248135645</v>
      </c>
      <c r="T57" s="50">
        <v>0.125</v>
      </c>
      <c r="U57" s="50">
        <v>0.15902777777777777</v>
      </c>
      <c r="V57" s="422">
        <v>5</v>
      </c>
      <c r="W57" s="433">
        <f>(U57-T57)*24*60</f>
        <v>48.999999999999986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-40.408163265305575</v>
      </c>
      <c r="AG57" s="423">
        <f t="shared" si="7"/>
        <v>0.97306122448979626</v>
      </c>
      <c r="AH57" s="616">
        <f>AG69</f>
        <v>0.97005476076435349</v>
      </c>
    </row>
    <row r="58" spans="1:34" ht="19.2" customHeight="1">
      <c r="A58" s="619"/>
      <c r="B58" s="121" t="s">
        <v>130</v>
      </c>
      <c r="C58" s="420"/>
      <c r="D58" s="42" t="s">
        <v>69</v>
      </c>
      <c r="E58" s="43"/>
      <c r="F58" s="355">
        <v>27.88</v>
      </c>
      <c r="G58" s="44">
        <v>3516</v>
      </c>
      <c r="H58" s="45">
        <f t="shared" si="37"/>
        <v>98026.08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1464.9999999999995</v>
      </c>
      <c r="O58" s="47">
        <f t="shared" si="39"/>
        <v>209.28571428571422</v>
      </c>
      <c r="P58" s="165">
        <f t="shared" si="40"/>
        <v>0</v>
      </c>
      <c r="Q58" s="49">
        <f t="shared" si="41"/>
        <v>-5.0000000000000568</v>
      </c>
      <c r="R58" s="424">
        <f t="shared" si="36"/>
        <v>0.97666666666666635</v>
      </c>
      <c r="S58" s="602"/>
      <c r="T58" s="50">
        <v>0.16458333333333333</v>
      </c>
      <c r="U58" s="50">
        <v>0.26458333333333334</v>
      </c>
      <c r="V58" s="422">
        <v>8</v>
      </c>
      <c r="W58" s="433">
        <f>(U58-T58)*24*60</f>
        <v>144.00000000000003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-35.000000000000455</v>
      </c>
      <c r="AG58" s="424">
        <f t="shared" si="7"/>
        <v>0.97666666666666635</v>
      </c>
      <c r="AH58" s="602"/>
    </row>
    <row r="59" spans="1:34" ht="19.2" customHeight="1">
      <c r="A59" s="619"/>
      <c r="B59" s="121" t="s">
        <v>130</v>
      </c>
      <c r="C59" s="420"/>
      <c r="D59" s="42" t="s">
        <v>70</v>
      </c>
      <c r="E59" s="43"/>
      <c r="F59" s="355">
        <v>28</v>
      </c>
      <c r="G59" s="44">
        <v>3363</v>
      </c>
      <c r="H59" s="45">
        <f t="shared" si="37"/>
        <v>94164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1462.1739130434783</v>
      </c>
      <c r="O59" s="47">
        <f t="shared" si="39"/>
        <v>208.88198757763976</v>
      </c>
      <c r="P59" s="165">
        <f t="shared" si="40"/>
        <v>0</v>
      </c>
      <c r="Q59" s="49">
        <f t="shared" si="41"/>
        <v>-5.4037267080745153</v>
      </c>
      <c r="R59" s="424">
        <f t="shared" si="36"/>
        <v>0.97478260869565225</v>
      </c>
      <c r="S59" s="602"/>
      <c r="T59" s="50">
        <v>0.28194444444444444</v>
      </c>
      <c r="U59" s="50">
        <v>0.37777777777777777</v>
      </c>
      <c r="V59" s="142">
        <v>25</v>
      </c>
      <c r="W59" s="433">
        <f t="shared" ref="W59:W69" si="42">(U59-T59)*24*60</f>
        <v>138</v>
      </c>
      <c r="X59" s="53">
        <v>0.26805555555555555</v>
      </c>
      <c r="Y59" s="53">
        <v>0.28125</v>
      </c>
      <c r="Z59" s="54"/>
      <c r="AA59" s="54"/>
      <c r="AB59" s="588"/>
      <c r="AC59" s="588"/>
      <c r="AD59" s="420"/>
      <c r="AE59" s="420"/>
      <c r="AF59" s="48">
        <f t="shared" si="6"/>
        <v>-37.826086956521749</v>
      </c>
      <c r="AG59" s="424">
        <f t="shared" si="7"/>
        <v>0.97478260869565214</v>
      </c>
      <c r="AH59" s="602"/>
    </row>
    <row r="60" spans="1:34" ht="19.2" customHeight="1">
      <c r="A60" s="619"/>
      <c r="B60" s="121" t="s">
        <v>130</v>
      </c>
      <c r="C60" s="420"/>
      <c r="D60" s="42" t="s">
        <v>387</v>
      </c>
      <c r="E60" s="43"/>
      <c r="F60" s="355">
        <v>28.47</v>
      </c>
      <c r="G60" s="44">
        <v>2369.75</v>
      </c>
      <c r="H60" s="45">
        <f t="shared" si="37"/>
        <v>67466.782500000001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1450.8673469387761</v>
      </c>
      <c r="O60" s="47">
        <f t="shared" si="39"/>
        <v>207.26676384839658</v>
      </c>
      <c r="P60" s="165">
        <f t="shared" si="40"/>
        <v>0</v>
      </c>
      <c r="Q60" s="49">
        <f t="shared" si="41"/>
        <v>-7.0189504373176987</v>
      </c>
      <c r="R60" s="424">
        <f t="shared" si="36"/>
        <v>0.96724489795918411</v>
      </c>
      <c r="S60" s="602"/>
      <c r="T60" s="50">
        <v>0.39513888888888887</v>
      </c>
      <c r="U60" s="50">
        <v>0.46319444444444441</v>
      </c>
      <c r="V60" s="142">
        <v>25</v>
      </c>
      <c r="W60" s="433">
        <f t="shared" si="42"/>
        <v>97.999999999999972</v>
      </c>
      <c r="X60" s="53">
        <v>0.38194444444444442</v>
      </c>
      <c r="Y60" s="53">
        <v>0.39444444444444443</v>
      </c>
      <c r="Z60" s="54"/>
      <c r="AA60" s="54"/>
      <c r="AB60" s="588"/>
      <c r="AC60" s="588"/>
      <c r="AD60" s="420">
        <v>1</v>
      </c>
      <c r="AE60" s="420">
        <v>1</v>
      </c>
      <c r="AF60" s="48">
        <f t="shared" si="6"/>
        <v>-49.132653061223891</v>
      </c>
      <c r="AG60" s="423">
        <f t="shared" si="7"/>
        <v>0.96724489795918411</v>
      </c>
      <c r="AH60" s="602"/>
    </row>
    <row r="61" spans="1:34" ht="19.2" customHeight="1">
      <c r="A61" s="619"/>
      <c r="B61" s="121" t="s">
        <v>132</v>
      </c>
      <c r="C61" s="420"/>
      <c r="D61" s="42" t="s">
        <v>66</v>
      </c>
      <c r="E61" s="43"/>
      <c r="F61" s="355">
        <v>10.09</v>
      </c>
      <c r="G61" s="44">
        <v>4448.3099999999995</v>
      </c>
      <c r="H61" s="45">
        <f t="shared" si="37"/>
        <v>44883.447899999992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1450.5358695652171</v>
      </c>
      <c r="O61" s="47">
        <f t="shared" si="39"/>
        <v>241.75597826086951</v>
      </c>
      <c r="P61" s="165">
        <f t="shared" si="40"/>
        <v>0</v>
      </c>
      <c r="Q61" s="49">
        <f t="shared" si="41"/>
        <v>-8.2440217391304884</v>
      </c>
      <c r="R61" s="424">
        <f t="shared" si="36"/>
        <v>0.96702391304347801</v>
      </c>
      <c r="S61" s="602"/>
      <c r="T61" s="50">
        <v>0.50347222222222221</v>
      </c>
      <c r="U61" s="50">
        <v>0.63124999999999998</v>
      </c>
      <c r="V61" s="142">
        <v>5</v>
      </c>
      <c r="W61" s="433">
        <f t="shared" si="42"/>
        <v>184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-49.464130434782874</v>
      </c>
      <c r="AG61" s="424">
        <f t="shared" si="7"/>
        <v>0.96702391304347812</v>
      </c>
      <c r="AH61" s="602"/>
    </row>
    <row r="62" spans="1:34" ht="19.2" customHeight="1">
      <c r="A62" s="619"/>
      <c r="B62" s="121" t="s">
        <v>132</v>
      </c>
      <c r="C62" s="420"/>
      <c r="D62" s="42" t="s">
        <v>66</v>
      </c>
      <c r="E62" s="43"/>
      <c r="F62" s="355">
        <v>10.09</v>
      </c>
      <c r="G62" s="134">
        <v>3221.19</v>
      </c>
      <c r="H62" s="45">
        <f t="shared" si="37"/>
        <v>32501.807100000002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1442.323880597015</v>
      </c>
      <c r="O62" s="47">
        <f t="shared" si="39"/>
        <v>240.38731343283584</v>
      </c>
      <c r="P62" s="165">
        <f t="shared" si="40"/>
        <v>0</v>
      </c>
      <c r="Q62" s="49">
        <f t="shared" si="41"/>
        <v>-9.612686567164161</v>
      </c>
      <c r="R62" s="424">
        <f t="shared" si="36"/>
        <v>0.96154925373134337</v>
      </c>
      <c r="S62" s="602"/>
      <c r="T62" s="166">
        <v>0.64861111111111114</v>
      </c>
      <c r="U62" s="166">
        <v>0.7416666666666667</v>
      </c>
      <c r="V62" s="142">
        <v>25</v>
      </c>
      <c r="W62" s="433">
        <f t="shared" si="42"/>
        <v>134</v>
      </c>
      <c r="X62" s="53">
        <v>0.63472222222222219</v>
      </c>
      <c r="Y62" s="53">
        <v>0.64722222222222225</v>
      </c>
      <c r="Z62" s="54"/>
      <c r="AA62" s="54"/>
      <c r="AB62" s="588"/>
      <c r="AC62" s="588"/>
      <c r="AD62" s="420"/>
      <c r="AE62" s="420"/>
      <c r="AF62" s="48">
        <f t="shared" si="6"/>
        <v>-57.676119402985023</v>
      </c>
      <c r="AG62" s="424">
        <f t="shared" si="7"/>
        <v>0.96154925373134337</v>
      </c>
      <c r="AH62" s="602"/>
    </row>
    <row r="63" spans="1:34" ht="19.2" customHeight="1">
      <c r="A63" s="61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2" customHeight="1">
      <c r="A64" s="584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2" customHeight="1">
      <c r="A65" s="584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2" customHeight="1">
      <c r="A66" s="584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2" customHeight="1">
      <c r="A67" s="584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2" customHeight="1">
      <c r="A68" s="584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2" customHeight="1">
      <c r="A69" s="584"/>
      <c r="B69" s="168">
        <v>0</v>
      </c>
      <c r="C69" s="6" t="s">
        <v>389</v>
      </c>
      <c r="D69" s="617" t="s">
        <v>376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1455.0821411465301</v>
      </c>
      <c r="O69" s="73">
        <f t="shared" si="43"/>
        <v>219.34847948983062</v>
      </c>
      <c r="P69" s="48">
        <f>M69-J69</f>
        <v>0</v>
      </c>
      <c r="Q69" s="49">
        <f>N69-K69</f>
        <v>-44.917858853469852</v>
      </c>
      <c r="R69" s="172">
        <f t="shared" ref="R69:R75" si="44">O69/L69</f>
        <v>0.96975117248135645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1</v>
      </c>
      <c r="AF69" s="48">
        <f t="shared" si="6"/>
        <v>-44.917858853469852</v>
      </c>
      <c r="AG69" s="424">
        <f t="shared" si="7"/>
        <v>0.97005476076435349</v>
      </c>
      <c r="AH69" s="602"/>
    </row>
    <row r="70" spans="1:34" ht="19.2" customHeight="1">
      <c r="A70" s="586" t="s">
        <v>391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1964</v>
      </c>
      <c r="H70" s="45">
        <f>F70*G70</f>
        <v>122023.32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1402.8571428571424</v>
      </c>
      <c r="O70" s="47">
        <f t="shared" ref="O70:O75" si="46">N70/M70</f>
        <v>100.20408163265303</v>
      </c>
      <c r="P70" s="48">
        <f t="shared" ref="P70:P75" si="47">M70-J70</f>
        <v>0</v>
      </c>
      <c r="Q70" s="49">
        <f t="shared" ref="Q70:Q75" si="48">O70-L70</f>
        <v>-6.9387755102041098</v>
      </c>
      <c r="R70" s="424">
        <f t="shared" si="44"/>
        <v>0.93523809523809498</v>
      </c>
      <c r="S70" s="602">
        <f>R82</f>
        <v>0.92037006774700181</v>
      </c>
      <c r="T70" s="50">
        <v>0.25</v>
      </c>
      <c r="U70" s="50">
        <v>0.30833333333333335</v>
      </c>
      <c r="V70" s="422">
        <v>5</v>
      </c>
      <c r="W70" s="433">
        <f>(U70-T70)*24*60</f>
        <v>84.000000000000028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-97.142857142857565</v>
      </c>
      <c r="AG70" s="424">
        <f t="shared" si="7"/>
        <v>0.93523809523809498</v>
      </c>
      <c r="AH70" s="602">
        <f>AG82</f>
        <v>0.92981028160122969</v>
      </c>
    </row>
    <row r="71" spans="1:34" ht="19.2" customHeight="1">
      <c r="A71" s="586"/>
      <c r="B71" s="422" t="s">
        <v>128</v>
      </c>
      <c r="C71" s="41"/>
      <c r="D71" s="173" t="s">
        <v>71</v>
      </c>
      <c r="E71" s="43"/>
      <c r="F71" s="355">
        <v>47.65</v>
      </c>
      <c r="G71" s="44">
        <v>1587.1200000000001</v>
      </c>
      <c r="H71" s="45">
        <f>F71*G71</f>
        <v>75626.267999999996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1341.2281690140849</v>
      </c>
      <c r="O71" s="47">
        <f t="shared" si="46"/>
        <v>74.512676056338051</v>
      </c>
      <c r="P71" s="48">
        <f t="shared" si="47"/>
        <v>0</v>
      </c>
      <c r="Q71" s="49">
        <f t="shared" si="48"/>
        <v>-5.4873239436619485</v>
      </c>
      <c r="R71" s="424">
        <f t="shared" si="44"/>
        <v>0.93140845070422562</v>
      </c>
      <c r="S71" s="602"/>
      <c r="T71" s="50">
        <v>0.31319444444444444</v>
      </c>
      <c r="U71" s="50">
        <v>0.36249999999999999</v>
      </c>
      <c r="V71" s="422">
        <v>7</v>
      </c>
      <c r="W71" s="433">
        <f t="shared" ref="W71:W81" si="49">(U71-T71)*24*60</f>
        <v>70.999999999999986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-98.77183098591513</v>
      </c>
      <c r="AG71" s="424">
        <f>N71/K71</f>
        <v>0.93140845070422562</v>
      </c>
      <c r="AH71" s="602"/>
    </row>
    <row r="72" spans="1:34" ht="19.2" customHeight="1">
      <c r="A72" s="586"/>
      <c r="B72" s="422" t="s">
        <v>128</v>
      </c>
      <c r="C72" s="66"/>
      <c r="D72" s="173" t="s">
        <v>72</v>
      </c>
      <c r="E72" s="43"/>
      <c r="F72" s="355">
        <v>53.36</v>
      </c>
      <c r="G72" s="44">
        <v>4075.5</v>
      </c>
      <c r="H72" s="45">
        <f t="shared" ref="H72:H80" si="50">F72*G72</f>
        <v>217468.68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1350.9944751381215</v>
      </c>
      <c r="O72" s="47">
        <f t="shared" si="46"/>
        <v>71.104972375690608</v>
      </c>
      <c r="P72" s="48">
        <f t="shared" si="47"/>
        <v>0</v>
      </c>
      <c r="Q72" s="49">
        <f t="shared" si="48"/>
        <v>-4.6845013085199128</v>
      </c>
      <c r="R72" s="424">
        <f t="shared" si="44"/>
        <v>0.93819060773480667</v>
      </c>
      <c r="S72" s="602"/>
      <c r="T72" s="50">
        <v>0.37847222222222221</v>
      </c>
      <c r="U72" s="50">
        <v>0.50416666666666665</v>
      </c>
      <c r="V72" s="422">
        <v>23</v>
      </c>
      <c r="W72" s="433">
        <f t="shared" si="49"/>
        <v>181</v>
      </c>
      <c r="X72" s="53">
        <v>0.3666666666666667</v>
      </c>
      <c r="Y72" s="53">
        <v>0.37777777777777777</v>
      </c>
      <c r="Z72" s="54"/>
      <c r="AA72" s="54"/>
      <c r="AB72" s="588"/>
      <c r="AC72" s="588"/>
      <c r="AD72" s="420">
        <v>2</v>
      </c>
      <c r="AE72" s="420"/>
      <c r="AF72" s="48">
        <f>N72-K72</f>
        <v>-89.005524861878484</v>
      </c>
      <c r="AG72" s="424">
        <f>N72/K72</f>
        <v>0.93819060773480656</v>
      </c>
      <c r="AH72" s="602"/>
    </row>
    <row r="73" spans="1:34" ht="19.2" customHeight="1">
      <c r="A73" s="586"/>
      <c r="B73" s="422" t="s">
        <v>128</v>
      </c>
      <c r="C73" s="175"/>
      <c r="D73" s="176" t="s">
        <v>73</v>
      </c>
      <c r="E73" s="177"/>
      <c r="F73" s="355">
        <v>53.76</v>
      </c>
      <c r="G73" s="44">
        <v>2772</v>
      </c>
      <c r="H73" s="45">
        <f t="shared" si="50"/>
        <v>149022.72</v>
      </c>
      <c r="I73" s="420"/>
      <c r="J73" s="178">
        <v>16</v>
      </c>
      <c r="K73" s="179">
        <v>1440</v>
      </c>
      <c r="L73" s="86">
        <v>90</v>
      </c>
      <c r="M73" s="431">
        <v>17</v>
      </c>
      <c r="N73" s="44">
        <f t="shared" si="45"/>
        <v>1319.9999999999998</v>
      </c>
      <c r="O73" s="47">
        <f t="shared" si="46"/>
        <v>77.647058823529392</v>
      </c>
      <c r="P73" s="48">
        <f t="shared" si="47"/>
        <v>1</v>
      </c>
      <c r="Q73" s="49">
        <f t="shared" si="48"/>
        <v>-12.352941176470608</v>
      </c>
      <c r="R73" s="424">
        <f t="shared" si="44"/>
        <v>0.86274509803921551</v>
      </c>
      <c r="S73" s="602"/>
      <c r="T73" s="50">
        <v>0.5444444444444444</v>
      </c>
      <c r="U73" s="50">
        <v>0.63194444444444442</v>
      </c>
      <c r="V73" s="422">
        <v>5</v>
      </c>
      <c r="W73" s="433">
        <f t="shared" si="49"/>
        <v>126.00000000000003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-120.00000000000023</v>
      </c>
      <c r="AG73" s="424">
        <f>N73/K73</f>
        <v>0.91666666666666652</v>
      </c>
      <c r="AH73" s="602"/>
    </row>
    <row r="74" spans="1:34" ht="19.2" customHeight="1">
      <c r="A74" s="586"/>
      <c r="B74" s="422" t="s">
        <v>128</v>
      </c>
      <c r="C74" s="175"/>
      <c r="D74" s="176" t="s">
        <v>74</v>
      </c>
      <c r="E74" s="177"/>
      <c r="F74" s="355">
        <v>47.51</v>
      </c>
      <c r="G74" s="44">
        <v>1994</v>
      </c>
      <c r="H74" s="45">
        <f t="shared" si="50"/>
        <v>94734.94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1344.2696629213483</v>
      </c>
      <c r="O74" s="47">
        <f t="shared" si="46"/>
        <v>79.07468605419696</v>
      </c>
      <c r="P74" s="48">
        <f t="shared" si="47"/>
        <v>0</v>
      </c>
      <c r="Q74" s="49">
        <f t="shared" si="48"/>
        <v>-5.6311962987442143</v>
      </c>
      <c r="R74" s="424">
        <f t="shared" si="44"/>
        <v>0.93352059925093633</v>
      </c>
      <c r="S74" s="602"/>
      <c r="T74" s="50">
        <v>0.64722222222222214</v>
      </c>
      <c r="U74" s="50">
        <v>0.7090277777777777</v>
      </c>
      <c r="V74" s="422">
        <v>22</v>
      </c>
      <c r="W74" s="433">
        <f t="shared" si="49"/>
        <v>89</v>
      </c>
      <c r="X74" s="180">
        <v>0.63611111111111118</v>
      </c>
      <c r="Y74" s="180">
        <v>0.64583333333333337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-95.730337078651701</v>
      </c>
      <c r="AG74" s="424">
        <f t="shared" ref="AG74:AG80" si="52">N74/K74</f>
        <v>0.93352059925093633</v>
      </c>
      <c r="AH74" s="602"/>
    </row>
    <row r="75" spans="1:34" ht="19.2" customHeight="1">
      <c r="A75" s="586"/>
      <c r="B75" s="422" t="s">
        <v>128</v>
      </c>
      <c r="C75" s="66"/>
      <c r="D75" s="173" t="s">
        <v>72</v>
      </c>
      <c r="E75" s="43"/>
      <c r="F75" s="355">
        <v>53.36</v>
      </c>
      <c r="G75" s="57">
        <v>2194.5</v>
      </c>
      <c r="H75" s="45">
        <f t="shared" si="50"/>
        <v>117098.52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1330.0000000000002</v>
      </c>
      <c r="O75" s="47">
        <f t="shared" si="46"/>
        <v>70.000000000000014</v>
      </c>
      <c r="P75" s="48">
        <f t="shared" si="47"/>
        <v>0</v>
      </c>
      <c r="Q75" s="49">
        <f t="shared" si="48"/>
        <v>-5.7894736842105061</v>
      </c>
      <c r="R75" s="424">
        <f t="shared" si="44"/>
        <v>0.92361111111111138</v>
      </c>
      <c r="S75" s="602"/>
      <c r="T75" s="50">
        <v>0.7138888888888888</v>
      </c>
      <c r="U75" s="50">
        <v>0.78263888888888877</v>
      </c>
      <c r="V75" s="422">
        <v>7</v>
      </c>
      <c r="W75" s="433">
        <f t="shared" si="49"/>
        <v>98.999999999999972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-109.99999999999977</v>
      </c>
      <c r="AG75" s="424">
        <f t="shared" si="52"/>
        <v>0.92361111111111127</v>
      </c>
      <c r="AH75" s="602"/>
    </row>
    <row r="76" spans="1:34" ht="19.2" customHeight="1">
      <c r="A76" s="586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2" customHeight="1">
      <c r="A77" s="586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2" customHeight="1">
      <c r="A78" s="586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2" customHeight="1">
      <c r="A79" s="586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2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2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2" customHeight="1">
      <c r="A82" s="629"/>
      <c r="B82" s="168">
        <v>0</v>
      </c>
      <c r="C82" s="100" t="s">
        <v>393</v>
      </c>
      <c r="D82" s="617" t="s">
        <v>376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17.333333333333332</v>
      </c>
      <c r="N82" s="101">
        <f t="shared" si="53"/>
        <v>1348.224908321783</v>
      </c>
      <c r="O82" s="184">
        <f t="shared" si="53"/>
        <v>78.757245823734664</v>
      </c>
      <c r="P82" s="116">
        <f>M82-J82</f>
        <v>0.1666666666666643</v>
      </c>
      <c r="Q82" s="117">
        <f>N82-K82</f>
        <v>-101.775091678217</v>
      </c>
      <c r="R82" s="172">
        <f>O82/L82</f>
        <v>0.92037006774700181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2</v>
      </c>
      <c r="AE82" s="107">
        <f>SUM(AE70:AE81)</f>
        <v>0</v>
      </c>
      <c r="AF82" s="48">
        <f>N82-K82</f>
        <v>-101.775091678217</v>
      </c>
      <c r="AG82" s="424">
        <f>N82/K82</f>
        <v>0.92981028160122969</v>
      </c>
      <c r="AH82" s="602"/>
    </row>
    <row r="83" spans="1:34" ht="19.2" customHeight="1">
      <c r="A83" s="630" t="s">
        <v>395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1931.58</v>
      </c>
      <c r="H83" s="84">
        <f t="shared" ref="H83:H94" si="54">F83*G83</f>
        <v>97873.158599999995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1396.3228915662646</v>
      </c>
      <c r="O83" s="183">
        <f t="shared" ref="O83:O91" si="56">N83/M83</f>
        <v>77.573493975903588</v>
      </c>
      <c r="P83" s="54">
        <f t="shared" ref="P83:P91" si="57">M83-J83</f>
        <v>0</v>
      </c>
      <c r="Q83" s="88">
        <f t="shared" ref="Q83:Q91" si="58">O83-L83</f>
        <v>-5.7598393574297404</v>
      </c>
      <c r="R83" s="185">
        <f t="shared" ref="R83:R91" si="59">O83/L83</f>
        <v>0.9308819277108431</v>
      </c>
      <c r="S83" s="602">
        <f>R95</f>
        <v>0.87583216628166416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-103.67710843373538</v>
      </c>
      <c r="AG83" s="424">
        <f t="shared" ref="AG83:AG173" si="62">N83/K83</f>
        <v>0.9308819277108431</v>
      </c>
      <c r="AH83" s="602">
        <f>AG95</f>
        <v>0.88709816706482281</v>
      </c>
    </row>
    <row r="84" spans="1:34" ht="19.2" customHeight="1">
      <c r="A84" s="631"/>
      <c r="B84" s="110" t="s">
        <v>128</v>
      </c>
      <c r="C84" s="429"/>
      <c r="D84" s="186" t="s">
        <v>185</v>
      </c>
      <c r="E84" s="43"/>
      <c r="F84" s="362">
        <v>61.02</v>
      </c>
      <c r="G84" s="44">
        <v>2481</v>
      </c>
      <c r="H84" s="84">
        <f t="shared" si="54"/>
        <v>151390.62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1378.333333333333</v>
      </c>
      <c r="O84" s="183">
        <f t="shared" si="56"/>
        <v>81.078431372549005</v>
      </c>
      <c r="P84" s="54">
        <f t="shared" si="57"/>
        <v>0</v>
      </c>
      <c r="Q84" s="88">
        <f t="shared" si="58"/>
        <v>-3.6274509803921688</v>
      </c>
      <c r="R84" s="185">
        <f t="shared" si="59"/>
        <v>0.95717592592592582</v>
      </c>
      <c r="S84" s="602"/>
      <c r="T84" s="50">
        <v>0.40694444444444444</v>
      </c>
      <c r="U84" s="50">
        <v>0.48194444444444445</v>
      </c>
      <c r="V84" s="422">
        <v>23</v>
      </c>
      <c r="W84" s="433">
        <f t="shared" si="60"/>
        <v>108.00000000000001</v>
      </c>
      <c r="X84" s="53">
        <v>0.39583333333333331</v>
      </c>
      <c r="Y84" s="53">
        <v>0.40625</v>
      </c>
      <c r="Z84" s="54"/>
      <c r="AA84" s="54"/>
      <c r="AB84" s="588"/>
      <c r="AC84" s="588"/>
      <c r="AD84" s="420"/>
      <c r="AE84" s="420"/>
      <c r="AF84" s="48">
        <f t="shared" si="61"/>
        <v>-61.66666666666697</v>
      </c>
      <c r="AG84" s="424">
        <f t="shared" si="62"/>
        <v>0.95717592592592571</v>
      </c>
      <c r="AH84" s="602"/>
    </row>
    <row r="85" spans="1:34" ht="19.2" customHeight="1">
      <c r="A85" s="631"/>
      <c r="B85" s="110" t="s">
        <v>132</v>
      </c>
      <c r="C85" s="122"/>
      <c r="D85" s="186" t="s">
        <v>190</v>
      </c>
      <c r="E85" s="43"/>
      <c r="F85" s="362">
        <v>54.09</v>
      </c>
      <c r="G85" s="44">
        <v>1144</v>
      </c>
      <c r="H85" s="84">
        <f t="shared" si="54"/>
        <v>61878.960000000006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1089.5238095238105</v>
      </c>
      <c r="O85" s="183">
        <f t="shared" si="56"/>
        <v>54.476190476190524</v>
      </c>
      <c r="P85" s="54">
        <f t="shared" si="57"/>
        <v>0</v>
      </c>
      <c r="Q85" s="88">
        <f t="shared" si="58"/>
        <v>-10.523809523809476</v>
      </c>
      <c r="R85" s="185">
        <f t="shared" si="59"/>
        <v>0.83809523809523878</v>
      </c>
      <c r="S85" s="602"/>
      <c r="T85" s="50">
        <v>0.52222222222222225</v>
      </c>
      <c r="U85" s="50">
        <v>0.56597222222222221</v>
      </c>
      <c r="V85" s="422">
        <v>5</v>
      </c>
      <c r="W85" s="433">
        <f t="shared" si="60"/>
        <v>62.999999999999936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-210.47619047618946</v>
      </c>
      <c r="AG85" s="424">
        <f t="shared" si="62"/>
        <v>0.83809523809523889</v>
      </c>
      <c r="AH85" s="602"/>
    </row>
    <row r="86" spans="1:34" ht="19.2" customHeight="1">
      <c r="A86" s="631"/>
      <c r="B86" s="110" t="s">
        <v>128</v>
      </c>
      <c r="C86" s="97"/>
      <c r="D86" s="186" t="s">
        <v>203</v>
      </c>
      <c r="E86" s="43"/>
      <c r="F86" s="362">
        <v>61.09</v>
      </c>
      <c r="G86" s="44">
        <v>2156</v>
      </c>
      <c r="H86" s="84">
        <f t="shared" si="54"/>
        <v>131710.04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1280.7920792079212</v>
      </c>
      <c r="O86" s="183">
        <f t="shared" si="56"/>
        <v>75.340710541642423</v>
      </c>
      <c r="P86" s="54">
        <f t="shared" si="57"/>
        <v>0</v>
      </c>
      <c r="Q86" s="88">
        <f t="shared" si="58"/>
        <v>-9.365171811298751</v>
      </c>
      <c r="R86" s="185">
        <f t="shared" si="59"/>
        <v>0.88943894389438971</v>
      </c>
      <c r="S86" s="602"/>
      <c r="T86" s="50">
        <v>0.5708333333333333</v>
      </c>
      <c r="U86" s="50">
        <v>0.64097222222222217</v>
      </c>
      <c r="V86" s="422">
        <v>7</v>
      </c>
      <c r="W86" s="433">
        <f t="shared" si="60"/>
        <v>100.99999999999996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-159.20792079207877</v>
      </c>
      <c r="AG86" s="424">
        <f t="shared" si="62"/>
        <v>0.88943894389438971</v>
      </c>
      <c r="AH86" s="602"/>
    </row>
    <row r="87" spans="1:34" ht="19.2" customHeight="1">
      <c r="A87" s="631"/>
      <c r="B87" s="110" t="s">
        <v>129</v>
      </c>
      <c r="C87" s="97"/>
      <c r="D87" s="186" t="s">
        <v>62</v>
      </c>
      <c r="E87" s="43"/>
      <c r="F87" s="362">
        <v>38.39</v>
      </c>
      <c r="G87" s="44">
        <v>812.34999999999991</v>
      </c>
      <c r="H87" s="84">
        <f t="shared" si="54"/>
        <v>31186.116499999996</v>
      </c>
      <c r="I87" s="422"/>
      <c r="J87" s="87">
        <v>16</v>
      </c>
      <c r="K87" s="57">
        <v>1636</v>
      </c>
      <c r="L87" s="86">
        <v>102.25</v>
      </c>
      <c r="M87" s="431">
        <v>17</v>
      </c>
      <c r="N87" s="57">
        <f t="shared" si="55"/>
        <v>1353.9166666666656</v>
      </c>
      <c r="O87" s="183">
        <f t="shared" si="56"/>
        <v>79.64215686274504</v>
      </c>
      <c r="P87" s="54">
        <f t="shared" si="57"/>
        <v>1</v>
      </c>
      <c r="Q87" s="88">
        <f t="shared" si="58"/>
        <v>-22.60784313725496</v>
      </c>
      <c r="R87" s="185">
        <f t="shared" si="59"/>
        <v>0.77889639963564827</v>
      </c>
      <c r="S87" s="602"/>
      <c r="T87" s="50">
        <v>0.65624999999999989</v>
      </c>
      <c r="U87" s="50">
        <v>0.68124999999999991</v>
      </c>
      <c r="V87" s="422">
        <v>22</v>
      </c>
      <c r="W87" s="433">
        <f t="shared" si="60"/>
        <v>36.000000000000028</v>
      </c>
      <c r="X87" s="53">
        <v>0.64583333333333337</v>
      </c>
      <c r="Y87" s="53">
        <v>0.65555555555555556</v>
      </c>
      <c r="Z87" s="54"/>
      <c r="AA87" s="54"/>
      <c r="AB87" s="588"/>
      <c r="AC87" s="588"/>
      <c r="AD87" s="420">
        <v>1</v>
      </c>
      <c r="AE87" s="420"/>
      <c r="AF87" s="48">
        <f t="shared" si="61"/>
        <v>-282.08333333333439</v>
      </c>
      <c r="AG87" s="424">
        <f t="shared" si="62"/>
        <v>0.82757742461287631</v>
      </c>
      <c r="AH87" s="602"/>
    </row>
    <row r="88" spans="1:34" ht="19.2" customHeight="1">
      <c r="A88" s="631"/>
      <c r="B88" s="110" t="s">
        <v>129</v>
      </c>
      <c r="C88" s="429"/>
      <c r="D88" s="186" t="s">
        <v>186</v>
      </c>
      <c r="E88" s="43"/>
      <c r="F88" s="362">
        <v>56.43</v>
      </c>
      <c r="G88" s="57">
        <v>739.55</v>
      </c>
      <c r="H88" s="84">
        <f t="shared" si="54"/>
        <v>41732.806499999999</v>
      </c>
      <c r="I88" s="422">
        <v>1</v>
      </c>
      <c r="J88" s="87">
        <v>16</v>
      </c>
      <c r="K88" s="57">
        <v>1500</v>
      </c>
      <c r="L88" s="86">
        <v>93.75</v>
      </c>
      <c r="M88" s="431">
        <v>17</v>
      </c>
      <c r="N88" s="57">
        <f t="shared" si="55"/>
        <v>1344.6363636363619</v>
      </c>
      <c r="O88" s="183">
        <f t="shared" si="56"/>
        <v>79.096256684491877</v>
      </c>
      <c r="P88" s="54">
        <f t="shared" si="57"/>
        <v>1</v>
      </c>
      <c r="Q88" s="88">
        <f t="shared" si="58"/>
        <v>-14.653743315508123</v>
      </c>
      <c r="R88" s="185">
        <f t="shared" si="59"/>
        <v>0.84369340463457998</v>
      </c>
      <c r="S88" s="602"/>
      <c r="T88" s="50">
        <v>0.68541666666666656</v>
      </c>
      <c r="U88" s="50">
        <v>0.70833333333333326</v>
      </c>
      <c r="V88" s="422">
        <v>6</v>
      </c>
      <c r="W88" s="433">
        <f t="shared" si="60"/>
        <v>33.000000000000043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-155.36363636363808</v>
      </c>
      <c r="AG88" s="424">
        <f t="shared" si="62"/>
        <v>0.89642424242424124</v>
      </c>
      <c r="AH88" s="602"/>
    </row>
    <row r="89" spans="1:34" ht="19.2" customHeight="1">
      <c r="A89" s="631"/>
      <c r="B89" s="110" t="s">
        <v>130</v>
      </c>
      <c r="C89" s="429"/>
      <c r="D89" s="42" t="s">
        <v>61</v>
      </c>
      <c r="E89" s="43"/>
      <c r="F89" s="362">
        <v>43.14</v>
      </c>
      <c r="G89" s="114">
        <v>717.15</v>
      </c>
      <c r="H89" s="84">
        <f t="shared" si="54"/>
        <v>30937.850999999999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1344.6562499999982</v>
      </c>
      <c r="O89" s="183">
        <f t="shared" si="56"/>
        <v>84.041015624999886</v>
      </c>
      <c r="P89" s="54">
        <f t="shared" si="57"/>
        <v>0</v>
      </c>
      <c r="Q89" s="88">
        <f t="shared" si="58"/>
        <v>-5.9589843750001137</v>
      </c>
      <c r="R89" s="185">
        <f t="shared" si="59"/>
        <v>0.93378906249999871</v>
      </c>
      <c r="S89" s="602"/>
      <c r="T89" s="50">
        <v>0.71319444444444435</v>
      </c>
      <c r="U89" s="50">
        <v>0.73541666666666661</v>
      </c>
      <c r="V89" s="422">
        <v>7</v>
      </c>
      <c r="W89" s="433">
        <f t="shared" si="60"/>
        <v>32.000000000000043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-95.343750000001819</v>
      </c>
      <c r="AG89" s="424">
        <f t="shared" si="62"/>
        <v>0.93378906249999871</v>
      </c>
      <c r="AH89" s="602"/>
    </row>
    <row r="90" spans="1:34" ht="19.2" customHeight="1">
      <c r="A90" s="631"/>
      <c r="B90" s="110" t="s">
        <v>129</v>
      </c>
      <c r="C90" s="429"/>
      <c r="D90" s="42" t="s">
        <v>210</v>
      </c>
      <c r="E90" s="43"/>
      <c r="F90" s="362">
        <v>44.3</v>
      </c>
      <c r="G90" s="127">
        <v>960.75</v>
      </c>
      <c r="H90" s="84">
        <f t="shared" si="54"/>
        <v>42561.224999999999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17</v>
      </c>
      <c r="N90" s="57">
        <f t="shared" si="55"/>
        <v>1405.9756097560971</v>
      </c>
      <c r="O90" s="183">
        <f t="shared" si="56"/>
        <v>82.704447632711592</v>
      </c>
      <c r="P90" s="54">
        <f t="shared" si="57"/>
        <v>0</v>
      </c>
      <c r="Q90" s="88">
        <f t="shared" si="58"/>
        <v>-13.530846484935466</v>
      </c>
      <c r="R90" s="185">
        <f t="shared" si="59"/>
        <v>0.85939829447194194</v>
      </c>
      <c r="S90" s="602"/>
      <c r="T90" s="50">
        <v>0.7402777777777777</v>
      </c>
      <c r="U90" s="50">
        <v>0.76874999999999993</v>
      </c>
      <c r="V90" s="422">
        <v>7</v>
      </c>
      <c r="W90" s="433">
        <f t="shared" si="60"/>
        <v>41.000000000000014</v>
      </c>
      <c r="X90" s="188"/>
      <c r="Y90" s="188"/>
      <c r="Z90" s="54"/>
      <c r="AA90" s="54"/>
      <c r="AB90" s="588"/>
      <c r="AC90" s="588"/>
      <c r="AD90" s="420">
        <v>1</v>
      </c>
      <c r="AE90" s="420"/>
      <c r="AF90" s="48">
        <f t="shared" si="61"/>
        <v>-230.02439024390287</v>
      </c>
      <c r="AG90" s="424">
        <f t="shared" si="62"/>
        <v>0.85939829447194205</v>
      </c>
      <c r="AH90" s="602"/>
    </row>
    <row r="91" spans="1:34" ht="19.2" customHeight="1">
      <c r="A91" s="631"/>
      <c r="B91" s="110" t="s">
        <v>127</v>
      </c>
      <c r="C91" s="429"/>
      <c r="D91" s="42" t="s">
        <v>52</v>
      </c>
      <c r="E91" s="43"/>
      <c r="F91" s="362">
        <v>37.83</v>
      </c>
      <c r="G91" s="44">
        <v>2779</v>
      </c>
      <c r="H91" s="84">
        <f t="shared" si="54"/>
        <v>105129.56999999999</v>
      </c>
      <c r="I91" s="189">
        <v>1</v>
      </c>
      <c r="J91" s="87">
        <v>20</v>
      </c>
      <c r="K91" s="57">
        <v>2400</v>
      </c>
      <c r="L91" s="86">
        <v>120</v>
      </c>
      <c r="M91" s="431">
        <v>20</v>
      </c>
      <c r="N91" s="57">
        <f t="shared" si="55"/>
        <v>2084.2499999999945</v>
      </c>
      <c r="O91" s="183">
        <f t="shared" si="56"/>
        <v>104.21249999999972</v>
      </c>
      <c r="P91" s="54">
        <f t="shared" si="57"/>
        <v>0</v>
      </c>
      <c r="Q91" s="88">
        <f t="shared" si="58"/>
        <v>-15.787500000000279</v>
      </c>
      <c r="R91" s="185">
        <f t="shared" si="59"/>
        <v>0.86843749999999764</v>
      </c>
      <c r="S91" s="603"/>
      <c r="T91" s="50">
        <v>0.77430555555555547</v>
      </c>
      <c r="U91" s="50">
        <v>0.82986111111111116</v>
      </c>
      <c r="V91" s="422">
        <v>8</v>
      </c>
      <c r="W91" s="433">
        <f t="shared" si="60"/>
        <v>80.000000000000199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-315.75000000000546</v>
      </c>
      <c r="AG91" s="424">
        <f t="shared" si="62"/>
        <v>0.86843749999999775</v>
      </c>
      <c r="AH91" s="603"/>
    </row>
    <row r="92" spans="1:34" ht="19.2" customHeight="1">
      <c r="A92" s="631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2" customHeight="1">
      <c r="A93" s="631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2" customHeight="1">
      <c r="A94" s="631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2" customHeight="1">
      <c r="A95" s="631"/>
      <c r="B95" s="200">
        <v>0</v>
      </c>
      <c r="C95" s="100" t="s">
        <v>397</v>
      </c>
      <c r="D95" s="617" t="s">
        <v>376</v>
      </c>
      <c r="E95" s="617"/>
      <c r="F95" s="356"/>
      <c r="G95" s="70"/>
      <c r="H95" s="201"/>
      <c r="I95" s="103"/>
      <c r="J95" s="202">
        <v>17.444444444444443</v>
      </c>
      <c r="K95" s="202">
        <v>1588</v>
      </c>
      <c r="L95" s="203">
        <v>91.108932461873636</v>
      </c>
      <c r="M95" s="202">
        <f t="shared" ref="M95:O95" si="63">AVERAGE(M83:M94)</f>
        <v>17.666666666666668</v>
      </c>
      <c r="N95" s="202">
        <f t="shared" si="63"/>
        <v>1408.7118892989386</v>
      </c>
      <c r="O95" s="203">
        <f t="shared" si="63"/>
        <v>79.796133685692624</v>
      </c>
      <c r="P95" s="204">
        <f>M95-J95</f>
        <v>0.22222222222222499</v>
      </c>
      <c r="Q95" s="205">
        <f t="shared" ref="Q95:Q105" si="64">O95-L95</f>
        <v>-11.312798776181012</v>
      </c>
      <c r="R95" s="206">
        <f>O95/L95</f>
        <v>0.87583216628166416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2</v>
      </c>
      <c r="AE95" s="107">
        <f>SUM(AE83:AE94)</f>
        <v>0</v>
      </c>
      <c r="AF95" s="65">
        <f t="shared" si="61"/>
        <v>-179.28811070106144</v>
      </c>
      <c r="AG95" s="425">
        <f t="shared" si="62"/>
        <v>0.88709816706482281</v>
      </c>
      <c r="AH95" s="603"/>
    </row>
    <row r="96" spans="1:34" ht="19.2" customHeight="1">
      <c r="A96" s="633" t="s">
        <v>399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2047</v>
      </c>
      <c r="H96" s="45">
        <f t="shared" ref="H96:H105" si="65">F96*G96</f>
        <v>60304.62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1137.2222222222222</v>
      </c>
      <c r="O96" s="47">
        <f t="shared" ref="O96:O105" si="67">N96/M96</f>
        <v>71.076388888888886</v>
      </c>
      <c r="P96" s="48">
        <f t="shared" ref="P96:P105" si="68">M96-J96</f>
        <v>0</v>
      </c>
      <c r="Q96" s="49">
        <f t="shared" si="64"/>
        <v>-18.923611111111114</v>
      </c>
      <c r="R96" s="424">
        <f t="shared" ref="R96:R105" si="69">O96/L96</f>
        <v>0.78973765432098764</v>
      </c>
      <c r="S96" s="602">
        <f>R108</f>
        <v>0.84863163833858657</v>
      </c>
      <c r="T96" s="89">
        <v>0.33333333333333331</v>
      </c>
      <c r="U96" s="89">
        <v>0.40833333333333333</v>
      </c>
      <c r="V96" s="420">
        <v>5</v>
      </c>
      <c r="W96" s="90">
        <f t="shared" ref="W96:W133" si="70">(U96-T96)*24*60</f>
        <v>108.00000000000001</v>
      </c>
      <c r="X96" s="96"/>
      <c r="Y96" s="96"/>
      <c r="Z96" s="54"/>
      <c r="AA96" s="54"/>
      <c r="AB96" s="588"/>
      <c r="AC96" s="588"/>
      <c r="AD96" s="420">
        <v>1</v>
      </c>
      <c r="AE96" s="420">
        <v>2</v>
      </c>
      <c r="AF96" s="54">
        <f t="shared" si="61"/>
        <v>-302.77777777777783</v>
      </c>
      <c r="AG96" s="421">
        <f t="shared" si="62"/>
        <v>0.78973765432098764</v>
      </c>
      <c r="AH96" s="611">
        <f>AG108</f>
        <v>0.83429151189334128</v>
      </c>
    </row>
    <row r="97" spans="1:34" s="215" customFormat="1" ht="19.2" customHeight="1">
      <c r="A97" s="633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2563.6000000000004</v>
      </c>
      <c r="H97" s="210">
        <f t="shared" si="65"/>
        <v>74634.470948012226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1292.5714285714291</v>
      </c>
      <c r="O97" s="47">
        <f t="shared" si="67"/>
        <v>71.809523809523839</v>
      </c>
      <c r="P97" s="48">
        <f t="shared" si="68"/>
        <v>-2</v>
      </c>
      <c r="Q97" s="49">
        <f t="shared" si="64"/>
        <v>-3.1904761904761614</v>
      </c>
      <c r="R97" s="424">
        <f t="shared" si="69"/>
        <v>0.9574603174603179</v>
      </c>
      <c r="S97" s="602"/>
      <c r="T97" s="211">
        <v>0.42499999999999999</v>
      </c>
      <c r="U97" s="211">
        <v>0.50763888888888886</v>
      </c>
      <c r="V97" s="212">
        <v>24</v>
      </c>
      <c r="W97" s="90">
        <f t="shared" si="70"/>
        <v>118.99999999999997</v>
      </c>
      <c r="X97" s="53">
        <v>0.41388888888888892</v>
      </c>
      <c r="Y97" s="53">
        <v>0.42499999999999999</v>
      </c>
      <c r="Z97" s="54"/>
      <c r="AA97" s="54"/>
      <c r="AB97" s="588"/>
      <c r="AC97" s="588"/>
      <c r="AD97" s="212"/>
      <c r="AE97" s="212"/>
      <c r="AF97" s="213">
        <f t="shared" si="61"/>
        <v>-207.42857142857088</v>
      </c>
      <c r="AG97" s="214">
        <f t="shared" si="62"/>
        <v>0.8617142857142861</v>
      </c>
      <c r="AH97" s="611"/>
    </row>
    <row r="98" spans="1:34" s="218" customFormat="1" ht="19.2" customHeight="1">
      <c r="A98" s="633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466</v>
      </c>
      <c r="H98" s="210">
        <f t="shared" si="65"/>
        <v>36045.1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1118.3999999999969</v>
      </c>
      <c r="O98" s="47">
        <f t="shared" si="67"/>
        <v>62.133333333333162</v>
      </c>
      <c r="P98" s="48">
        <f t="shared" si="68"/>
        <v>-1</v>
      </c>
      <c r="Q98" s="49">
        <f t="shared" si="64"/>
        <v>-13.656140350877358</v>
      </c>
      <c r="R98" s="424">
        <f t="shared" si="69"/>
        <v>0.81981481481481266</v>
      </c>
      <c r="S98" s="602"/>
      <c r="T98" s="89">
        <v>0.54791666666666661</v>
      </c>
      <c r="U98" s="89">
        <v>0.56527777777777777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-321.60000000000309</v>
      </c>
      <c r="AG98" s="421">
        <f t="shared" si="62"/>
        <v>0.77666666666666451</v>
      </c>
      <c r="AH98" s="611"/>
    </row>
    <row r="99" spans="1:34" ht="19.2" customHeight="1">
      <c r="A99" s="633"/>
      <c r="B99" s="422" t="s">
        <v>128</v>
      </c>
      <c r="C99" s="81"/>
      <c r="D99" s="82" t="s">
        <v>58</v>
      </c>
      <c r="E99" s="83"/>
      <c r="F99" s="366">
        <v>77.34</v>
      </c>
      <c r="G99" s="57">
        <v>1006</v>
      </c>
      <c r="H99" s="210">
        <f t="shared" si="65"/>
        <v>77804.040000000008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1257.5000000000005</v>
      </c>
      <c r="O99" s="47">
        <f t="shared" si="67"/>
        <v>69.861111111111143</v>
      </c>
      <c r="P99" s="48">
        <f t="shared" si="68"/>
        <v>0</v>
      </c>
      <c r="Q99" s="49">
        <f t="shared" si="64"/>
        <v>-10.138888888888857</v>
      </c>
      <c r="R99" s="424">
        <f t="shared" si="69"/>
        <v>0.87326388888888928</v>
      </c>
      <c r="S99" s="602"/>
      <c r="T99" s="89">
        <v>0.56944444444444442</v>
      </c>
      <c r="U99" s="89">
        <v>0.60277777777777775</v>
      </c>
      <c r="V99" s="420">
        <v>6</v>
      </c>
      <c r="W99" s="90">
        <f t="shared" si="70"/>
        <v>47.999999999999986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-182.49999999999955</v>
      </c>
      <c r="AG99" s="214">
        <f t="shared" si="62"/>
        <v>0.87326388888888917</v>
      </c>
      <c r="AH99" s="611"/>
    </row>
    <row r="100" spans="1:34" s="218" customFormat="1" ht="19.2" customHeight="1">
      <c r="A100" s="633"/>
      <c r="B100" s="422" t="s">
        <v>128</v>
      </c>
      <c r="C100" s="55"/>
      <c r="D100" s="42" t="s">
        <v>57</v>
      </c>
      <c r="E100" s="83"/>
      <c r="F100" s="366">
        <v>71.55</v>
      </c>
      <c r="G100" s="57">
        <v>848</v>
      </c>
      <c r="H100" s="210">
        <f t="shared" si="65"/>
        <v>60674.399999999994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1240.9756097560971</v>
      </c>
      <c r="O100" s="47">
        <f t="shared" si="67"/>
        <v>68.94308943089429</v>
      </c>
      <c r="P100" s="48">
        <f t="shared" si="68"/>
        <v>0</v>
      </c>
      <c r="Q100" s="49">
        <f t="shared" si="64"/>
        <v>-8.0013550135501532</v>
      </c>
      <c r="R100" s="424">
        <f t="shared" si="69"/>
        <v>0.89601127058201968</v>
      </c>
      <c r="S100" s="602"/>
      <c r="T100" s="211">
        <v>0.60763888888888884</v>
      </c>
      <c r="U100" s="211">
        <v>0.63611111111111107</v>
      </c>
      <c r="V100" s="212">
        <v>7</v>
      </c>
      <c r="W100" s="90">
        <f t="shared" si="70"/>
        <v>41.000000000000014</v>
      </c>
      <c r="X100" s="219"/>
      <c r="Y100" s="219"/>
      <c r="Z100" s="217"/>
      <c r="AA100" s="217"/>
      <c r="AB100" s="588"/>
      <c r="AC100" s="588"/>
      <c r="AD100" s="420">
        <v>1</v>
      </c>
      <c r="AE100" s="420"/>
      <c r="AF100" s="54">
        <f t="shared" si="61"/>
        <v>-144.02439024390287</v>
      </c>
      <c r="AG100" s="421">
        <f t="shared" si="62"/>
        <v>0.89601127058201957</v>
      </c>
      <c r="AH100" s="611"/>
    </row>
    <row r="101" spans="1:34" s="218" customFormat="1" ht="19.2" customHeight="1">
      <c r="A101" s="633"/>
      <c r="B101" s="422" t="s">
        <v>128</v>
      </c>
      <c r="C101" s="55"/>
      <c r="D101" s="82" t="s">
        <v>56</v>
      </c>
      <c r="E101" s="83"/>
      <c r="F101" s="366">
        <v>59.34</v>
      </c>
      <c r="G101" s="57">
        <v>740</v>
      </c>
      <c r="H101" s="210">
        <f t="shared" si="65"/>
        <v>43911.600000000006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1268.5714285714273</v>
      </c>
      <c r="O101" s="47">
        <f t="shared" si="67"/>
        <v>74.621848739495718</v>
      </c>
      <c r="P101" s="48">
        <f t="shared" si="68"/>
        <v>0</v>
      </c>
      <c r="Q101" s="49">
        <f t="shared" si="64"/>
        <v>-10.084033613445456</v>
      </c>
      <c r="R101" s="424">
        <f t="shared" si="69"/>
        <v>0.88095238095238004</v>
      </c>
      <c r="S101" s="602"/>
      <c r="T101" s="211">
        <v>0.65208333333333335</v>
      </c>
      <c r="U101" s="89">
        <v>0.67638888888888893</v>
      </c>
      <c r="V101" s="212">
        <v>23</v>
      </c>
      <c r="W101" s="90">
        <f t="shared" si="70"/>
        <v>35.000000000000036</v>
      </c>
      <c r="X101" s="220">
        <v>0.63958333333333328</v>
      </c>
      <c r="Y101" s="220">
        <v>0.65069444444444446</v>
      </c>
      <c r="Z101" s="217"/>
      <c r="AA101" s="217"/>
      <c r="AB101" s="588"/>
      <c r="AC101" s="588"/>
      <c r="AD101" s="420"/>
      <c r="AE101" s="420"/>
      <c r="AF101" s="213">
        <f t="shared" si="61"/>
        <v>-171.4285714285727</v>
      </c>
      <c r="AG101" s="214">
        <f t="shared" si="62"/>
        <v>0.88095238095238004</v>
      </c>
      <c r="AH101" s="611"/>
    </row>
    <row r="102" spans="1:34" s="218" customFormat="1" ht="19.2" customHeight="1">
      <c r="A102" s="633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919</v>
      </c>
      <c r="H102" s="210">
        <f t="shared" si="65"/>
        <v>47558.25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1253.1818181818182</v>
      </c>
      <c r="O102" s="47">
        <f t="shared" si="67"/>
        <v>59.675324675324681</v>
      </c>
      <c r="P102" s="48">
        <f t="shared" si="68"/>
        <v>0</v>
      </c>
      <c r="Q102" s="49">
        <f t="shared" si="64"/>
        <v>-11.753246753246749</v>
      </c>
      <c r="R102" s="424">
        <f t="shared" si="69"/>
        <v>0.83545454545454556</v>
      </c>
      <c r="S102" s="602"/>
      <c r="T102" s="211">
        <v>0.68125000000000002</v>
      </c>
      <c r="U102" s="211">
        <v>0.71180555555555558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-246.81818181818176</v>
      </c>
      <c r="AG102" s="421">
        <f t="shared" si="62"/>
        <v>0.83545454545454545</v>
      </c>
      <c r="AH102" s="611"/>
    </row>
    <row r="103" spans="1:34" s="218" customFormat="1" ht="19.2" customHeight="1">
      <c r="A103" s="633"/>
      <c r="B103" s="422" t="s">
        <v>128</v>
      </c>
      <c r="C103" s="221"/>
      <c r="D103" s="82" t="s">
        <v>71</v>
      </c>
      <c r="E103" s="83"/>
      <c r="F103" s="366">
        <v>47.65</v>
      </c>
      <c r="G103" s="57">
        <v>746.88</v>
      </c>
      <c r="H103" s="210">
        <f t="shared" si="65"/>
        <v>35588.832000000002</v>
      </c>
      <c r="I103" s="222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1244.799999999999</v>
      </c>
      <c r="O103" s="47">
        <f t="shared" si="67"/>
        <v>69.155555555555509</v>
      </c>
      <c r="P103" s="48">
        <f t="shared" si="68"/>
        <v>0</v>
      </c>
      <c r="Q103" s="49">
        <f t="shared" si="64"/>
        <v>-10.844444444444491</v>
      </c>
      <c r="R103" s="424">
        <f t="shared" si="69"/>
        <v>0.8644444444444439</v>
      </c>
      <c r="S103" s="602"/>
      <c r="T103" s="211">
        <v>0.71736111111111112</v>
      </c>
      <c r="U103" s="211">
        <v>0.74236111111111114</v>
      </c>
      <c r="V103" s="212">
        <v>8</v>
      </c>
      <c r="W103" s="90">
        <f t="shared" si="70"/>
        <v>36.000000000000028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-195.20000000000095</v>
      </c>
      <c r="AG103" s="421">
        <f t="shared" si="62"/>
        <v>0.86444444444444379</v>
      </c>
      <c r="AH103" s="611"/>
    </row>
    <row r="104" spans="1:34" s="218" customFormat="1" ht="19.2" customHeight="1">
      <c r="A104" s="633"/>
      <c r="B104" s="422" t="s">
        <v>130</v>
      </c>
      <c r="C104" s="223"/>
      <c r="D104" s="82" t="s">
        <v>201</v>
      </c>
      <c r="E104" s="83"/>
      <c r="F104" s="366">
        <v>26.5</v>
      </c>
      <c r="G104" s="209">
        <v>1176.6999999999998</v>
      </c>
      <c r="H104" s="210">
        <f t="shared" si="65"/>
        <v>31182.549999999996</v>
      </c>
      <c r="I104" s="221">
        <v>1</v>
      </c>
      <c r="J104" s="46">
        <v>12</v>
      </c>
      <c r="K104" s="44">
        <v>2000</v>
      </c>
      <c r="L104" s="47">
        <v>166.66666666666666</v>
      </c>
      <c r="M104" s="87">
        <v>12</v>
      </c>
      <c r="N104" s="44">
        <f t="shared" si="66"/>
        <v>1502.1702127659573</v>
      </c>
      <c r="O104" s="47">
        <f t="shared" si="67"/>
        <v>125.18085106382978</v>
      </c>
      <c r="P104" s="48">
        <f t="shared" si="68"/>
        <v>0</v>
      </c>
      <c r="Q104" s="49">
        <f t="shared" si="64"/>
        <v>-41.48581560283688</v>
      </c>
      <c r="R104" s="424">
        <f t="shared" si="69"/>
        <v>0.75108510638297876</v>
      </c>
      <c r="S104" s="603"/>
      <c r="T104" s="211">
        <v>0.74722222222222223</v>
      </c>
      <c r="U104" s="211">
        <v>0.77986111111111112</v>
      </c>
      <c r="V104" s="212">
        <v>7</v>
      </c>
      <c r="W104" s="90">
        <f t="shared" si="70"/>
        <v>46.999999999999993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-497.82978723404267</v>
      </c>
      <c r="AG104" s="214">
        <f t="shared" si="62"/>
        <v>0.75108510638297865</v>
      </c>
      <c r="AH104" s="611"/>
    </row>
    <row r="105" spans="1:34" s="218" customFormat="1" ht="19.2" customHeight="1">
      <c r="A105" s="633"/>
      <c r="B105" s="422" t="s">
        <v>130</v>
      </c>
      <c r="C105" s="223"/>
      <c r="D105" s="82" t="s">
        <v>65</v>
      </c>
      <c r="E105" s="83"/>
      <c r="F105" s="366">
        <v>29.113149847094796</v>
      </c>
      <c r="G105" s="209">
        <v>1206.4000000000001</v>
      </c>
      <c r="H105" s="210">
        <f t="shared" si="65"/>
        <v>35122.103975535167</v>
      </c>
      <c r="I105" s="221">
        <v>1</v>
      </c>
      <c r="J105" s="46">
        <v>20</v>
      </c>
      <c r="K105" s="44">
        <v>1500</v>
      </c>
      <c r="L105" s="47">
        <v>75</v>
      </c>
      <c r="M105" s="87">
        <v>18</v>
      </c>
      <c r="N105" s="44">
        <f t="shared" si="66"/>
        <v>1269.8947368421063</v>
      </c>
      <c r="O105" s="47">
        <f t="shared" si="67"/>
        <v>70.54970760233924</v>
      </c>
      <c r="P105" s="48">
        <f t="shared" si="68"/>
        <v>-2</v>
      </c>
      <c r="Q105" s="49">
        <f t="shared" si="64"/>
        <v>-4.4502923976607605</v>
      </c>
      <c r="R105" s="424">
        <f t="shared" si="69"/>
        <v>0.94066276803118987</v>
      </c>
      <c r="S105" s="603"/>
      <c r="T105" s="211">
        <v>0.78402777777777777</v>
      </c>
      <c r="U105" s="211">
        <v>0.82361111111111107</v>
      </c>
      <c r="V105" s="212">
        <v>6</v>
      </c>
      <c r="W105" s="90">
        <f t="shared" si="70"/>
        <v>56.999999999999957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-230.10526315789366</v>
      </c>
      <c r="AG105" s="421">
        <f t="shared" si="62"/>
        <v>0.8465964912280709</v>
      </c>
      <c r="AH105" s="611"/>
    </row>
    <row r="106" spans="1:34" s="218" customFormat="1" ht="19.2" customHeight="1">
      <c r="A106" s="633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2" customHeight="1">
      <c r="A107" s="633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2" customHeight="1">
      <c r="A108" s="633"/>
      <c r="B108" s="110">
        <v>0</v>
      </c>
      <c r="C108" s="100" t="s">
        <v>401</v>
      </c>
      <c r="D108" s="617" t="s">
        <v>376</v>
      </c>
      <c r="E108" s="617"/>
      <c r="F108" s="367"/>
      <c r="G108" s="101"/>
      <c r="H108" s="102"/>
      <c r="I108" s="103"/>
      <c r="J108" s="101">
        <v>17.899999999999999</v>
      </c>
      <c r="K108" s="101">
        <v>1508.5</v>
      </c>
      <c r="L108" s="104">
        <v>87.55350385768341</v>
      </c>
      <c r="M108" s="101">
        <f t="shared" ref="M108:O108" si="71">AVERAGE(M96:M107)</f>
        <v>17.399999999999999</v>
      </c>
      <c r="N108" s="101">
        <f t="shared" si="71"/>
        <v>1258.5287456911053</v>
      </c>
      <c r="O108" s="104">
        <f t="shared" si="71"/>
        <v>74.300673421029629</v>
      </c>
      <c r="P108" s="54">
        <f t="shared" ref="P108:P117" si="72">M108-J108</f>
        <v>-0.5</v>
      </c>
      <c r="Q108" s="88">
        <f t="shared" ref="Q108:Q117" si="73">O108-L108</f>
        <v>-13.252830436653781</v>
      </c>
      <c r="R108" s="105">
        <f t="shared" ref="R108:R117" si="74">O108/L108</f>
        <v>0.84863163833858657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2</v>
      </c>
      <c r="AE108" s="107">
        <f>SUM(AE96:AE107)</f>
        <v>2</v>
      </c>
      <c r="AF108" s="54">
        <f t="shared" si="61"/>
        <v>-249.97125430889469</v>
      </c>
      <c r="AG108" s="421">
        <f t="shared" si="62"/>
        <v>0.83429151189334128</v>
      </c>
      <c r="AH108" s="611"/>
    </row>
    <row r="109" spans="1:34" ht="19.2" customHeight="1">
      <c r="A109" s="634" t="s">
        <v>403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961</v>
      </c>
      <c r="H109" s="45">
        <f t="shared" ref="H109:H119" si="75">F109*G109</f>
        <v>54229.23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1310.4545454545455</v>
      </c>
      <c r="O109" s="47">
        <f t="shared" ref="O109:O117" si="77">N109/M109</f>
        <v>72.803030303030312</v>
      </c>
      <c r="P109" s="48">
        <f t="shared" si="72"/>
        <v>0</v>
      </c>
      <c r="Q109" s="49">
        <f t="shared" si="73"/>
        <v>-10.530303030303017</v>
      </c>
      <c r="R109" s="424">
        <f t="shared" si="74"/>
        <v>0.87363636363636377</v>
      </c>
      <c r="S109" s="637">
        <f>R121</f>
        <v>0.89678192542255886</v>
      </c>
      <c r="T109" s="226">
        <v>0.5</v>
      </c>
      <c r="U109" s="226">
        <v>0.53055555555555556</v>
      </c>
      <c r="V109" s="227">
        <v>5</v>
      </c>
      <c r="W109" s="433">
        <f t="shared" si="70"/>
        <v>44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-189.5454545454545</v>
      </c>
      <c r="AG109" s="125">
        <f t="shared" si="62"/>
        <v>0.87363636363636366</v>
      </c>
      <c r="AH109" s="611">
        <f>AG121</f>
        <v>0.89208354212189567</v>
      </c>
    </row>
    <row r="110" spans="1:34" ht="19.2" customHeight="1">
      <c r="A110" s="635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1490</v>
      </c>
      <c r="H110" s="45">
        <f t="shared" si="75"/>
        <v>88714.6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1277.1428571428557</v>
      </c>
      <c r="O110" s="47">
        <f t="shared" si="77"/>
        <v>70.952380952380878</v>
      </c>
      <c r="P110" s="48">
        <f t="shared" si="72"/>
        <v>0</v>
      </c>
      <c r="Q110" s="49">
        <f t="shared" si="73"/>
        <v>-5.9920634920635649</v>
      </c>
      <c r="R110" s="424">
        <f t="shared" si="74"/>
        <v>0.92212480660134</v>
      </c>
      <c r="S110" s="638"/>
      <c r="T110" s="226">
        <v>0.53541666666666665</v>
      </c>
      <c r="U110" s="226">
        <v>0.58402777777777781</v>
      </c>
      <c r="V110" s="227">
        <v>7</v>
      </c>
      <c r="W110" s="433">
        <f t="shared" si="70"/>
        <v>70.000000000000071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-107.85714285714425</v>
      </c>
      <c r="AG110" s="125">
        <f t="shared" si="62"/>
        <v>0.92212480660133989</v>
      </c>
      <c r="AH110" s="611"/>
    </row>
    <row r="111" spans="1:34" ht="19.2" customHeight="1">
      <c r="A111" s="635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1619</v>
      </c>
      <c r="H111" s="45">
        <f t="shared" si="75"/>
        <v>82034.73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1387.7142857142844</v>
      </c>
      <c r="O111" s="47">
        <f t="shared" si="77"/>
        <v>77.095238095238017</v>
      </c>
      <c r="P111" s="48">
        <f t="shared" si="72"/>
        <v>0</v>
      </c>
      <c r="Q111" s="49">
        <f t="shared" si="73"/>
        <v>-6.2380952380953119</v>
      </c>
      <c r="R111" s="424">
        <f t="shared" si="74"/>
        <v>0.92514285714285627</v>
      </c>
      <c r="S111" s="638"/>
      <c r="T111" s="226">
        <v>0.60000000000000009</v>
      </c>
      <c r="U111" s="226">
        <v>0.64861111111111125</v>
      </c>
      <c r="V111" s="227">
        <v>23</v>
      </c>
      <c r="W111" s="433">
        <f t="shared" si="70"/>
        <v>70.000000000000071</v>
      </c>
      <c r="X111" s="53">
        <v>0.58888888888888891</v>
      </c>
      <c r="Y111" s="53">
        <v>0.59861111111111109</v>
      </c>
      <c r="Z111" s="54"/>
      <c r="AA111" s="54"/>
      <c r="AB111" s="588"/>
      <c r="AC111" s="588"/>
      <c r="AD111" s="420">
        <v>1</v>
      </c>
      <c r="AE111" s="420"/>
      <c r="AF111" s="48">
        <f t="shared" si="61"/>
        <v>-112.28571428571558</v>
      </c>
      <c r="AG111" s="125">
        <f t="shared" si="62"/>
        <v>0.92514285714285627</v>
      </c>
      <c r="AH111" s="611"/>
    </row>
    <row r="112" spans="1:34" ht="19.2" customHeight="1">
      <c r="A112" s="635"/>
      <c r="B112" s="422" t="s">
        <v>130</v>
      </c>
      <c r="C112" s="175"/>
      <c r="D112" s="176" t="s">
        <v>387</v>
      </c>
      <c r="E112" s="83"/>
      <c r="F112" s="355">
        <v>28.47</v>
      </c>
      <c r="G112" s="57">
        <v>2369.75</v>
      </c>
      <c r="H112" s="45">
        <f t="shared" si="75"/>
        <v>67466.782500000001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1450.8673469387761</v>
      </c>
      <c r="O112" s="47">
        <f t="shared" si="77"/>
        <v>120.90561224489801</v>
      </c>
      <c r="P112" s="48">
        <f t="shared" si="72"/>
        <v>0</v>
      </c>
      <c r="Q112" s="49">
        <f t="shared" si="73"/>
        <v>-4.0943877551019909</v>
      </c>
      <c r="R112" s="424">
        <f t="shared" si="74"/>
        <v>0.96724489795918411</v>
      </c>
      <c r="S112" s="638"/>
      <c r="T112" s="226">
        <v>0.65347222222222234</v>
      </c>
      <c r="U112" s="226">
        <v>0.72152777777777788</v>
      </c>
      <c r="V112" s="227">
        <v>7</v>
      </c>
      <c r="W112" s="433">
        <f t="shared" si="70"/>
        <v>97.999999999999972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-49.132653061223891</v>
      </c>
      <c r="AG112" s="125">
        <f t="shared" si="62"/>
        <v>0.96724489795918411</v>
      </c>
      <c r="AH112" s="611"/>
    </row>
    <row r="113" spans="1:34" s="218" customFormat="1" ht="19.2" customHeight="1">
      <c r="A113" s="635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1675</v>
      </c>
      <c r="H113" s="45">
        <f t="shared" si="75"/>
        <v>47854.75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1456.5217391304332</v>
      </c>
      <c r="O113" s="47">
        <f t="shared" si="77"/>
        <v>121.37681159420276</v>
      </c>
      <c r="P113" s="48">
        <f t="shared" si="72"/>
        <v>0</v>
      </c>
      <c r="Q113" s="49">
        <f t="shared" si="73"/>
        <v>-3.6231884057972366</v>
      </c>
      <c r="R113" s="424">
        <f t="shared" si="74"/>
        <v>0.97101449275362206</v>
      </c>
      <c r="S113" s="638"/>
      <c r="T113" s="226">
        <v>0.76180555555555562</v>
      </c>
      <c r="U113" s="226">
        <v>0.80972222222222234</v>
      </c>
      <c r="V113" s="227">
        <v>5</v>
      </c>
      <c r="W113" s="433">
        <f t="shared" si="70"/>
        <v>69.000000000000071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-43.478260869566839</v>
      </c>
      <c r="AG113" s="125">
        <f t="shared" si="62"/>
        <v>0.97101449275362206</v>
      </c>
      <c r="AH113" s="611"/>
    </row>
    <row r="114" spans="1:34" s="218" customFormat="1" ht="19.2" customHeight="1">
      <c r="A114" s="635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522</v>
      </c>
      <c r="H114" s="45">
        <f t="shared" si="75"/>
        <v>10659.240000000002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1204.6153846153813</v>
      </c>
      <c r="O114" s="47">
        <f t="shared" si="77"/>
        <v>100.38461538461512</v>
      </c>
      <c r="P114" s="48">
        <f t="shared" si="72"/>
        <v>0</v>
      </c>
      <c r="Q114" s="49">
        <f t="shared" si="73"/>
        <v>-24.615384615384883</v>
      </c>
      <c r="R114" s="424">
        <f t="shared" si="74"/>
        <v>0.80307692307692091</v>
      </c>
      <c r="S114" s="638"/>
      <c r="T114" s="226">
        <v>0.81319444444444455</v>
      </c>
      <c r="U114" s="226">
        <v>0.83125000000000016</v>
      </c>
      <c r="V114" s="227">
        <v>5</v>
      </c>
      <c r="W114" s="433">
        <f t="shared" si="70"/>
        <v>26.000000000000068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-295.38461538461866</v>
      </c>
      <c r="AG114" s="125">
        <f t="shared" si="62"/>
        <v>0.80307692307692091</v>
      </c>
      <c r="AH114" s="611"/>
    </row>
    <row r="115" spans="1:34" s="218" customFormat="1" ht="19.2" customHeight="1">
      <c r="A115" s="635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1169</v>
      </c>
      <c r="H115" s="45">
        <f t="shared" si="75"/>
        <v>52581.619999999995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1252.5000000000009</v>
      </c>
      <c r="O115" s="47">
        <f t="shared" si="77"/>
        <v>65.921052631579002</v>
      </c>
      <c r="P115" s="48">
        <f t="shared" si="72"/>
        <v>0</v>
      </c>
      <c r="Q115" s="49">
        <f t="shared" si="73"/>
        <v>-13.026315789473628</v>
      </c>
      <c r="R115" s="424">
        <f t="shared" si="74"/>
        <v>0.83500000000000074</v>
      </c>
      <c r="S115" s="638"/>
      <c r="T115" s="226">
        <v>0.83472222222222237</v>
      </c>
      <c r="U115" s="226">
        <v>0.87361111111111123</v>
      </c>
      <c r="V115" s="227">
        <v>5</v>
      </c>
      <c r="W115" s="433">
        <f t="shared" si="70"/>
        <v>55.999999999999957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-247.49999999999909</v>
      </c>
      <c r="AG115" s="125">
        <f t="shared" si="62"/>
        <v>0.83500000000000063</v>
      </c>
      <c r="AH115" s="611"/>
    </row>
    <row r="116" spans="1:34" s="218" customFormat="1" ht="19.2" customHeight="1">
      <c r="A116" s="635"/>
      <c r="B116" s="422" t="s">
        <v>132</v>
      </c>
      <c r="C116" s="55"/>
      <c r="D116" s="82" t="s">
        <v>75</v>
      </c>
      <c r="E116" s="83"/>
      <c r="F116" s="355">
        <v>53.68</v>
      </c>
      <c r="G116" s="229">
        <v>947</v>
      </c>
      <c r="H116" s="45">
        <f t="shared" si="75"/>
        <v>50834.96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1208.936170212766</v>
      </c>
      <c r="O116" s="47">
        <f t="shared" si="77"/>
        <v>60.446808510638299</v>
      </c>
      <c r="P116" s="48">
        <f t="shared" si="72"/>
        <v>0</v>
      </c>
      <c r="Q116" s="49">
        <f t="shared" si="73"/>
        <v>-14.553191489361701</v>
      </c>
      <c r="R116" s="424">
        <f t="shared" si="74"/>
        <v>0.80595744680851067</v>
      </c>
      <c r="S116" s="638"/>
      <c r="T116" s="226">
        <v>0.88958333333333339</v>
      </c>
      <c r="U116" s="226">
        <v>0.92222222222222228</v>
      </c>
      <c r="V116" s="227">
        <v>23</v>
      </c>
      <c r="W116" s="433">
        <f t="shared" si="70"/>
        <v>46.999999999999993</v>
      </c>
      <c r="X116" s="216">
        <v>0.87777777777777777</v>
      </c>
      <c r="Y116" s="216">
        <v>0.88888888888888884</v>
      </c>
      <c r="Z116" s="217"/>
      <c r="AA116" s="217"/>
      <c r="AB116" s="588"/>
      <c r="AC116" s="588"/>
      <c r="AD116" s="221"/>
      <c r="AE116" s="221"/>
      <c r="AF116" s="48">
        <f t="shared" si="61"/>
        <v>-291.063829787234</v>
      </c>
      <c r="AG116" s="125">
        <f t="shared" si="62"/>
        <v>0.80595744680851067</v>
      </c>
      <c r="AH116" s="611"/>
    </row>
    <row r="117" spans="1:34" s="218" customFormat="1" ht="19.2" customHeight="1">
      <c r="A117" s="635"/>
      <c r="B117" s="422" t="s">
        <v>132</v>
      </c>
      <c r="C117" s="55"/>
      <c r="D117" s="82" t="s">
        <v>81</v>
      </c>
      <c r="E117" s="83"/>
      <c r="F117" s="355">
        <v>55.56</v>
      </c>
      <c r="G117" s="229">
        <v>1026</v>
      </c>
      <c r="H117" s="45">
        <f t="shared" si="75"/>
        <v>57004.560000000005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1338.2608695652175</v>
      </c>
      <c r="O117" s="47">
        <f t="shared" si="77"/>
        <v>83.641304347826093</v>
      </c>
      <c r="P117" s="48">
        <f t="shared" si="72"/>
        <v>0</v>
      </c>
      <c r="Q117" s="49">
        <f t="shared" si="73"/>
        <v>-6.3586956521739069</v>
      </c>
      <c r="R117" s="424">
        <f t="shared" si="74"/>
        <v>0.92934782608695654</v>
      </c>
      <c r="S117" s="638"/>
      <c r="T117" s="226">
        <v>0.92708333333333337</v>
      </c>
      <c r="U117" s="226">
        <v>0.95902777777777781</v>
      </c>
      <c r="V117" s="227">
        <v>7</v>
      </c>
      <c r="W117" s="433">
        <f t="shared" si="70"/>
        <v>46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-101.73913043478251</v>
      </c>
      <c r="AG117" s="125">
        <f t="shared" si="62"/>
        <v>0.92934782608695654</v>
      </c>
      <c r="AH117" s="611"/>
    </row>
    <row r="118" spans="1:34" s="218" customFormat="1" ht="19.2" customHeight="1">
      <c r="A118" s="635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2" customHeight="1">
      <c r="A119" s="635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2" customHeight="1">
      <c r="A120" s="635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2" customHeight="1">
      <c r="A121" s="636"/>
      <c r="B121" s="121">
        <v>0</v>
      </c>
      <c r="C121" s="100" t="s">
        <v>405</v>
      </c>
      <c r="D121" s="232" t="s">
        <v>376</v>
      </c>
      <c r="E121" s="233"/>
      <c r="F121" s="364"/>
      <c r="G121" s="234"/>
      <c r="H121" s="235"/>
      <c r="I121" s="236"/>
      <c r="J121" s="202">
        <v>16.111111111111111</v>
      </c>
      <c r="K121" s="202">
        <v>1480.5555555555557</v>
      </c>
      <c r="L121" s="203">
        <v>95.839831059129295</v>
      </c>
      <c r="M121" s="202">
        <f t="shared" ref="M121:O121" si="78">AVERAGE(M109:M120)</f>
        <v>16.111111111111111</v>
      </c>
      <c r="N121" s="202">
        <f t="shared" si="78"/>
        <v>1320.7792443082512</v>
      </c>
      <c r="O121" s="203">
        <f t="shared" si="78"/>
        <v>85.94742822937873</v>
      </c>
      <c r="P121" s="48">
        <f t="shared" ref="P121:P130" si="79">M121-J121</f>
        <v>0</v>
      </c>
      <c r="Q121" s="49">
        <f t="shared" ref="Q121:Q130" si="80">O121-L121</f>
        <v>-9.8924028297505657</v>
      </c>
      <c r="R121" s="172">
        <f t="shared" ref="R121:R130" si="81">O121/L121</f>
        <v>0.89678192542255886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-159.77631124730442</v>
      </c>
      <c r="AG121" s="125">
        <f>N121/K121</f>
        <v>0.89208354212189567</v>
      </c>
      <c r="AH121" s="611"/>
    </row>
    <row r="122" spans="1:34" ht="19.2" customHeight="1">
      <c r="A122" s="639" t="s">
        <v>407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2167</v>
      </c>
      <c r="H122" s="45">
        <f t="shared" ref="H122:H132" si="82">F122*G122</f>
        <v>127137.89</v>
      </c>
      <c r="I122" s="422">
        <v>1</v>
      </c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1326.7346938775513</v>
      </c>
      <c r="O122" s="237">
        <f t="shared" ref="O122:O130" si="84">N122/M122</f>
        <v>69.828141783029011</v>
      </c>
      <c r="P122" s="108">
        <f t="shared" si="79"/>
        <v>0</v>
      </c>
      <c r="Q122" s="182">
        <f t="shared" si="80"/>
        <v>-5.9613319011815094</v>
      </c>
      <c r="R122" s="109">
        <f t="shared" si="81"/>
        <v>0.92134353741496622</v>
      </c>
      <c r="S122" s="602">
        <f>R134</f>
        <v>0.91233142200502226</v>
      </c>
      <c r="T122" s="50">
        <v>0.5</v>
      </c>
      <c r="U122" s="50">
        <v>0.56805555555555554</v>
      </c>
      <c r="V122" s="227">
        <v>5</v>
      </c>
      <c r="W122" s="433">
        <f t="shared" si="70"/>
        <v>97.999999999999972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-113.26530612244869</v>
      </c>
      <c r="AG122" s="424">
        <f t="shared" si="62"/>
        <v>0.92134353741496622</v>
      </c>
      <c r="AH122" s="616">
        <f>AG134</f>
        <v>0.91812595046714707</v>
      </c>
    </row>
    <row r="123" spans="1:34" ht="19.2" customHeight="1">
      <c r="A123" s="639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2067</v>
      </c>
      <c r="H123" s="45">
        <f t="shared" si="82"/>
        <v>123027.84000000001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1291.8750000000005</v>
      </c>
      <c r="O123" s="86">
        <f t="shared" si="84"/>
        <v>61.517857142857167</v>
      </c>
      <c r="P123" s="54">
        <f t="shared" si="79"/>
        <v>0</v>
      </c>
      <c r="Q123" s="88">
        <f t="shared" si="80"/>
        <v>-4.4345238095237818</v>
      </c>
      <c r="R123" s="421">
        <f t="shared" si="81"/>
        <v>0.93276173285198594</v>
      </c>
      <c r="S123" s="602"/>
      <c r="T123" s="50">
        <v>0.57291666666666663</v>
      </c>
      <c r="U123" s="50">
        <v>0.63958333333333328</v>
      </c>
      <c r="V123" s="227">
        <v>7</v>
      </c>
      <c r="W123" s="433">
        <f t="shared" si="70"/>
        <v>95.999999999999972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-93.124999999999545</v>
      </c>
      <c r="AG123" s="424">
        <f t="shared" si="62"/>
        <v>0.93276173285198594</v>
      </c>
      <c r="AH123" s="602"/>
    </row>
    <row r="124" spans="1:34" ht="19.2" customHeight="1">
      <c r="A124" s="639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1134.42</v>
      </c>
      <c r="H124" s="45">
        <f t="shared" si="82"/>
        <v>57481.061400000006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1418.0250000000005</v>
      </c>
      <c r="O124" s="237">
        <f t="shared" si="84"/>
        <v>78.779166666666697</v>
      </c>
      <c r="P124" s="108">
        <f t="shared" si="79"/>
        <v>0</v>
      </c>
      <c r="Q124" s="182">
        <f t="shared" si="80"/>
        <v>-4.5541666666666316</v>
      </c>
      <c r="R124" s="109">
        <f t="shared" si="81"/>
        <v>0.94535000000000047</v>
      </c>
      <c r="S124" s="640"/>
      <c r="T124" s="50">
        <v>0.65486111111111101</v>
      </c>
      <c r="U124" s="50">
        <v>0.68819444444444433</v>
      </c>
      <c r="V124" s="227">
        <v>22</v>
      </c>
      <c r="W124" s="433">
        <f t="shared" si="70"/>
        <v>47.999999999999986</v>
      </c>
      <c r="X124" s="188">
        <v>0.64444444444444449</v>
      </c>
      <c r="Y124" s="188">
        <v>0.65416666666666667</v>
      </c>
      <c r="Z124" s="54"/>
      <c r="AA124" s="54"/>
      <c r="AB124" s="588"/>
      <c r="AC124" s="588"/>
      <c r="AD124" s="420">
        <v>1</v>
      </c>
      <c r="AE124" s="420"/>
      <c r="AF124" s="108">
        <f t="shared" si="61"/>
        <v>-81.974999999999454</v>
      </c>
      <c r="AG124" s="109">
        <f t="shared" si="62"/>
        <v>0.94535000000000036</v>
      </c>
      <c r="AH124" s="602"/>
    </row>
    <row r="125" spans="1:34" ht="19.2" customHeight="1">
      <c r="A125" s="639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1373</v>
      </c>
      <c r="H125" s="45">
        <f t="shared" si="82"/>
        <v>77972.67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1420.3448275862079</v>
      </c>
      <c r="O125" s="237">
        <f t="shared" si="84"/>
        <v>78.908045977011554</v>
      </c>
      <c r="P125" s="108">
        <f t="shared" si="79"/>
        <v>0</v>
      </c>
      <c r="Q125" s="182">
        <f t="shared" si="80"/>
        <v>-11.980842911877332</v>
      </c>
      <c r="R125" s="109">
        <f t="shared" si="81"/>
        <v>0.86818143495489486</v>
      </c>
      <c r="S125" s="640"/>
      <c r="T125" s="50">
        <v>0.72847222222222208</v>
      </c>
      <c r="U125" s="50">
        <v>0.76874999999999982</v>
      </c>
      <c r="V125" s="227">
        <v>5</v>
      </c>
      <c r="W125" s="433">
        <f t="shared" si="70"/>
        <v>57.999999999999957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-215.65517241379212</v>
      </c>
      <c r="AG125" s="424">
        <f t="shared" si="62"/>
        <v>0.86818143495489475</v>
      </c>
      <c r="AH125" s="603"/>
    </row>
    <row r="126" spans="1:34" ht="19.2" customHeight="1">
      <c r="A126" s="639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1164</v>
      </c>
      <c r="H126" s="45">
        <f t="shared" si="82"/>
        <v>66196.679999999993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1396.8000000000004</v>
      </c>
      <c r="O126" s="86">
        <f t="shared" si="84"/>
        <v>77.600000000000023</v>
      </c>
      <c r="P126" s="54">
        <f t="shared" si="79"/>
        <v>0</v>
      </c>
      <c r="Q126" s="88">
        <f t="shared" si="80"/>
        <v>-13.288888888888863</v>
      </c>
      <c r="R126" s="421">
        <f t="shared" si="81"/>
        <v>0.85378973105134504</v>
      </c>
      <c r="S126" s="640"/>
      <c r="T126" s="50">
        <v>0.77361111111111092</v>
      </c>
      <c r="U126" s="50">
        <v>0.80833333333333313</v>
      </c>
      <c r="V126" s="227">
        <v>7</v>
      </c>
      <c r="W126" s="433">
        <f t="shared" si="70"/>
        <v>49.999999999999986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-239.19999999999959</v>
      </c>
      <c r="AG126" s="109">
        <f t="shared" si="62"/>
        <v>0.85378973105134504</v>
      </c>
      <c r="AH126" s="603"/>
    </row>
    <row r="127" spans="1:34" ht="19.2" customHeight="1">
      <c r="A127" s="639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1458</v>
      </c>
      <c r="H127" s="45">
        <f t="shared" si="82"/>
        <v>69400.800000000003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1325.4545454545469</v>
      </c>
      <c r="O127" s="86">
        <f t="shared" si="84"/>
        <v>69.760765550239313</v>
      </c>
      <c r="P127" s="54">
        <f t="shared" si="79"/>
        <v>0</v>
      </c>
      <c r="Q127" s="88">
        <f t="shared" si="80"/>
        <v>-6.0287081339712074</v>
      </c>
      <c r="R127" s="421">
        <f t="shared" si="81"/>
        <v>0.92045454545454652</v>
      </c>
      <c r="S127" s="640"/>
      <c r="T127" s="50">
        <v>0.81319444444444422</v>
      </c>
      <c r="U127" s="50">
        <v>0.8590277777777775</v>
      </c>
      <c r="V127" s="422">
        <v>7</v>
      </c>
      <c r="W127" s="433">
        <f t="shared" si="70"/>
        <v>65.999999999999929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-114.54545454545314</v>
      </c>
      <c r="AG127" s="109">
        <f t="shared" si="62"/>
        <v>0.92045454545454641</v>
      </c>
      <c r="AH127" s="603"/>
    </row>
    <row r="128" spans="1:34" ht="19.2" customHeight="1">
      <c r="A128" s="639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1402</v>
      </c>
      <c r="H128" s="45">
        <f t="shared" si="82"/>
        <v>71039.34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1356.7741935483884</v>
      </c>
      <c r="O128" s="86">
        <f t="shared" si="84"/>
        <v>75.376344086021575</v>
      </c>
      <c r="P128" s="54">
        <f t="shared" si="79"/>
        <v>0</v>
      </c>
      <c r="Q128" s="88">
        <f t="shared" si="80"/>
        <v>-7.9569892473117534</v>
      </c>
      <c r="R128" s="421">
        <f t="shared" si="81"/>
        <v>0.90451612903225898</v>
      </c>
      <c r="S128" s="640"/>
      <c r="T128" s="50">
        <v>0.87499999999999978</v>
      </c>
      <c r="U128" s="50">
        <v>0.91805555555555529</v>
      </c>
      <c r="V128" s="422">
        <v>23</v>
      </c>
      <c r="W128" s="433">
        <f t="shared" si="70"/>
        <v>61.999999999999943</v>
      </c>
      <c r="X128" s="64">
        <v>0.86388888888888893</v>
      </c>
      <c r="Y128" s="64">
        <v>0.87361111111111101</v>
      </c>
      <c r="Z128" s="54"/>
      <c r="AA128" s="54"/>
      <c r="AB128" s="588"/>
      <c r="AC128" s="588"/>
      <c r="AD128" s="420">
        <v>1</v>
      </c>
      <c r="AE128" s="420"/>
      <c r="AF128" s="48">
        <f t="shared" si="61"/>
        <v>-143.22580645161156</v>
      </c>
      <c r="AG128" s="424">
        <f t="shared" si="62"/>
        <v>0.90451612903225898</v>
      </c>
      <c r="AH128" s="603"/>
    </row>
    <row r="129" spans="1:34" ht="19.2" customHeight="1">
      <c r="A129" s="639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1605</v>
      </c>
      <c r="H129" s="45">
        <f t="shared" si="82"/>
        <v>93362.85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1395.6521739130419</v>
      </c>
      <c r="O129" s="86">
        <f t="shared" si="84"/>
        <v>87.228260869565119</v>
      </c>
      <c r="P129" s="54">
        <f t="shared" si="79"/>
        <v>0</v>
      </c>
      <c r="Q129" s="88">
        <f t="shared" si="80"/>
        <v>-2.7717391304348808</v>
      </c>
      <c r="R129" s="421">
        <f t="shared" si="81"/>
        <v>0.9692028985507235</v>
      </c>
      <c r="S129" s="640"/>
      <c r="T129" s="50">
        <v>0.92291666666666639</v>
      </c>
      <c r="U129" s="50">
        <v>0.9708333333333331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-44.347826086958094</v>
      </c>
      <c r="AG129" s="109">
        <f t="shared" si="62"/>
        <v>0.9692028985507235</v>
      </c>
      <c r="AH129" s="603"/>
    </row>
    <row r="130" spans="1:34" ht="19.2" customHeight="1">
      <c r="A130" s="639"/>
      <c r="B130" s="200" t="s">
        <v>132</v>
      </c>
      <c r="C130" s="157"/>
      <c r="D130" s="59" t="s">
        <v>208</v>
      </c>
      <c r="E130" s="60"/>
      <c r="F130" s="355">
        <v>56.43</v>
      </c>
      <c r="G130" s="57">
        <v>1826</v>
      </c>
      <c r="H130" s="45">
        <f t="shared" si="82"/>
        <v>103041.18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1386.8354430379768</v>
      </c>
      <c r="O130" s="86">
        <f t="shared" si="84"/>
        <v>81.57855547282216</v>
      </c>
      <c r="P130" s="54">
        <f t="shared" si="79"/>
        <v>1</v>
      </c>
      <c r="Q130" s="88">
        <f t="shared" si="80"/>
        <v>-8.4214445271778402</v>
      </c>
      <c r="R130" s="421">
        <f t="shared" si="81"/>
        <v>0.90642839414246845</v>
      </c>
      <c r="S130" s="640"/>
      <c r="T130" s="50">
        <v>0.9756944444444442</v>
      </c>
      <c r="U130" s="50">
        <v>1.0305555555555552</v>
      </c>
      <c r="V130" s="422">
        <v>7</v>
      </c>
      <c r="W130" s="433">
        <f t="shared" si="70"/>
        <v>78.999999999999886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-53.164556962023198</v>
      </c>
      <c r="AG130" s="109">
        <f t="shared" si="62"/>
        <v>0.96308016877637281</v>
      </c>
      <c r="AH130" s="603"/>
    </row>
    <row r="131" spans="1:34" ht="19.2" customHeight="1">
      <c r="A131" s="639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2" customHeight="1">
      <c r="A132" s="639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2" customHeight="1">
      <c r="A133" s="639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2" customHeight="1">
      <c r="A134" s="639"/>
      <c r="B134" s="168">
        <v>0</v>
      </c>
      <c r="C134" s="100" t="s">
        <v>409</v>
      </c>
      <c r="D134" s="617" t="s">
        <v>376</v>
      </c>
      <c r="E134" s="617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1368.7217641575237</v>
      </c>
      <c r="O134" s="243">
        <f t="shared" si="85"/>
        <v>75.619681949801404</v>
      </c>
      <c r="P134" s="51">
        <f t="shared" ref="P134:P143" si="86">M134-J134</f>
        <v>0.11111111111111072</v>
      </c>
      <c r="Q134" s="139">
        <f t="shared" ref="Q134:Q143" si="87">O134-L134</f>
        <v>-7.2665150241148666</v>
      </c>
      <c r="R134" s="244">
        <f t="shared" ref="R134:R143" si="88">O134/L134</f>
        <v>0.91233142200502226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2</v>
      </c>
      <c r="AE134" s="107">
        <f>SUM(AE122:AE133)</f>
        <v>0</v>
      </c>
      <c r="AF134" s="48">
        <f t="shared" si="61"/>
        <v>-122.05601362025413</v>
      </c>
      <c r="AG134" s="424">
        <f t="shared" si="62"/>
        <v>0.91812595046714707</v>
      </c>
      <c r="AH134" s="603"/>
    </row>
    <row r="135" spans="1:34" ht="19.2" customHeight="1">
      <c r="A135" s="641" t="s">
        <v>411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2358.4</v>
      </c>
      <c r="H135" s="245">
        <f t="shared" ref="H135:H146" si="89">F135*G135</f>
        <v>127565.85600000001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1387.2941176470583</v>
      </c>
      <c r="O135" s="115">
        <f t="shared" ref="O135:O143" si="91">N135/M135</f>
        <v>77.071895424836569</v>
      </c>
      <c r="P135" s="54">
        <f t="shared" si="86"/>
        <v>0</v>
      </c>
      <c r="Q135" s="88">
        <f t="shared" si="87"/>
        <v>-6.2614379084967595</v>
      </c>
      <c r="R135" s="421">
        <f t="shared" si="88"/>
        <v>0.9248627450980389</v>
      </c>
      <c r="S135" s="638">
        <f>R147</f>
        <v>0.90560587460695496</v>
      </c>
      <c r="T135" s="246">
        <v>0.45833333333333331</v>
      </c>
      <c r="U135" s="50">
        <v>0.52916666666666667</v>
      </c>
      <c r="V135" s="142">
        <v>5</v>
      </c>
      <c r="W135" s="247">
        <f t="shared" ref="W135:W147" si="92">(U135-T135)*24*60</f>
        <v>102.00000000000004</v>
      </c>
      <c r="X135" s="53"/>
      <c r="Y135" s="53"/>
      <c r="Z135" s="54"/>
      <c r="AA135" s="54"/>
      <c r="AB135" s="588"/>
      <c r="AC135" s="588"/>
      <c r="AD135" s="420">
        <v>1</v>
      </c>
      <c r="AE135" s="420"/>
      <c r="AF135" s="116">
        <f t="shared" si="61"/>
        <v>-112.70588235294167</v>
      </c>
      <c r="AG135" s="120">
        <f t="shared" si="62"/>
        <v>0.9248627450980389</v>
      </c>
      <c r="AH135" s="611">
        <f>AG147</f>
        <v>0.91109715475201025</v>
      </c>
    </row>
    <row r="136" spans="1:34" ht="19.2" customHeight="1">
      <c r="A136" s="64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1734</v>
      </c>
      <c r="H136" s="84">
        <f t="shared" si="89"/>
        <v>100112.49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1368.9473684210516</v>
      </c>
      <c r="O136" s="86">
        <f t="shared" si="91"/>
        <v>85.559210526315724</v>
      </c>
      <c r="P136" s="54">
        <f t="shared" si="86"/>
        <v>0</v>
      </c>
      <c r="Q136" s="88">
        <f t="shared" si="87"/>
        <v>-12.253289473684276</v>
      </c>
      <c r="R136" s="421">
        <f t="shared" si="88"/>
        <v>0.87472675298469749</v>
      </c>
      <c r="S136" s="638"/>
      <c r="T136" s="246">
        <v>0.54513888888888884</v>
      </c>
      <c r="U136" s="50">
        <v>0.59791666666666665</v>
      </c>
      <c r="V136" s="142">
        <v>23</v>
      </c>
      <c r="W136" s="247">
        <f t="shared" si="92"/>
        <v>76.000000000000057</v>
      </c>
      <c r="X136" s="53">
        <v>0.53333333333333333</v>
      </c>
      <c r="Y136" s="53">
        <v>0.5444444444444444</v>
      </c>
      <c r="Z136" s="54"/>
      <c r="AA136" s="54"/>
      <c r="AB136" s="588"/>
      <c r="AC136" s="588"/>
      <c r="AD136" s="420"/>
      <c r="AE136" s="420"/>
      <c r="AF136" s="48">
        <f t="shared" si="61"/>
        <v>-196.05263157894842</v>
      </c>
      <c r="AG136" s="125">
        <f t="shared" si="62"/>
        <v>0.87472675298469749</v>
      </c>
      <c r="AH136" s="611"/>
    </row>
    <row r="137" spans="1:34" ht="19.2" customHeight="1">
      <c r="A137" s="64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1667</v>
      </c>
      <c r="H137" s="84">
        <f t="shared" si="89"/>
        <v>88801.090000000011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1316.0526315789464</v>
      </c>
      <c r="O137" s="86">
        <f t="shared" si="91"/>
        <v>82.253289473684148</v>
      </c>
      <c r="P137" s="54">
        <f t="shared" si="86"/>
        <v>0</v>
      </c>
      <c r="Q137" s="88">
        <f t="shared" si="87"/>
        <v>-11.496710526315852</v>
      </c>
      <c r="R137" s="421">
        <f t="shared" si="88"/>
        <v>0.87736842105263091</v>
      </c>
      <c r="S137" s="638"/>
      <c r="T137" s="50">
        <v>0.60277777777777775</v>
      </c>
      <c r="U137" s="50">
        <v>0.65555555555555556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-183.94736842105362</v>
      </c>
      <c r="AG137" s="125">
        <f t="shared" si="62"/>
        <v>0.87736842105263091</v>
      </c>
      <c r="AH137" s="611"/>
    </row>
    <row r="138" spans="1:34" ht="19.2" customHeight="1">
      <c r="A138" s="64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1550</v>
      </c>
      <c r="H138" s="84">
        <f t="shared" si="89"/>
        <v>79019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1328.5714285714273</v>
      </c>
      <c r="O138" s="86">
        <f t="shared" si="91"/>
        <v>66.42857142857136</v>
      </c>
      <c r="P138" s="54">
        <f t="shared" si="86"/>
        <v>0</v>
      </c>
      <c r="Q138" s="88">
        <f t="shared" si="87"/>
        <v>-5.5714285714286405</v>
      </c>
      <c r="R138" s="426">
        <f t="shared" si="88"/>
        <v>0.92261904761904667</v>
      </c>
      <c r="S138" s="638"/>
      <c r="T138" s="50">
        <v>0.6958333333333333</v>
      </c>
      <c r="U138" s="50">
        <v>0.74444444444444446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588"/>
      <c r="AC138" s="588"/>
      <c r="AD138" s="420">
        <v>1</v>
      </c>
      <c r="AE138" s="420"/>
      <c r="AF138" s="48">
        <f t="shared" si="61"/>
        <v>-111.4285714285727</v>
      </c>
      <c r="AG138" s="125">
        <f t="shared" si="62"/>
        <v>0.92261904761904678</v>
      </c>
      <c r="AH138" s="611"/>
    </row>
    <row r="139" spans="1:34" ht="19.2" customHeight="1">
      <c r="A139" s="64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1006</v>
      </c>
      <c r="H139" s="84">
        <f t="shared" si="89"/>
        <v>50974.020000000004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1371.8181818181818</v>
      </c>
      <c r="O139" s="86">
        <f t="shared" si="91"/>
        <v>80.695187165775394</v>
      </c>
      <c r="P139" s="54">
        <f t="shared" si="86"/>
        <v>0</v>
      </c>
      <c r="Q139" s="88">
        <f t="shared" si="87"/>
        <v>-7.5401069518716639</v>
      </c>
      <c r="R139" s="421">
        <f t="shared" si="88"/>
        <v>0.91454545454545444</v>
      </c>
      <c r="S139" s="638"/>
      <c r="T139" s="50">
        <v>0.74930555555555556</v>
      </c>
      <c r="U139" s="50">
        <v>0.77986111111111112</v>
      </c>
      <c r="V139" s="250">
        <v>7</v>
      </c>
      <c r="W139" s="247">
        <f t="shared" si="92"/>
        <v>44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-128.18181818181824</v>
      </c>
      <c r="AG139" s="125">
        <f t="shared" si="62"/>
        <v>0.91454545454545455</v>
      </c>
      <c r="AH139" s="611"/>
    </row>
    <row r="140" spans="1:34" ht="19.2" customHeight="1">
      <c r="A140" s="64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1836</v>
      </c>
      <c r="H140" s="84">
        <f t="shared" si="89"/>
        <v>93489.12000000001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1327.22891566265</v>
      </c>
      <c r="O140" s="86">
        <f t="shared" si="91"/>
        <v>69.854153455928952</v>
      </c>
      <c r="P140" s="54">
        <f t="shared" si="86"/>
        <v>0</v>
      </c>
      <c r="Q140" s="88">
        <f t="shared" si="87"/>
        <v>-5.9353202282815687</v>
      </c>
      <c r="R140" s="421">
        <f t="shared" si="88"/>
        <v>0.9216867469879515</v>
      </c>
      <c r="S140" s="645"/>
      <c r="T140" s="63">
        <v>0.79513888888888884</v>
      </c>
      <c r="U140" s="252">
        <v>0.85277777777777775</v>
      </c>
      <c r="V140" s="253">
        <v>22</v>
      </c>
      <c r="W140" s="247">
        <f t="shared" si="92"/>
        <v>83.000000000000028</v>
      </c>
      <c r="X140" s="53">
        <v>0.78472222222222221</v>
      </c>
      <c r="Y140" s="53">
        <v>0.7944444444444444</v>
      </c>
      <c r="Z140" s="54"/>
      <c r="AA140" s="54"/>
      <c r="AB140" s="588"/>
      <c r="AC140" s="588"/>
      <c r="AD140" s="420"/>
      <c r="AE140" s="420"/>
      <c r="AF140" s="48">
        <f t="shared" si="61"/>
        <v>-112.77108433734998</v>
      </c>
      <c r="AG140" s="125">
        <f t="shared" si="62"/>
        <v>0.92168674698795139</v>
      </c>
      <c r="AH140" s="611"/>
    </row>
    <row r="141" spans="1:34" ht="19.2" customHeight="1">
      <c r="A141" s="64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963</v>
      </c>
      <c r="H141" s="84">
        <f t="shared" si="89"/>
        <v>50904.18</v>
      </c>
      <c r="I141" s="420"/>
      <c r="J141" s="46">
        <v>18</v>
      </c>
      <c r="K141" s="44">
        <v>1440</v>
      </c>
      <c r="L141" s="47">
        <v>80</v>
      </c>
      <c r="M141" s="228">
        <v>19</v>
      </c>
      <c r="N141" s="57">
        <f t="shared" si="90"/>
        <v>1313.1818181818182</v>
      </c>
      <c r="O141" s="86">
        <f t="shared" si="91"/>
        <v>69.114832535885171</v>
      </c>
      <c r="P141" s="54">
        <f t="shared" si="86"/>
        <v>1</v>
      </c>
      <c r="Q141" s="88">
        <f t="shared" si="87"/>
        <v>-10.885167464114829</v>
      </c>
      <c r="R141" s="421">
        <f t="shared" si="88"/>
        <v>0.86393540669856461</v>
      </c>
      <c r="S141" s="645"/>
      <c r="T141" s="63">
        <v>0.85763888888888884</v>
      </c>
      <c r="U141" s="252">
        <v>0.8881944444444444</v>
      </c>
      <c r="V141" s="55">
        <v>7</v>
      </c>
      <c r="W141" s="247">
        <f t="shared" si="92"/>
        <v>44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-126.81818181818176</v>
      </c>
      <c r="AG141" s="125">
        <f t="shared" si="62"/>
        <v>0.91193181818181823</v>
      </c>
      <c r="AH141" s="611"/>
    </row>
    <row r="142" spans="1:34" ht="19.2" customHeight="1">
      <c r="A142" s="64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915</v>
      </c>
      <c r="H142" s="84">
        <f t="shared" si="89"/>
        <v>46363.05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1339.024390243902</v>
      </c>
      <c r="O142" s="86">
        <f t="shared" si="91"/>
        <v>78.766140602582468</v>
      </c>
      <c r="P142" s="54">
        <f t="shared" si="86"/>
        <v>0</v>
      </c>
      <c r="Q142" s="88">
        <f t="shared" si="87"/>
        <v>-5.9397417503587064</v>
      </c>
      <c r="R142" s="421">
        <f t="shared" si="88"/>
        <v>0.92987804878048752</v>
      </c>
      <c r="S142" s="645"/>
      <c r="T142" s="63">
        <v>0.89236111111111105</v>
      </c>
      <c r="U142" s="252">
        <v>0.92083333333333328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-100.97560975609804</v>
      </c>
      <c r="AG142" s="125">
        <f t="shared" si="62"/>
        <v>0.92987804878048752</v>
      </c>
      <c r="AH142" s="611"/>
    </row>
    <row r="143" spans="1:34" ht="19.2" customHeight="1">
      <c r="A143" s="64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1178</v>
      </c>
      <c r="H143" s="84">
        <f t="shared" si="89"/>
        <v>59477.22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1333.5849056603781</v>
      </c>
      <c r="O143" s="86">
        <f t="shared" si="91"/>
        <v>95.256064690027003</v>
      </c>
      <c r="P143" s="54">
        <f t="shared" si="86"/>
        <v>0</v>
      </c>
      <c r="Q143" s="88">
        <f t="shared" si="87"/>
        <v>-7.6010781671158583</v>
      </c>
      <c r="R143" s="421">
        <f t="shared" si="88"/>
        <v>0.92610062893081802</v>
      </c>
      <c r="S143" s="645"/>
      <c r="T143" s="63">
        <v>0.92499999999999993</v>
      </c>
      <c r="U143" s="252">
        <v>0.96180555555555547</v>
      </c>
      <c r="V143" s="55">
        <v>6</v>
      </c>
      <c r="W143" s="247">
        <f t="shared" si="92"/>
        <v>52.999999999999972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-106.41509433962187</v>
      </c>
      <c r="AG143" s="125">
        <f t="shared" si="62"/>
        <v>0.92610062893081813</v>
      </c>
      <c r="AH143" s="611"/>
    </row>
    <row r="144" spans="1:34" ht="19.2" customHeight="1">
      <c r="A144" s="64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2" customHeight="1">
      <c r="A145" s="64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2" customHeight="1">
      <c r="A146" s="64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2" customHeight="1">
      <c r="A147" s="644"/>
      <c r="B147" s="257">
        <v>0</v>
      </c>
      <c r="C147" s="100" t="s">
        <v>413</v>
      </c>
      <c r="D147" s="617" t="s">
        <v>376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1342.8559730872685</v>
      </c>
      <c r="O147" s="243">
        <f t="shared" si="93"/>
        <v>78.333260589289637</v>
      </c>
      <c r="P147" s="51">
        <f t="shared" ref="P147:P150" si="94">M147-J147</f>
        <v>0.11111111111111072</v>
      </c>
      <c r="Q147" s="139">
        <f t="shared" ref="Q147:Q150" si="95">O147-L147</f>
        <v>-8.1649201157409266</v>
      </c>
      <c r="R147" s="258">
        <f t="shared" ref="R147:R150" si="96">O147/L147</f>
        <v>0.90560587460695496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2</v>
      </c>
      <c r="AE147" s="107">
        <f>SUM(AE135:AE146)</f>
        <v>0</v>
      </c>
      <c r="AF147" s="204">
        <f t="shared" si="61"/>
        <v>-131.03291580162045</v>
      </c>
      <c r="AG147" s="259">
        <f t="shared" si="62"/>
        <v>0.91109715475201025</v>
      </c>
      <c r="AH147" s="611"/>
    </row>
    <row r="148" spans="1:34" ht="19.2" customHeight="1">
      <c r="A148" s="648" t="s">
        <v>415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4739.5</v>
      </c>
      <c r="H148" s="84">
        <f t="shared" ref="H148:H172" si="97">F148*G148</f>
        <v>134933.565</v>
      </c>
      <c r="I148" s="260">
        <v>1</v>
      </c>
      <c r="J148" s="87">
        <v>12</v>
      </c>
      <c r="K148" s="57">
        <v>1500</v>
      </c>
      <c r="L148" s="86">
        <v>125</v>
      </c>
      <c r="M148" s="228">
        <v>14</v>
      </c>
      <c r="N148" s="44">
        <f t="shared" ref="N148:N150" si="98">G148/W148*60</f>
        <v>1512.6063829787229</v>
      </c>
      <c r="O148" s="47">
        <f t="shared" ref="O148:O150" si="99">N148/M148</f>
        <v>108.04331306990878</v>
      </c>
      <c r="P148" s="48">
        <f t="shared" si="94"/>
        <v>2</v>
      </c>
      <c r="Q148" s="49">
        <f t="shared" si="95"/>
        <v>-16.956686930091223</v>
      </c>
      <c r="R148" s="424">
        <f t="shared" si="96"/>
        <v>0.8643465045592702</v>
      </c>
      <c r="S148" s="649">
        <f>R160</f>
        <v>0.84391387032088994</v>
      </c>
      <c r="T148" s="246">
        <v>0.45833333333333331</v>
      </c>
      <c r="U148" s="50">
        <v>0.58888888888888891</v>
      </c>
      <c r="V148" s="422">
        <v>5</v>
      </c>
      <c r="W148" s="433">
        <f>(U148-T148)*24*60</f>
        <v>188.00000000000006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12.606382978722877</v>
      </c>
      <c r="AG148" s="125">
        <f t="shared" si="62"/>
        <v>1.0084042553191486</v>
      </c>
      <c r="AH148" s="611">
        <f>AG160</f>
        <v>0.89409658951609172</v>
      </c>
    </row>
    <row r="149" spans="1:34" ht="19.2" customHeight="1">
      <c r="A149" s="648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2707</v>
      </c>
      <c r="H149" s="84">
        <f t="shared" si="97"/>
        <v>99942.44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1561.73076923077</v>
      </c>
      <c r="O149" s="47">
        <f t="shared" si="99"/>
        <v>130.14423076923083</v>
      </c>
      <c r="P149" s="48">
        <f t="shared" si="94"/>
        <v>0</v>
      </c>
      <c r="Q149" s="49">
        <f t="shared" si="95"/>
        <v>-36.522435897435827</v>
      </c>
      <c r="R149" s="424">
        <f t="shared" si="96"/>
        <v>0.78086538461538502</v>
      </c>
      <c r="S149" s="650"/>
      <c r="T149" s="246">
        <v>0.60416666666666663</v>
      </c>
      <c r="U149" s="50">
        <v>0.67638888888888882</v>
      </c>
      <c r="V149" s="422">
        <v>22</v>
      </c>
      <c r="W149" s="433">
        <f t="shared" ref="W149:W159" si="100">(U149-T149)*24*60</f>
        <v>103.99999999999994</v>
      </c>
      <c r="X149" s="53">
        <v>0.59305555555555556</v>
      </c>
      <c r="Y149" s="53">
        <v>0.60277777777777775</v>
      </c>
      <c r="Z149" s="54"/>
      <c r="AA149" s="54"/>
      <c r="AB149" s="588"/>
      <c r="AC149" s="588"/>
      <c r="AD149" s="420"/>
      <c r="AE149" s="420"/>
      <c r="AF149" s="48">
        <f t="shared" si="61"/>
        <v>-438.26923076923003</v>
      </c>
      <c r="AG149" s="125">
        <f t="shared" si="62"/>
        <v>0.78086538461538502</v>
      </c>
      <c r="AH149" s="652"/>
    </row>
    <row r="150" spans="1:34" ht="19.2" customHeight="1">
      <c r="A150" s="648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984.5</v>
      </c>
      <c r="H150" s="84">
        <f t="shared" si="97"/>
        <v>50268.57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1342.5</v>
      </c>
      <c r="O150" s="47">
        <f t="shared" si="99"/>
        <v>83.90625</v>
      </c>
      <c r="P150" s="48">
        <f t="shared" si="94"/>
        <v>0</v>
      </c>
      <c r="Q150" s="49">
        <f t="shared" si="95"/>
        <v>-6.09375</v>
      </c>
      <c r="R150" s="424">
        <f t="shared" si="96"/>
        <v>0.93229166666666663</v>
      </c>
      <c r="S150" s="650"/>
      <c r="T150" s="246">
        <v>0.79166666666666663</v>
      </c>
      <c r="U150" s="50">
        <v>0.82222222222222219</v>
      </c>
      <c r="V150" s="422">
        <v>8</v>
      </c>
      <c r="W150" s="433">
        <f t="shared" si="100"/>
        <v>44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-97.5</v>
      </c>
      <c r="AG150" s="125">
        <f t="shared" si="62"/>
        <v>0.93229166666666663</v>
      </c>
      <c r="AH150" s="652"/>
    </row>
    <row r="151" spans="1:34" s="218" customFormat="1" ht="19.2" customHeight="1">
      <c r="A151" s="648"/>
      <c r="B151" s="420">
        <v>0</v>
      </c>
      <c r="C151" s="221"/>
      <c r="D151" s="59"/>
      <c r="E151" s="60"/>
      <c r="F151" s="362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650"/>
      <c r="T151" s="246"/>
      <c r="U151" s="50"/>
      <c r="V151" s="422"/>
      <c r="W151" s="433"/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0</v>
      </c>
      <c r="AG151" s="125" t="e">
        <f t="shared" si="62"/>
        <v>#DIV/0!</v>
      </c>
      <c r="AH151" s="652"/>
    </row>
    <row r="152" spans="1:34" s="218" customFormat="1" ht="19.2" customHeight="1">
      <c r="A152" s="648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650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0</v>
      </c>
      <c r="AG152" s="125" t="e">
        <f t="shared" si="62"/>
        <v>#DIV/0!</v>
      </c>
      <c r="AH152" s="652"/>
    </row>
    <row r="153" spans="1:34" s="218" customFormat="1" ht="19.2" customHeight="1">
      <c r="A153" s="648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2" customHeight="1">
      <c r="A154" s="648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2" customHeight="1">
      <c r="A155" s="648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2" customHeight="1">
      <c r="A156" s="648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2" customHeight="1">
      <c r="A157" s="648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2" customHeight="1">
      <c r="A158" s="648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2" customHeight="1">
      <c r="A159" s="648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2" customHeight="1">
      <c r="A160" s="648"/>
      <c r="B160" s="267">
        <v>0</v>
      </c>
      <c r="C160" s="268" t="s">
        <v>417</v>
      </c>
      <c r="D160" s="647" t="s">
        <v>376</v>
      </c>
      <c r="E160" s="608"/>
      <c r="F160" s="356"/>
      <c r="G160" s="202"/>
      <c r="H160" s="201"/>
      <c r="I160" s="72"/>
      <c r="J160" s="269">
        <v>13.333333333333334</v>
      </c>
      <c r="K160" s="269">
        <v>1646.6666666666667</v>
      </c>
      <c r="L160" s="270">
        <v>127.22222222222221</v>
      </c>
      <c r="M160" s="269">
        <f t="shared" ref="M160:O160" si="101">AVERAGE(M148:M159)</f>
        <v>14</v>
      </c>
      <c r="N160" s="269">
        <f t="shared" si="101"/>
        <v>1472.2790507364978</v>
      </c>
      <c r="O160" s="270">
        <f t="shared" si="101"/>
        <v>107.36459794637987</v>
      </c>
      <c r="P160" s="65">
        <f t="shared" ref="P160:P163" si="102">M160-J160</f>
        <v>0.66666666666666607</v>
      </c>
      <c r="Q160" s="74">
        <f t="shared" ref="Q160:Q163" si="103">O160-L160</f>
        <v>-19.85762427584234</v>
      </c>
      <c r="R160" s="271">
        <f>O160/L160</f>
        <v>0.84391387032088994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-174.38761593016898</v>
      </c>
      <c r="AG160" s="129">
        <f t="shared" si="62"/>
        <v>0.89409658951609172</v>
      </c>
      <c r="AH160" s="652"/>
    </row>
    <row r="161" spans="1:36" ht="19.2" customHeight="1">
      <c r="A161" s="610" t="s">
        <v>419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3608</v>
      </c>
      <c r="H161" s="84">
        <f t="shared" ref="H161:H170" si="104">F161*G161</f>
        <v>123501.83999999998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2186.6666666666661</v>
      </c>
      <c r="O161" s="86">
        <f t="shared" ref="O161:O166" si="106">N161/M161</f>
        <v>168.20512820512815</v>
      </c>
      <c r="P161" s="54">
        <f t="shared" si="102"/>
        <v>0</v>
      </c>
      <c r="Q161" s="88">
        <f t="shared" si="103"/>
        <v>-4.8717948717949184</v>
      </c>
      <c r="R161" s="421">
        <f t="shared" ref="R161:R163" si="107">O161/L161</f>
        <v>0.97185185185185163</v>
      </c>
      <c r="S161" s="611">
        <f>R173</f>
        <v>0.92720195959082985</v>
      </c>
      <c r="T161" s="89">
        <v>0.16666666666666666</v>
      </c>
      <c r="U161" s="89">
        <v>0.23541666666666666</v>
      </c>
      <c r="V161" s="420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-63.33333333333394</v>
      </c>
      <c r="AG161" s="421">
        <f t="shared" si="62"/>
        <v>0.97185185185185163</v>
      </c>
      <c r="AH161" s="611">
        <f>AG173</f>
        <v>0.93161615383906637</v>
      </c>
    </row>
    <row r="162" spans="1:36" ht="19.2" customHeight="1">
      <c r="A162" s="610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3814</v>
      </c>
      <c r="H162" s="84">
        <f t="shared" si="104"/>
        <v>130553.21999999999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2179.4285714285716</v>
      </c>
      <c r="O162" s="86">
        <f t="shared" si="106"/>
        <v>167.64835164835165</v>
      </c>
      <c r="P162" s="54">
        <f t="shared" si="102"/>
        <v>0</v>
      </c>
      <c r="Q162" s="88">
        <f t="shared" si="103"/>
        <v>-5.4285714285714164</v>
      </c>
      <c r="R162" s="421">
        <f t="shared" si="107"/>
        <v>0.96863492063492074</v>
      </c>
      <c r="S162" s="611"/>
      <c r="T162" s="89">
        <v>0.24027777777777778</v>
      </c>
      <c r="U162" s="89">
        <v>0.31319444444444444</v>
      </c>
      <c r="V162" s="420">
        <v>7</v>
      </c>
      <c r="W162" s="90">
        <f t="shared" si="108"/>
        <v>104.99999999999999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-70.571428571428442</v>
      </c>
      <c r="AG162" s="421">
        <f t="shared" si="62"/>
        <v>0.96863492063492074</v>
      </c>
      <c r="AH162" s="611"/>
    </row>
    <row r="163" spans="1:36" ht="19.2" customHeight="1">
      <c r="A163" s="610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3740.7999999999997</v>
      </c>
      <c r="H163" s="84">
        <f t="shared" si="104"/>
        <v>134032.86399999997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2200.4705882352932</v>
      </c>
      <c r="O163" s="86">
        <f t="shared" si="106"/>
        <v>200.04278074866303</v>
      </c>
      <c r="P163" s="54">
        <f t="shared" si="102"/>
        <v>0</v>
      </c>
      <c r="Q163" s="88">
        <f t="shared" si="103"/>
        <v>-4.5026737967914983</v>
      </c>
      <c r="R163" s="421">
        <f t="shared" si="107"/>
        <v>0.97798692810457488</v>
      </c>
      <c r="S163" s="611"/>
      <c r="T163" s="89">
        <v>0.32847222222222222</v>
      </c>
      <c r="U163" s="89">
        <v>0.39930555555555558</v>
      </c>
      <c r="V163" s="420">
        <v>22</v>
      </c>
      <c r="W163" s="90">
        <f t="shared" si="108"/>
        <v>102.00000000000004</v>
      </c>
      <c r="X163" s="96">
        <v>0.31805555555555554</v>
      </c>
      <c r="Y163" s="96">
        <v>0.32777777777777778</v>
      </c>
      <c r="Z163" s="54"/>
      <c r="AA163" s="54"/>
      <c r="AB163" s="588"/>
      <c r="AC163" s="588"/>
      <c r="AD163" s="420"/>
      <c r="AE163" s="420"/>
      <c r="AF163" s="54">
        <f t="shared" si="61"/>
        <v>-49.529411764706765</v>
      </c>
      <c r="AG163" s="421">
        <f t="shared" si="62"/>
        <v>0.97798692810457477</v>
      </c>
      <c r="AH163" s="611"/>
    </row>
    <row r="164" spans="1:36" ht="19.2" customHeight="1">
      <c r="A164" s="610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5010.5999999999995</v>
      </c>
      <c r="H164" s="84">
        <f t="shared" si="104"/>
        <v>182435.94599999997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2405.0879999999993</v>
      </c>
      <c r="O164" s="86">
        <f t="shared" si="106"/>
        <v>240.50879999999992</v>
      </c>
      <c r="P164" s="54">
        <f>M164-J164</f>
        <v>0</v>
      </c>
      <c r="Q164" s="88">
        <f>O164-L164</f>
        <v>-36.391200000000055</v>
      </c>
      <c r="R164" s="421">
        <f>O164/L164</f>
        <v>0.8685763813651135</v>
      </c>
      <c r="S164" s="611"/>
      <c r="T164" s="89">
        <v>0.43958333333333333</v>
      </c>
      <c r="U164" s="89">
        <v>0.52638888888888891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588"/>
      <c r="AC164" s="588"/>
      <c r="AD164" s="420">
        <v>1</v>
      </c>
      <c r="AE164" s="420">
        <v>1</v>
      </c>
      <c r="AF164" s="54">
        <f>N164-K164</f>
        <v>-363.91200000000072</v>
      </c>
      <c r="AG164" s="421">
        <f>N164/K164</f>
        <v>0.8685763813651135</v>
      </c>
      <c r="AH164" s="611"/>
    </row>
    <row r="165" spans="1:36" ht="19.2" customHeight="1">
      <c r="A165" s="610"/>
      <c r="B165" s="121" t="s">
        <v>131</v>
      </c>
      <c r="C165" s="81"/>
      <c r="D165" s="82" t="s">
        <v>95</v>
      </c>
      <c r="E165" s="83"/>
      <c r="F165" s="358">
        <v>35.83</v>
      </c>
      <c r="G165" s="57">
        <v>1603.2</v>
      </c>
      <c r="H165" s="84">
        <f t="shared" si="104"/>
        <v>57442.655999999995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2186.181818181818</v>
      </c>
      <c r="O165" s="86">
        <f t="shared" si="106"/>
        <v>198.74380165289256</v>
      </c>
      <c r="P165" s="54">
        <f>M165-J165</f>
        <v>0</v>
      </c>
      <c r="Q165" s="88">
        <f>O165-L165</f>
        <v>-5.8016528925619752</v>
      </c>
      <c r="R165" s="421">
        <f>O165/L165</f>
        <v>0.97163636363636363</v>
      </c>
      <c r="S165" s="611"/>
      <c r="T165" s="89">
        <v>0.54236111111111107</v>
      </c>
      <c r="U165" s="89">
        <v>0.57291666666666663</v>
      </c>
      <c r="V165" s="420">
        <v>23</v>
      </c>
      <c r="W165" s="90">
        <f t="shared" si="108"/>
        <v>44</v>
      </c>
      <c r="X165" s="96">
        <v>0.53055555555555556</v>
      </c>
      <c r="Y165" s="96">
        <v>0.54166666666666663</v>
      </c>
      <c r="Z165" s="54"/>
      <c r="AA165" s="54"/>
      <c r="AB165" s="588"/>
      <c r="AC165" s="588"/>
      <c r="AD165" s="420"/>
      <c r="AE165" s="420"/>
      <c r="AF165" s="54">
        <f>N165-K165</f>
        <v>-63.818181818181984</v>
      </c>
      <c r="AG165" s="421">
        <f>N165/K165</f>
        <v>0.97163636363636352</v>
      </c>
      <c r="AH165" s="611"/>
    </row>
    <row r="166" spans="1:36" ht="19.2" customHeight="1">
      <c r="A166" s="610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3340.4</v>
      </c>
      <c r="H166" s="84">
        <f t="shared" si="104"/>
        <v>121623.96399999999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2385.9999999999991</v>
      </c>
      <c r="O166" s="86">
        <f t="shared" si="106"/>
        <v>238.59999999999991</v>
      </c>
      <c r="P166" s="54">
        <f>M166-J166</f>
        <v>0</v>
      </c>
      <c r="Q166" s="88">
        <f>O166-L166</f>
        <v>-38.300000000000068</v>
      </c>
      <c r="R166" s="421">
        <f>O166/L166</f>
        <v>0.86168291802094599</v>
      </c>
      <c r="S166" s="611"/>
      <c r="T166" s="89">
        <v>0.57777777777777772</v>
      </c>
      <c r="U166" s="89">
        <v>0.63611111111111107</v>
      </c>
      <c r="V166" s="420">
        <v>7</v>
      </c>
      <c r="W166" s="90">
        <f t="shared" si="108"/>
        <v>84.000000000000028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-383.00000000000091</v>
      </c>
      <c r="AG166" s="421">
        <f>N166/K166</f>
        <v>0.86168291802094588</v>
      </c>
      <c r="AH166" s="611"/>
    </row>
    <row r="167" spans="1:36" ht="19.2" customHeight="1">
      <c r="A167" s="610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2" customHeight="1">
      <c r="A168" s="610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2" customHeight="1">
      <c r="A169" s="610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2" customHeight="1">
      <c r="A170" s="610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2" customHeight="1">
      <c r="A171" s="610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2" customHeight="1">
      <c r="A172" s="610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2" customHeight="1">
      <c r="A173" s="610"/>
      <c r="B173" s="121">
        <v>0</v>
      </c>
      <c r="C173" s="100" t="s">
        <v>421</v>
      </c>
      <c r="D173" s="617" t="s">
        <v>376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2257.3059407520577</v>
      </c>
      <c r="O173" s="104">
        <f t="shared" si="109"/>
        <v>202.2914770425059</v>
      </c>
      <c r="P173" s="54">
        <f>M173-J173</f>
        <v>0</v>
      </c>
      <c r="Q173" s="88">
        <f>O173-L173</f>
        <v>-15.882648831620003</v>
      </c>
      <c r="R173" s="105">
        <f>O173/L173</f>
        <v>0.92720195959082985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1</v>
      </c>
      <c r="AF173" s="54">
        <f t="shared" si="61"/>
        <v>-165.69405924794228</v>
      </c>
      <c r="AG173" s="421">
        <f t="shared" si="62"/>
        <v>0.93161615383906637</v>
      </c>
      <c r="AH173" s="611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423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425</v>
      </c>
    </row>
    <row r="186" spans="23:36">
      <c r="W186" s="33"/>
      <c r="AJ186" s="275" t="s">
        <v>427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42" priority="4" operator="greaterThan">
      <formula>0</formula>
    </cfRule>
  </conditionalFormatting>
  <conditionalFormatting sqref="Q5:Q173">
    <cfRule type="cellIs" dxfId="141" priority="9" operator="lessThan">
      <formula>0</formula>
    </cfRule>
  </conditionalFormatting>
  <conditionalFormatting sqref="R5:R173">
    <cfRule type="cellIs" dxfId="140" priority="5" operator="greaterThan">
      <formula>1</formula>
    </cfRule>
    <cfRule type="cellIs" dxfId="139" priority="6" operator="lessThan">
      <formula>0.8</formula>
    </cfRule>
  </conditionalFormatting>
  <conditionalFormatting sqref="S5:S11">
    <cfRule type="cellIs" dxfId="138" priority="3014" operator="lessThan">
      <formula>0.8</formula>
    </cfRule>
  </conditionalFormatting>
  <conditionalFormatting sqref="S21:S29 AH21:AH29">
    <cfRule type="cellIs" dxfId="137" priority="2944" operator="lessThan">
      <formula>0.8</formula>
    </cfRule>
  </conditionalFormatting>
  <conditionalFormatting sqref="S43:S72">
    <cfRule type="cellIs" dxfId="136" priority="2918" operator="lessThan">
      <formula>0.8</formula>
    </cfRule>
  </conditionalFormatting>
  <conditionalFormatting sqref="S82:S91 AH82:AH91">
    <cfRule type="cellIs" dxfId="135" priority="2938" operator="lessThan">
      <formula>0.8</formula>
    </cfRule>
  </conditionalFormatting>
  <conditionalFormatting sqref="S95:S104">
    <cfRule type="cellIs" dxfId="134" priority="2908" operator="lessThan">
      <formula>0.8</formula>
    </cfRule>
  </conditionalFormatting>
  <conditionalFormatting sqref="S108:S109">
    <cfRule type="cellIs" dxfId="133" priority="2917" operator="lessThan">
      <formula>0.8</formula>
    </cfRule>
  </conditionalFormatting>
  <conditionalFormatting sqref="S122:S135 AH135">
    <cfRule type="cellIs" dxfId="132" priority="3031" operator="lessThan">
      <formula>0.8</formula>
    </cfRule>
  </conditionalFormatting>
  <conditionalFormatting sqref="S137 AH137">
    <cfRule type="cellIs" dxfId="131" priority="2988" operator="lessThan">
      <formula>0.8</formula>
    </cfRule>
  </conditionalFormatting>
  <conditionalFormatting sqref="S139:S146 AH139:AH146">
    <cfRule type="cellIs" dxfId="130" priority="2930" operator="lessThan">
      <formula>0.8</formula>
    </cfRule>
  </conditionalFormatting>
  <conditionalFormatting sqref="S148:S150">
    <cfRule type="cellIs" dxfId="129" priority="2946" operator="lessThan">
      <formula>0.8</formula>
    </cfRule>
  </conditionalFormatting>
  <conditionalFormatting sqref="S161">
    <cfRule type="cellIs" dxfId="128" priority="3099" operator="lessThan">
      <formula>0.8</formula>
    </cfRule>
  </conditionalFormatting>
  <conditionalFormatting sqref="AF5:AF173">
    <cfRule type="cellIs" dxfId="127" priority="3" operator="lessThan">
      <formula>0</formula>
    </cfRule>
  </conditionalFormatting>
  <conditionalFormatting sqref="AG5:AG173">
    <cfRule type="cellIs" dxfId="126" priority="1" operator="greaterThan">
      <formula>1</formula>
    </cfRule>
    <cfRule type="cellIs" dxfId="125" priority="2" operator="lessThan">
      <formula>0.8</formula>
    </cfRule>
  </conditionalFormatting>
  <conditionalFormatting sqref="AH5:AH9 S17:S18 AH17:AH18 AH57 AH95">
    <cfRule type="cellIs" dxfId="124" priority="3105" operator="lessThan">
      <formula>0.8</formula>
    </cfRule>
  </conditionalFormatting>
  <conditionalFormatting sqref="AH31 S31:S32">
    <cfRule type="cellIs" dxfId="123" priority="3035" operator="lessThan">
      <formula>0.8</formula>
    </cfRule>
  </conditionalFormatting>
  <conditionalFormatting sqref="AH70:AH72">
    <cfRule type="cellIs" dxfId="122" priority="3008" operator="lessThan">
      <formula>0.8</formula>
    </cfRule>
  </conditionalFormatting>
  <conditionalFormatting sqref="AH97:AH98">
    <cfRule type="cellIs" dxfId="121" priority="2999" operator="lessThan">
      <formula>0.8</formula>
    </cfRule>
  </conditionalFormatting>
  <conditionalFormatting sqref="AH100:AH107">
    <cfRule type="cellIs" dxfId="120" priority="2961" operator="lessThan">
      <formula>0.8</formula>
    </cfRule>
  </conditionalFormatting>
  <conditionalFormatting sqref="AH109">
    <cfRule type="cellIs" dxfId="119" priority="3054" operator="lessThan">
      <formula>0.8</formula>
    </cfRule>
  </conditionalFormatting>
  <conditionalFormatting sqref="AH148">
    <cfRule type="cellIs" dxfId="118" priority="3047" operator="lessThan">
      <formula>0.8</formula>
    </cfRule>
  </conditionalFormatting>
  <conditionalFormatting sqref="AH150">
    <cfRule type="cellIs" dxfId="117" priority="2947" operator="lessThan">
      <formula>0.8</formula>
    </cfRule>
  </conditionalFormatting>
  <dataValidations count="1">
    <dataValidation type="list" allowBlank="1" showInputMessage="1" showErrorMessage="1" sqref="AB5:AC173" xr:uid="{00000000-0002-0000-05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W38"/>
  <sheetViews>
    <sheetView zoomScale="40" zoomScaleNormal="40" workbookViewId="0">
      <selection activeCell="Q39" sqref="Q3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7" t="s">
        <v>0</v>
      </c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  <c r="N1" s="1"/>
      <c r="O1" s="1"/>
    </row>
    <row r="2" spans="2:17" ht="27.75" customHeight="1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9"/>
      <c r="N2" s="1"/>
      <c r="O2" s="1"/>
    </row>
    <row r="3" spans="2:17" ht="46.5" customHeight="1">
      <c r="B3" s="510" t="s">
        <v>1</v>
      </c>
      <c r="C3" s="511"/>
      <c r="D3" s="512" t="s">
        <v>312</v>
      </c>
      <c r="E3" s="513"/>
      <c r="F3" s="510" t="s">
        <v>2</v>
      </c>
      <c r="G3" s="511"/>
      <c r="H3" s="514">
        <v>282040.34999999998</v>
      </c>
      <c r="I3" s="515"/>
      <c r="J3" s="510" t="s">
        <v>3</v>
      </c>
      <c r="K3" s="511"/>
      <c r="L3" s="505">
        <v>9170817.5219675228</v>
      </c>
      <c r="M3" s="506"/>
      <c r="N3" s="372"/>
      <c r="O3" s="372"/>
      <c r="P3" s="372"/>
      <c r="Q3" s="372"/>
    </row>
    <row r="4" spans="2:17" ht="24" customHeight="1">
      <c r="B4" s="510" t="s">
        <v>135</v>
      </c>
      <c r="C4" s="511"/>
      <c r="D4" s="527" t="s">
        <v>135</v>
      </c>
      <c r="E4" s="528"/>
      <c r="F4" s="503" t="s">
        <v>136</v>
      </c>
      <c r="G4" s="504"/>
      <c r="H4" s="503" t="s">
        <v>137</v>
      </c>
      <c r="I4" s="504"/>
      <c r="J4" s="503" t="s">
        <v>138</v>
      </c>
      <c r="K4" s="504"/>
      <c r="L4" s="505" t="s">
        <v>139</v>
      </c>
      <c r="M4" s="506"/>
      <c r="N4" s="519" t="s">
        <v>4</v>
      </c>
      <c r="O4" s="520"/>
      <c r="P4" s="520" t="s">
        <v>5</v>
      </c>
      <c r="Q4" s="520"/>
    </row>
    <row r="5" spans="2:17" ht="24" customHeight="1">
      <c r="B5" s="521" t="s">
        <v>35</v>
      </c>
      <c r="C5" s="522"/>
      <c r="D5" s="527" t="s">
        <v>140</v>
      </c>
      <c r="E5" s="528"/>
      <c r="F5" s="527" t="s">
        <v>6</v>
      </c>
      <c r="G5" s="528"/>
      <c r="H5" s="529" t="s">
        <v>7</v>
      </c>
      <c r="I5" s="530"/>
      <c r="J5" s="531" t="s">
        <v>8</v>
      </c>
      <c r="K5" s="532"/>
      <c r="L5" s="533" t="s">
        <v>9</v>
      </c>
      <c r="M5" s="534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3"/>
      <c r="C6" s="524"/>
      <c r="D6" s="510" t="s">
        <v>10</v>
      </c>
      <c r="E6" s="511"/>
      <c r="F6" s="535">
        <f>AVERAGE(D13:O13,P13:Q13,D30:E30,G30:H30,J30:M30)</f>
        <v>382.72010151817216</v>
      </c>
      <c r="G6" s="536"/>
      <c r="H6" s="548">
        <f>AVERAGE(D13:P13,Q13)</f>
        <v>139.27444524284192</v>
      </c>
      <c r="I6" s="549"/>
      <c r="J6" s="548">
        <f>AVERAGE(D30:E30,G30:H30)</f>
        <v>736.25</v>
      </c>
      <c r="K6" s="549"/>
      <c r="L6" s="550">
        <f>AVERAGE(J30:M30)</f>
        <v>881.25</v>
      </c>
      <c r="M6" s="551"/>
      <c r="N6" s="552">
        <v>0</v>
      </c>
      <c r="O6" s="539">
        <v>0</v>
      </c>
      <c r="P6" s="516">
        <v>17</v>
      </c>
      <c r="Q6" s="539">
        <v>7</v>
      </c>
    </row>
    <row r="7" spans="2:17" s="5" customFormat="1" ht="39.6" customHeight="1">
      <c r="B7" s="523"/>
      <c r="C7" s="524"/>
      <c r="D7" s="540" t="s">
        <v>11</v>
      </c>
      <c r="E7" s="541"/>
      <c r="F7" s="542">
        <f>AVERAGE(D14:O14,P14:Q14,D31:E31,J31:M31,G31:H31)</f>
        <v>366.86756063717303</v>
      </c>
      <c r="G7" s="543"/>
      <c r="H7" s="544">
        <f>AVERAGE(D14:P14,Q14)</f>
        <v>126.95338206485259</v>
      </c>
      <c r="I7" s="545"/>
      <c r="J7" s="544">
        <f>AVERAGE(D31:E31,G31:H31)</f>
        <v>704.08838180808277</v>
      </c>
      <c r="K7" s="545"/>
      <c r="L7" s="546">
        <f>AVERAGE(J31:M31)</f>
        <v>869.34636446938475</v>
      </c>
      <c r="M7" s="547"/>
      <c r="N7" s="552"/>
      <c r="O7" s="539"/>
      <c r="P7" s="516"/>
      <c r="Q7" s="539"/>
    </row>
    <row r="8" spans="2:17" s="5" customFormat="1" ht="39.6" customHeight="1">
      <c r="B8" s="525"/>
      <c r="C8" s="526"/>
      <c r="D8" s="540" t="s">
        <v>12</v>
      </c>
      <c r="E8" s="541"/>
      <c r="F8" s="517">
        <f>AVERAGE(D15:O15,P15:Q15,D32:E32,G32:H32,J32:M32)</f>
        <v>0.91667107794029934</v>
      </c>
      <c r="G8" s="518"/>
      <c r="H8" s="517">
        <f>AVERAGE(D15:O15,P15:Q15)</f>
        <v>0.905360705944809</v>
      </c>
      <c r="I8" s="518"/>
      <c r="J8" s="517">
        <f>AVERAGE(D32:E32,G32:H32)</f>
        <v>0.88029613370691262</v>
      </c>
      <c r="K8" s="518"/>
      <c r="L8" s="517">
        <f>AVERAGE(J32:M32)</f>
        <v>0.99263232415790215</v>
      </c>
      <c r="M8" s="518"/>
      <c r="N8" s="552"/>
      <c r="O8" s="539"/>
      <c r="P8" s="516"/>
      <c r="Q8" s="539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53" t="s">
        <v>145</v>
      </c>
      <c r="C10" s="554"/>
      <c r="D10" s="555" t="s">
        <v>146</v>
      </c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7"/>
    </row>
    <row r="11" spans="2:17" ht="17.25" customHeight="1">
      <c r="B11" s="558" t="s">
        <v>147</v>
      </c>
      <c r="C11" s="522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559"/>
      <c r="C12" s="526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560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86.273035530001451</v>
      </c>
      <c r="J13" s="19">
        <v>90.468137254901961</v>
      </c>
      <c r="K13" s="19">
        <v>89.177033269448117</v>
      </c>
      <c r="L13" s="19">
        <v>90.371994801819355</v>
      </c>
      <c r="M13" s="19">
        <v>82.88619697391627</v>
      </c>
      <c r="N13" s="19">
        <v>86.498180705030563</v>
      </c>
      <c r="O13" s="19">
        <v>134.22619047619048</v>
      </c>
      <c r="P13" s="19">
        <v>218.17412587412591</v>
      </c>
      <c r="Q13" s="21">
        <v>150</v>
      </c>
    </row>
    <row r="14" spans="2:17" ht="39.9" customHeight="1">
      <c r="B14" s="561"/>
      <c r="C14" s="14" t="s">
        <v>162</v>
      </c>
      <c r="D14" s="19">
        <v>133.81697437119652</v>
      </c>
      <c r="E14" s="19">
        <v>103.91130191588887</v>
      </c>
      <c r="F14" s="19">
        <v>113.94406706659342</v>
      </c>
      <c r="G14" s="19">
        <v>272.63385211389453</v>
      </c>
      <c r="H14" s="19">
        <v>217.95813581169136</v>
      </c>
      <c r="I14" s="19">
        <v>80.137859932301922</v>
      </c>
      <c r="J14" s="19">
        <v>80.594487728230007</v>
      </c>
      <c r="K14" s="19">
        <v>75.575573743043606</v>
      </c>
      <c r="L14" s="19">
        <v>79.461962060380088</v>
      </c>
      <c r="M14" s="19">
        <v>73.728070186777003</v>
      </c>
      <c r="N14" s="19">
        <v>76.056089494953667</v>
      </c>
      <c r="O14" s="19">
        <v>121.29098735539424</v>
      </c>
      <c r="P14" s="19">
        <v>202.36924745223371</v>
      </c>
      <c r="Q14" s="9">
        <v>145.86873967535738</v>
      </c>
    </row>
    <row r="15" spans="2:17" ht="39.9" customHeight="1">
      <c r="B15" s="562"/>
      <c r="C15" s="373" t="s">
        <v>163</v>
      </c>
      <c r="D15" s="10">
        <f t="shared" ref="D15:Q15" si="0">D14/D13</f>
        <v>0.93690252697621412</v>
      </c>
      <c r="E15" s="10">
        <f t="shared" si="0"/>
        <v>0.91271367936158654</v>
      </c>
      <c r="F15" s="10">
        <f t="shared" si="0"/>
        <v>0.84731127677598217</v>
      </c>
      <c r="G15" s="10">
        <f t="shared" si="0"/>
        <v>0.8955793577819553</v>
      </c>
      <c r="H15" s="10">
        <f t="shared" si="0"/>
        <v>0.96360438990431974</v>
      </c>
      <c r="I15" s="10">
        <f t="shared" si="0"/>
        <v>0.92888652219074841</v>
      </c>
      <c r="J15" s="10">
        <f t="shared" si="0"/>
        <v>0.89086047501064292</v>
      </c>
      <c r="K15" s="10">
        <f t="shared" si="0"/>
        <v>0.84747799934869161</v>
      </c>
      <c r="L15" s="10">
        <f t="shared" si="0"/>
        <v>0.87927639789998713</v>
      </c>
      <c r="M15" s="10">
        <f t="shared" si="0"/>
        <v>0.88950962739886275</v>
      </c>
      <c r="N15" s="10">
        <f t="shared" si="0"/>
        <v>0.87927964351428722</v>
      </c>
      <c r="O15" s="10">
        <f t="shared" si="0"/>
        <v>0.90363130269207237</v>
      </c>
      <c r="P15" s="375">
        <f t="shared" si="0"/>
        <v>0.92755841986959209</v>
      </c>
      <c r="Q15" s="11">
        <f t="shared" si="0"/>
        <v>0.97245826450238249</v>
      </c>
    </row>
    <row r="16" spans="2:17" ht="22.8" customHeight="1">
      <c r="B16" s="563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564"/>
      <c r="C17" s="373" t="s">
        <v>36</v>
      </c>
      <c r="D17" s="12">
        <v>0.71666666666666667</v>
      </c>
      <c r="E17" s="12">
        <v>0.64583333333333315</v>
      </c>
      <c r="F17" s="12">
        <v>0.59513888888888888</v>
      </c>
      <c r="G17" s="12">
        <v>0.66874999999999984</v>
      </c>
      <c r="H17" s="12">
        <v>0.6972222222222223</v>
      </c>
      <c r="I17" s="12">
        <v>0.70416666666666683</v>
      </c>
      <c r="J17" s="12">
        <v>0.7847222222222221</v>
      </c>
      <c r="K17" s="12">
        <v>0.79166666666666652</v>
      </c>
      <c r="L17" s="12">
        <v>0.92569444444444426</v>
      </c>
      <c r="M17" s="12">
        <v>0.99374999999999991</v>
      </c>
      <c r="N17" s="12">
        <v>0.92708333333333304</v>
      </c>
      <c r="O17" s="22">
        <v>0.86111111111111105</v>
      </c>
      <c r="P17" s="12">
        <v>0.60138888888888897</v>
      </c>
      <c r="Q17" s="376">
        <v>0.59722222222222221</v>
      </c>
    </row>
    <row r="18" spans="2:23" ht="22.8" customHeight="1">
      <c r="B18" s="537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538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537" t="s">
        <v>16</v>
      </c>
      <c r="C20" s="377" t="s">
        <v>166</v>
      </c>
      <c r="D20" s="378">
        <v>2</v>
      </c>
      <c r="E20" s="378">
        <v>2</v>
      </c>
      <c r="F20" s="378">
        <v>1</v>
      </c>
      <c r="G20" s="378">
        <v>2</v>
      </c>
      <c r="H20" s="378">
        <v>1</v>
      </c>
      <c r="I20" s="378" t="s">
        <v>15</v>
      </c>
      <c r="J20" s="378">
        <v>3</v>
      </c>
      <c r="K20" s="378">
        <v>1</v>
      </c>
      <c r="L20" s="378">
        <v>1</v>
      </c>
      <c r="M20" s="378">
        <v>1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538"/>
      <c r="C21" s="377" t="s">
        <v>168</v>
      </c>
      <c r="D21" s="378">
        <v>1</v>
      </c>
      <c r="E21" s="378">
        <v>1</v>
      </c>
      <c r="F21" s="378">
        <v>1</v>
      </c>
      <c r="G21" s="378" t="s">
        <v>15</v>
      </c>
      <c r="H21" s="378">
        <v>1</v>
      </c>
      <c r="I21" s="378" t="s">
        <v>15</v>
      </c>
      <c r="J21" s="378">
        <v>1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565" t="s">
        <v>169</v>
      </c>
      <c r="C22" s="511"/>
      <c r="D22" s="380">
        <v>18.285714285714285</v>
      </c>
      <c r="E22" s="380">
        <v>17.285714285714285</v>
      </c>
      <c r="F22" s="380">
        <v>15</v>
      </c>
      <c r="G22" s="380">
        <v>6.7142857142857144</v>
      </c>
      <c r="H22" s="380">
        <v>6.666666666666667</v>
      </c>
      <c r="I22" s="380">
        <v>17</v>
      </c>
      <c r="J22" s="380">
        <v>17.625</v>
      </c>
      <c r="K22" s="380">
        <v>17.3</v>
      </c>
      <c r="L22" s="380">
        <v>16.888888888888889</v>
      </c>
      <c r="M22" s="380">
        <v>18.222222222222221</v>
      </c>
      <c r="N22" s="380">
        <v>17.222222222222221</v>
      </c>
      <c r="O22" s="380">
        <v>14</v>
      </c>
      <c r="P22" s="380">
        <v>11.333333333333334</v>
      </c>
      <c r="Q22" s="381">
        <v>11.5</v>
      </c>
    </row>
    <row r="23" spans="2:23" ht="22.8" customHeight="1">
      <c r="B23" s="565" t="s">
        <v>170</v>
      </c>
      <c r="C23" s="511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5" t="s">
        <v>171</v>
      </c>
      <c r="C24" s="51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6" t="s">
        <v>172</v>
      </c>
      <c r="C25" s="56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53"/>
      <c r="C27" s="578"/>
      <c r="D27" s="570" t="s">
        <v>173</v>
      </c>
      <c r="E27" s="571"/>
      <c r="F27" s="571"/>
      <c r="G27" s="571"/>
      <c r="H27" s="572"/>
      <c r="I27" s="573" t="s">
        <v>174</v>
      </c>
      <c r="J27" s="574"/>
      <c r="K27" s="574"/>
      <c r="L27" s="574"/>
      <c r="M27" s="575"/>
      <c r="N27" s="372"/>
      <c r="O27" s="372"/>
      <c r="P27" s="372"/>
      <c r="Q27" s="372"/>
    </row>
    <row r="28" spans="2:23" ht="17.25" customHeight="1">
      <c r="B28" s="558" t="s">
        <v>147</v>
      </c>
      <c r="C28" s="57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9"/>
      <c r="C29" s="577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560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561"/>
      <c r="C31" s="386" t="s">
        <v>162</v>
      </c>
      <c r="D31" s="388">
        <v>153.40000000000015</v>
      </c>
      <c r="E31" s="8">
        <v>821.42559523809541</v>
      </c>
      <c r="F31" s="8">
        <v>0</v>
      </c>
      <c r="G31" s="8">
        <v>857.38004339666907</v>
      </c>
      <c r="H31" s="389">
        <v>984.14788859756652</v>
      </c>
      <c r="I31" s="388">
        <v>0</v>
      </c>
      <c r="J31" s="8">
        <v>1056.9999999999952</v>
      </c>
      <c r="K31" s="8">
        <v>659.60714285714107</v>
      </c>
      <c r="L31" s="8">
        <v>889.86212454212307</v>
      </c>
      <c r="M31" s="389">
        <v>870.91619047827976</v>
      </c>
      <c r="N31" s="372"/>
      <c r="O31" s="372"/>
      <c r="P31" s="372"/>
      <c r="Q31" s="372"/>
    </row>
    <row r="32" spans="2:23" ht="39.9" customHeight="1">
      <c r="B32" s="562"/>
      <c r="C32" s="407" t="s">
        <v>163</v>
      </c>
      <c r="D32" s="390">
        <f t="shared" ref="D32:M32" si="1">D31/D30</f>
        <v>0.47937500000000044</v>
      </c>
      <c r="E32" s="10">
        <f t="shared" si="1"/>
        <v>0.99566738816738842</v>
      </c>
      <c r="F32" s="10">
        <f t="shared" si="1"/>
        <v>0</v>
      </c>
      <c r="G32" s="10">
        <f t="shared" si="1"/>
        <v>0.95264449266296558</v>
      </c>
      <c r="H32" s="10">
        <f t="shared" si="1"/>
        <v>1.093497653997296</v>
      </c>
      <c r="I32" s="388">
        <f t="shared" si="1"/>
        <v>0</v>
      </c>
      <c r="J32" s="10">
        <f t="shared" si="1"/>
        <v>1.2812121212121155</v>
      </c>
      <c r="K32" s="10">
        <f t="shared" si="1"/>
        <v>0.73289682539682344</v>
      </c>
      <c r="L32" s="10">
        <f t="shared" si="1"/>
        <v>0.98873569393569227</v>
      </c>
      <c r="M32" s="11">
        <f t="shared" si="1"/>
        <v>0.96768465608697751</v>
      </c>
      <c r="N32" s="372"/>
      <c r="O32" s="372"/>
      <c r="P32" s="372"/>
      <c r="Q32" s="372"/>
    </row>
    <row r="33" spans="2:17" ht="25.8" customHeight="1">
      <c r="B33" s="563" t="s">
        <v>164</v>
      </c>
      <c r="C33" s="407" t="s">
        <v>165</v>
      </c>
      <c r="D33" s="391">
        <v>0.36805555555555558</v>
      </c>
      <c r="E33" s="12">
        <v>0.18055555555555555</v>
      </c>
      <c r="F33" s="12">
        <v>0</v>
      </c>
      <c r="G33" s="12">
        <v>2964.0000000000009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2"/>
      <c r="O33" s="372"/>
      <c r="P33" s="372"/>
      <c r="Q33" s="372"/>
    </row>
    <row r="34" spans="2:17" ht="25.8" customHeight="1">
      <c r="B34" s="564"/>
      <c r="C34" s="407" t="s">
        <v>36</v>
      </c>
      <c r="D34" s="391">
        <v>0.3888888888888889</v>
      </c>
      <c r="E34" s="12">
        <v>0.36944444444444446</v>
      </c>
      <c r="F34" s="12">
        <v>0</v>
      </c>
      <c r="G34" s="12">
        <v>1065.30612244898</v>
      </c>
      <c r="H34" s="376">
        <v>0.58263888888888882</v>
      </c>
      <c r="I34" s="23">
        <v>0</v>
      </c>
      <c r="J34" s="12">
        <v>0.73611111111111116</v>
      </c>
      <c r="K34" s="12">
        <v>0.78819444444444453</v>
      </c>
      <c r="L34" s="12">
        <v>46177.0625</v>
      </c>
      <c r="M34" s="13">
        <v>46177.041666666664</v>
      </c>
      <c r="N34" s="372"/>
      <c r="O34" s="372"/>
      <c r="P34" s="372"/>
      <c r="Q34" s="372"/>
    </row>
    <row r="35" spans="2:17" ht="25.8" customHeight="1">
      <c r="B35" s="565" t="s">
        <v>169</v>
      </c>
      <c r="C35" s="5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565" t="s">
        <v>170</v>
      </c>
      <c r="C36" s="5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565" t="s">
        <v>171</v>
      </c>
      <c r="C37" s="5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566" t="s">
        <v>172</v>
      </c>
      <c r="C38" s="569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6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6" priority="1" operator="lessThan">
      <formula>0.8</formula>
    </cfRule>
  </conditionalFormatting>
  <conditionalFormatting sqref="D15:Q15">
    <cfRule type="cellIs" dxfId="115" priority="4" operator="lessThan">
      <formula>0.8</formula>
    </cfRule>
  </conditionalFormatting>
  <conditionalFormatting sqref="J32:M32">
    <cfRule type="cellIs" dxfId="11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  <pageSetUpPr fitToPage="1"/>
  </sheetPr>
  <dimension ref="A1:R126"/>
  <sheetViews>
    <sheetView zoomScale="85" zoomScaleNormal="85" workbookViewId="0">
      <selection activeCell="D6" sqref="D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479</v>
      </c>
      <c r="B1" s="277"/>
      <c r="C1" s="278"/>
      <c r="D1" s="279" t="s">
        <v>480</v>
      </c>
      <c r="E1" s="280">
        <f>SUM(G5:G124)</f>
        <v>94441</v>
      </c>
      <c r="F1" s="281" t="s">
        <v>3</v>
      </c>
      <c r="G1" s="282">
        <f>SUM(H5:H124)</f>
        <v>1806867.4468467275</v>
      </c>
      <c r="H1" s="283" t="s">
        <v>436</v>
      </c>
      <c r="I1" s="284">
        <f>+J16+J64+J24+J38+J51+J81+J100+J91+J57+J124+J111</f>
        <v>44.995238095238093</v>
      </c>
      <c r="J1" s="487" t="s">
        <v>437</v>
      </c>
      <c r="K1" s="488"/>
      <c r="L1" s="489"/>
      <c r="M1" s="487" t="s">
        <v>438</v>
      </c>
      <c r="N1" s="488"/>
      <c r="O1" s="488"/>
      <c r="P1" s="488"/>
      <c r="Q1" s="488"/>
      <c r="R1" s="489"/>
    </row>
    <row r="2" spans="1:18" ht="26.25" customHeight="1" thickBot="1">
      <c r="A2" s="493" t="s">
        <v>481</v>
      </c>
      <c r="B2" s="494"/>
      <c r="C2" s="286"/>
      <c r="D2" s="414" t="s">
        <v>333</v>
      </c>
      <c r="E2" s="287">
        <f>AVERAGE(L16,L24,L38,L51,L100,L111,L91)</f>
        <v>621.19393371878539</v>
      </c>
      <c r="F2" s="288" t="s">
        <v>40</v>
      </c>
      <c r="G2" s="289">
        <f>G1/E1</f>
        <v>19.132235436375382</v>
      </c>
      <c r="H2" s="290" t="s">
        <v>440</v>
      </c>
      <c r="I2" s="291">
        <f>COUNT(I5:I124)</f>
        <v>0</v>
      </c>
      <c r="J2" s="490"/>
      <c r="K2" s="491"/>
      <c r="L2" s="492"/>
      <c r="M2" s="490"/>
      <c r="N2" s="491"/>
      <c r="O2" s="491"/>
      <c r="P2" s="491"/>
      <c r="Q2" s="491"/>
      <c r="R2" s="492"/>
    </row>
    <row r="3" spans="1:18" ht="23.25" customHeight="1">
      <c r="A3" s="495" t="s">
        <v>335</v>
      </c>
      <c r="B3" s="497" t="s">
        <v>441</v>
      </c>
      <c r="C3" s="416"/>
      <c r="D3" s="498" t="s">
        <v>337</v>
      </c>
      <c r="E3" s="498"/>
      <c r="F3" s="499" t="s">
        <v>43</v>
      </c>
      <c r="G3" s="500" t="s">
        <v>442</v>
      </c>
      <c r="H3" s="498" t="s">
        <v>443</v>
      </c>
      <c r="I3" s="501" t="s">
        <v>339</v>
      </c>
      <c r="J3" s="468" t="s">
        <v>343</v>
      </c>
      <c r="K3" s="480" t="s">
        <v>341</v>
      </c>
      <c r="L3" s="482" t="s">
        <v>333</v>
      </c>
      <c r="M3" s="484" t="s">
        <v>48</v>
      </c>
      <c r="N3" s="484"/>
      <c r="O3" s="468" t="s">
        <v>106</v>
      </c>
      <c r="P3" s="485" t="s">
        <v>444</v>
      </c>
      <c r="Q3" s="468" t="s">
        <v>445</v>
      </c>
      <c r="R3" s="468"/>
    </row>
    <row r="4" spans="1:18" ht="15.75" customHeight="1">
      <c r="A4" s="496"/>
      <c r="B4" s="497"/>
      <c r="C4" s="416"/>
      <c r="D4" s="498"/>
      <c r="E4" s="498"/>
      <c r="F4" s="499"/>
      <c r="G4" s="500"/>
      <c r="H4" s="498"/>
      <c r="I4" s="502"/>
      <c r="J4" s="479"/>
      <c r="K4" s="481"/>
      <c r="L4" s="483"/>
      <c r="M4" s="419" t="s">
        <v>50</v>
      </c>
      <c r="N4" s="419" t="s">
        <v>51</v>
      </c>
      <c r="O4" s="479"/>
      <c r="P4" s="486"/>
      <c r="Q4" s="292" t="s">
        <v>446</v>
      </c>
      <c r="R4" s="292" t="s">
        <v>447</v>
      </c>
    </row>
    <row r="5" spans="1:18">
      <c r="A5" s="469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16">
        <v>1822</v>
      </c>
      <c r="H5" s="296">
        <f>F5*G5</f>
        <v>54597.129054520352</v>
      </c>
      <c r="I5" s="417"/>
      <c r="J5" s="297">
        <v>13</v>
      </c>
      <c r="K5" s="298">
        <f t="shared" ref="K5:K10" si="0">G5/P5*60</f>
        <v>1214.6666666666665</v>
      </c>
      <c r="L5" s="299">
        <f t="shared" ref="L5:L10" si="1">K5/J5</f>
        <v>93.435897435897431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469"/>
      <c r="B6" s="293">
        <v>0</v>
      </c>
      <c r="C6" s="293"/>
      <c r="D6" s="294" t="s">
        <v>192</v>
      </c>
      <c r="E6" s="294"/>
      <c r="F6" s="295" t="s">
        <v>133</v>
      </c>
      <c r="G6" s="416">
        <v>2391</v>
      </c>
      <c r="H6" s="296">
        <f t="shared" ref="H6:H15" si="3">F6*G6</f>
        <v>0</v>
      </c>
      <c r="I6" s="417"/>
      <c r="J6" s="297">
        <v>8</v>
      </c>
      <c r="K6" s="298">
        <f t="shared" si="0"/>
        <v>1594.0000000000009</v>
      </c>
      <c r="L6" s="299">
        <f t="shared" si="1"/>
        <v>199.25000000000011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469"/>
      <c r="B7" s="293">
        <v>0</v>
      </c>
      <c r="C7" s="293"/>
      <c r="D7" s="294" t="s">
        <v>193</v>
      </c>
      <c r="E7" s="294"/>
      <c r="F7" s="295" t="s">
        <v>133</v>
      </c>
      <c r="G7" s="416">
        <v>2289</v>
      </c>
      <c r="H7" s="296">
        <f t="shared" si="3"/>
        <v>0</v>
      </c>
      <c r="I7" s="417"/>
      <c r="J7" s="297">
        <v>8</v>
      </c>
      <c r="K7" s="298">
        <f t="shared" si="0"/>
        <v>1615.7647058823527</v>
      </c>
      <c r="L7" s="299">
        <f t="shared" si="1"/>
        <v>201.97058823529409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9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1825</v>
      </c>
      <c r="H8" s="296">
        <f t="shared" si="3"/>
        <v>66521.25</v>
      </c>
      <c r="I8" s="417"/>
      <c r="J8" s="297">
        <v>12</v>
      </c>
      <c r="K8" s="298">
        <f t="shared" si="0"/>
        <v>1460.0000000000005</v>
      </c>
      <c r="L8" s="299">
        <f t="shared" si="1"/>
        <v>121.6666666666667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469"/>
      <c r="B9" s="293" t="s">
        <v>134</v>
      </c>
      <c r="C9" s="293"/>
      <c r="D9" s="294" t="s">
        <v>195</v>
      </c>
      <c r="E9" s="294"/>
      <c r="F9" s="295">
        <v>29.85</v>
      </c>
      <c r="G9" s="302">
        <v>2391</v>
      </c>
      <c r="H9" s="296">
        <f t="shared" si="3"/>
        <v>71371.350000000006</v>
      </c>
      <c r="I9" s="417"/>
      <c r="J9" s="297">
        <v>14</v>
      </c>
      <c r="K9" s="298">
        <f t="shared" si="0"/>
        <v>1793.2500000000009</v>
      </c>
      <c r="L9" s="299">
        <f t="shared" si="1"/>
        <v>128.08928571428578</v>
      </c>
      <c r="M9" s="300">
        <v>0.4861111111111111</v>
      </c>
      <c r="N9" s="300">
        <v>0.54166666666666663</v>
      </c>
      <c r="O9" s="292">
        <v>5</v>
      </c>
      <c r="P9" s="411">
        <f t="shared" si="2"/>
        <v>79.999999999999957</v>
      </c>
      <c r="Q9" s="301"/>
      <c r="R9" s="301"/>
    </row>
    <row r="10" spans="1:18">
      <c r="A10" s="469"/>
      <c r="B10" s="293" t="s">
        <v>134</v>
      </c>
      <c r="C10" s="293"/>
      <c r="D10" s="294" t="s">
        <v>196</v>
      </c>
      <c r="E10" s="294"/>
      <c r="F10" s="295">
        <v>29.52</v>
      </c>
      <c r="G10" s="302">
        <v>2289</v>
      </c>
      <c r="H10" s="296">
        <f t="shared" si="3"/>
        <v>67571.28</v>
      </c>
      <c r="I10" s="417"/>
      <c r="J10" s="297">
        <v>14</v>
      </c>
      <c r="K10" s="298">
        <f t="shared" si="0"/>
        <v>1831.2000000000028</v>
      </c>
      <c r="L10" s="299">
        <f t="shared" si="1"/>
        <v>130.80000000000021</v>
      </c>
      <c r="M10" s="300">
        <v>0.54513888888888895</v>
      </c>
      <c r="N10" s="300">
        <v>0.59722222222222221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469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70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70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70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70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71"/>
      <c r="B16" s="293">
        <v>0</v>
      </c>
      <c r="C16" s="293" t="s">
        <v>482</v>
      </c>
      <c r="D16" s="455" t="s">
        <v>376</v>
      </c>
      <c r="E16" s="455"/>
      <c r="F16" s="304"/>
      <c r="G16" s="305"/>
      <c r="H16" s="306"/>
      <c r="I16" s="307"/>
      <c r="J16" s="308">
        <f>AVERAGE(J5:J15)</f>
        <v>11.5</v>
      </c>
      <c r="K16" s="308">
        <f>AVERAGE(K5:K15)</f>
        <v>1584.8135620915043</v>
      </c>
      <c r="L16" s="309">
        <f>AVERAGE(L5:L15)</f>
        <v>145.86873967535738</v>
      </c>
      <c r="M16" s="300"/>
      <c r="N16" s="300"/>
      <c r="O16" s="298"/>
      <c r="P16" s="298"/>
      <c r="Q16" s="299"/>
      <c r="R16" s="299"/>
    </row>
    <row r="17" spans="1:18" ht="15.75" customHeight="1">
      <c r="A17" s="472" t="s">
        <v>483</v>
      </c>
      <c r="B17" s="293" t="s">
        <v>134</v>
      </c>
      <c r="C17" s="416"/>
      <c r="D17" s="475" t="s">
        <v>180</v>
      </c>
      <c r="E17" s="476"/>
      <c r="F17" s="295">
        <v>25.64</v>
      </c>
      <c r="G17" s="416">
        <v>767</v>
      </c>
      <c r="H17" s="310">
        <f t="shared" ref="H17:H23" si="4">F17*G17</f>
        <v>19665.88</v>
      </c>
      <c r="I17" s="311"/>
      <c r="J17" s="297">
        <v>10</v>
      </c>
      <c r="K17" s="298">
        <f t="shared" ref="K17" si="5">G17/P17*60</f>
        <v>1534.0000000000014</v>
      </c>
      <c r="L17" s="299">
        <f>K17/J17</f>
        <v>153.40000000000015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472"/>
      <c r="B18" s="293">
        <v>0</v>
      </c>
      <c r="C18" s="416"/>
      <c r="D18" s="477"/>
      <c r="E18" s="478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2"/>
      <c r="B19" s="293">
        <v>0</v>
      </c>
      <c r="C19" s="416"/>
      <c r="D19" s="477"/>
      <c r="E19" s="478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3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3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3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3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474"/>
      <c r="B24" s="293">
        <v>0</v>
      </c>
      <c r="C24" s="6" t="s">
        <v>484</v>
      </c>
      <c r="D24" s="455" t="s">
        <v>376</v>
      </c>
      <c r="E24" s="455"/>
      <c r="F24" s="304"/>
      <c r="G24" s="313"/>
      <c r="H24" s="306"/>
      <c r="I24" s="307"/>
      <c r="J24" s="308">
        <f>AVERAGE(J17:J23)</f>
        <v>10</v>
      </c>
      <c r="K24" s="308">
        <f>AVERAGE(K17:K23)</f>
        <v>1534.0000000000014</v>
      </c>
      <c r="L24" s="309">
        <f>AVERAGE(L17:L23)</f>
        <v>153.40000000000015</v>
      </c>
      <c r="M24" s="300"/>
      <c r="N24" s="300"/>
      <c r="O24" s="292"/>
      <c r="P24" s="292"/>
      <c r="Q24" s="292"/>
      <c r="R24" s="292"/>
    </row>
    <row r="25" spans="1:18">
      <c r="A25" s="459" t="s">
        <v>485</v>
      </c>
      <c r="B25" s="293" t="s">
        <v>131</v>
      </c>
      <c r="C25" s="314"/>
      <c r="D25" s="316" t="s">
        <v>486</v>
      </c>
      <c r="E25" s="315"/>
      <c r="F25" s="295">
        <v>15.03</v>
      </c>
      <c r="G25" s="416">
        <v>1273</v>
      </c>
      <c r="H25" s="296">
        <f t="shared" ref="H25:H37" si="6">F25*G25</f>
        <v>19133.189999999999</v>
      </c>
      <c r="I25" s="417"/>
      <c r="J25" s="297">
        <v>4</v>
      </c>
      <c r="K25" s="298">
        <f t="shared" ref="K25:K28" si="7">G25/P25*60</f>
        <v>2727.8571428571449</v>
      </c>
      <c r="L25" s="299">
        <f t="shared" ref="L25:L28" si="8">K25/J25</f>
        <v>681.96428571428623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459"/>
      <c r="B26" s="293" t="s">
        <v>131</v>
      </c>
      <c r="C26" s="314"/>
      <c r="D26" s="312" t="s">
        <v>107</v>
      </c>
      <c r="E26" s="317"/>
      <c r="F26" s="295">
        <v>18.18</v>
      </c>
      <c r="G26" s="416">
        <v>3223</v>
      </c>
      <c r="H26" s="296">
        <f t="shared" si="6"/>
        <v>58594.14</v>
      </c>
      <c r="I26" s="417"/>
      <c r="J26" s="297">
        <v>4</v>
      </c>
      <c r="K26" s="298">
        <f t="shared" si="7"/>
        <v>2762.5714285714289</v>
      </c>
      <c r="L26" s="299">
        <f t="shared" si="8"/>
        <v>690.64285714285722</v>
      </c>
      <c r="M26" s="300">
        <v>0.21388888888888891</v>
      </c>
      <c r="N26" s="300">
        <v>0.26250000000000001</v>
      </c>
      <c r="O26" s="292">
        <v>20</v>
      </c>
      <c r="P26" s="411">
        <f t="shared" si="9"/>
        <v>69.999999999999986</v>
      </c>
      <c r="Q26" s="301"/>
      <c r="R26" s="301"/>
    </row>
    <row r="27" spans="1:18">
      <c r="A27" s="459"/>
      <c r="B27" s="293" t="s">
        <v>131</v>
      </c>
      <c r="C27" s="314"/>
      <c r="D27" s="316" t="s">
        <v>109</v>
      </c>
      <c r="E27" s="317"/>
      <c r="F27" s="295">
        <v>18.53</v>
      </c>
      <c r="G27" s="416">
        <v>1942</v>
      </c>
      <c r="H27" s="296">
        <f t="shared" si="6"/>
        <v>35985.26</v>
      </c>
      <c r="I27" s="417"/>
      <c r="J27" s="297">
        <v>3</v>
      </c>
      <c r="K27" s="298">
        <f t="shared" si="7"/>
        <v>2774.2857142857133</v>
      </c>
      <c r="L27" s="299">
        <f t="shared" si="8"/>
        <v>924.76190476190447</v>
      </c>
      <c r="M27" s="300">
        <v>0.27638888888888885</v>
      </c>
      <c r="N27" s="300">
        <v>0.30555555555555552</v>
      </c>
      <c r="O27" s="292">
        <v>20</v>
      </c>
      <c r="P27" s="411">
        <f t="shared" si="9"/>
        <v>42.000000000000014</v>
      </c>
      <c r="Q27" s="301"/>
      <c r="R27" s="301"/>
    </row>
    <row r="28" spans="1:18">
      <c r="A28" s="459"/>
      <c r="B28" s="293" t="s">
        <v>131</v>
      </c>
      <c r="C28" s="416"/>
      <c r="D28" s="312" t="s">
        <v>487</v>
      </c>
      <c r="E28" s="317"/>
      <c r="F28" s="295">
        <v>24.93</v>
      </c>
      <c r="G28" s="416">
        <v>3558</v>
      </c>
      <c r="H28" s="296">
        <f t="shared" si="6"/>
        <v>88700.94</v>
      </c>
      <c r="I28" s="417"/>
      <c r="J28" s="297">
        <v>3</v>
      </c>
      <c r="K28" s="298">
        <f t="shared" si="7"/>
        <v>2965.0000000000009</v>
      </c>
      <c r="L28" s="299">
        <f t="shared" si="8"/>
        <v>988.3333333333336</v>
      </c>
      <c r="M28" s="300">
        <v>0.31944444444444448</v>
      </c>
      <c r="N28" s="300">
        <v>0.36944444444444446</v>
      </c>
      <c r="O28" s="292">
        <v>20</v>
      </c>
      <c r="P28" s="411">
        <f t="shared" si="9"/>
        <v>71.999999999999986</v>
      </c>
      <c r="Q28" s="301"/>
      <c r="R28" s="301"/>
    </row>
    <row r="29" spans="1:18">
      <c r="A29" s="459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59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59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59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59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59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59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59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59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460"/>
      <c r="B38" s="293">
        <v>0</v>
      </c>
      <c r="C38" s="6" t="s">
        <v>27</v>
      </c>
      <c r="D38" s="450" t="s">
        <v>108</v>
      </c>
      <c r="E38" s="450"/>
      <c r="F38" s="304"/>
      <c r="G38" s="320"/>
      <c r="H38" s="306"/>
      <c r="I38" s="307"/>
      <c r="J38" s="308">
        <f>AVERAGE(J25:J37)</f>
        <v>3.5</v>
      </c>
      <c r="K38" s="308">
        <f>AVERAGE(K25:K37)</f>
        <v>2807.4285714285725</v>
      </c>
      <c r="L38" s="309">
        <f>AVERAGE(L25:L37)</f>
        <v>821.42559523809541</v>
      </c>
      <c r="M38" s="300"/>
      <c r="N38" s="300"/>
      <c r="O38" s="298"/>
      <c r="P38" s="298"/>
      <c r="Q38" s="299"/>
      <c r="R38" s="299"/>
    </row>
    <row r="39" spans="1:18" ht="16.2" customHeight="1">
      <c r="A39" s="461" t="s">
        <v>488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62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62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62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62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62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62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62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62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63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63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63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64"/>
      <c r="B51" s="293">
        <v>0</v>
      </c>
      <c r="C51" s="6" t="s">
        <v>28</v>
      </c>
      <c r="D51" s="455" t="s">
        <v>376</v>
      </c>
      <c r="E51" s="455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5" t="s">
        <v>489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1028</v>
      </c>
      <c r="H52" s="296">
        <f>F52*G52</f>
        <v>18689.04</v>
      </c>
      <c r="I52" s="417"/>
      <c r="J52" s="297">
        <v>3</v>
      </c>
      <c r="K52" s="298">
        <f>G52/P52*60</f>
        <v>3083.9999999999864</v>
      </c>
      <c r="L52" s="299">
        <f>K52/J52</f>
        <v>1027.9999999999955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466"/>
      <c r="B53" s="293" t="s">
        <v>131</v>
      </c>
      <c r="C53" s="416"/>
      <c r="D53" s="315" t="s">
        <v>110</v>
      </c>
      <c r="E53" s="331"/>
      <c r="F53" s="295">
        <v>25.03</v>
      </c>
      <c r="G53" s="302">
        <v>759</v>
      </c>
      <c r="H53" s="296">
        <f t="shared" ref="H53:H116" si="11">F53*G53</f>
        <v>18997.77</v>
      </c>
      <c r="I53" s="417"/>
      <c r="J53" s="297">
        <v>4</v>
      </c>
      <c r="K53" s="298">
        <f t="shared" ref="K53:K57" si="12">G53/P53*60</f>
        <v>3035.9999999999945</v>
      </c>
      <c r="L53" s="299">
        <f t="shared" ref="L53:L57" si="13">K53/J53</f>
        <v>758.99999999999864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466"/>
      <c r="B54" s="293" t="s">
        <v>131</v>
      </c>
      <c r="C54" s="416"/>
      <c r="D54" s="315" t="s">
        <v>111</v>
      </c>
      <c r="E54" s="413"/>
      <c r="F54" s="295">
        <v>24.82</v>
      </c>
      <c r="G54" s="302">
        <v>1019</v>
      </c>
      <c r="H54" s="296">
        <f t="shared" si="11"/>
        <v>25291.58</v>
      </c>
      <c r="I54" s="417"/>
      <c r="J54" s="297">
        <v>4</v>
      </c>
      <c r="K54" s="298">
        <f t="shared" si="12"/>
        <v>3057.0000000000109</v>
      </c>
      <c r="L54" s="299">
        <f t="shared" si="13"/>
        <v>764.25000000000273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466"/>
      <c r="B55" s="293" t="s">
        <v>131</v>
      </c>
      <c r="C55" s="416"/>
      <c r="D55" s="315" t="s">
        <v>112</v>
      </c>
      <c r="E55" s="317"/>
      <c r="F55" s="295">
        <v>30</v>
      </c>
      <c r="G55" s="302">
        <v>1521</v>
      </c>
      <c r="H55" s="296">
        <f t="shared" si="11"/>
        <v>45630</v>
      </c>
      <c r="I55" s="417"/>
      <c r="J55" s="297">
        <v>4</v>
      </c>
      <c r="K55" s="298">
        <f t="shared" si="12"/>
        <v>3146.896551724149</v>
      </c>
      <c r="L55" s="299">
        <f t="shared" si="13"/>
        <v>786.72413793103726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466"/>
      <c r="B56" s="293" t="s">
        <v>131</v>
      </c>
      <c r="C56" s="416"/>
      <c r="D56" s="316" t="s">
        <v>490</v>
      </c>
      <c r="E56" s="317"/>
      <c r="F56" s="295">
        <v>23.72</v>
      </c>
      <c r="G56" s="302">
        <v>1235</v>
      </c>
      <c r="H56" s="296">
        <f t="shared" si="11"/>
        <v>29294.199999999997</v>
      </c>
      <c r="I56" s="417"/>
      <c r="J56" s="297">
        <v>4</v>
      </c>
      <c r="K56" s="298">
        <f t="shared" si="12"/>
        <v>2964.0000000000009</v>
      </c>
      <c r="L56" s="299">
        <f t="shared" si="13"/>
        <v>741.00000000000023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466"/>
      <c r="B57" s="293" t="s">
        <v>131</v>
      </c>
      <c r="C57" s="6" t="s">
        <v>31</v>
      </c>
      <c r="D57" s="315" t="s">
        <v>491</v>
      </c>
      <c r="E57" s="317"/>
      <c r="F57" s="295">
        <v>17.07</v>
      </c>
      <c r="G57" s="302">
        <v>2610</v>
      </c>
      <c r="H57" s="296">
        <f t="shared" si="11"/>
        <v>44552.700000000004</v>
      </c>
      <c r="I57" s="417"/>
      <c r="J57" s="297">
        <v>3</v>
      </c>
      <c r="K57" s="298">
        <f t="shared" si="12"/>
        <v>3195.9183673469397</v>
      </c>
      <c r="L57" s="299">
        <f t="shared" si="13"/>
        <v>1065.30612244898</v>
      </c>
      <c r="M57" s="300">
        <v>0.49583333333333335</v>
      </c>
      <c r="N57" s="300">
        <v>0.52986111111111112</v>
      </c>
      <c r="O57" s="298">
        <v>20</v>
      </c>
      <c r="P57" s="411">
        <f t="shared" si="14"/>
        <v>48.999999999999986</v>
      </c>
      <c r="Q57" s="301"/>
      <c r="R57" s="301"/>
    </row>
    <row r="58" spans="1:18" ht="15.6" customHeight="1">
      <c r="A58" s="46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7"/>
      <c r="B64" s="293">
        <v>0</v>
      </c>
      <c r="C64" s="6" t="s">
        <v>492</v>
      </c>
      <c r="D64" s="455" t="s">
        <v>376</v>
      </c>
      <c r="E64" s="455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3080.6358198451803</v>
      </c>
      <c r="L64" s="309">
        <f>AVERAGE(L52:L63)</f>
        <v>857.38004339666907</v>
      </c>
      <c r="M64" s="300"/>
      <c r="N64" s="300"/>
      <c r="O64" s="292"/>
      <c r="P64" s="292"/>
      <c r="Q64" s="292"/>
      <c r="R64" s="292"/>
    </row>
    <row r="65" spans="1:18" ht="15.6" customHeight="1">
      <c r="A65" s="452" t="s">
        <v>493</v>
      </c>
      <c r="B65" s="293" t="s">
        <v>131</v>
      </c>
      <c r="C65" s="416"/>
      <c r="D65" s="316" t="s">
        <v>494</v>
      </c>
      <c r="E65" s="330"/>
      <c r="F65" s="295">
        <v>22.281818181818181</v>
      </c>
      <c r="G65" s="416">
        <v>714</v>
      </c>
      <c r="H65" s="296">
        <f>F65*G65</f>
        <v>15909.218181818182</v>
      </c>
      <c r="I65" s="417"/>
      <c r="J65" s="297">
        <v>4</v>
      </c>
      <c r="K65" s="298">
        <f t="shared" ref="K65:K72" si="15">G65/P65*60</f>
        <v>3060.0000000000023</v>
      </c>
      <c r="L65" s="299">
        <f t="shared" ref="L65:L72" si="16">K65/J65</f>
        <v>765.00000000000057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53"/>
      <c r="B66" s="293" t="s">
        <v>131</v>
      </c>
      <c r="C66" s="416"/>
      <c r="D66" s="316" t="s">
        <v>115</v>
      </c>
      <c r="E66" s="331"/>
      <c r="F66" s="295">
        <v>18.18</v>
      </c>
      <c r="G66" s="302">
        <v>1605</v>
      </c>
      <c r="H66" s="296">
        <f t="shared" ref="H66:H74" si="17">F66*G66</f>
        <v>29178.899999999998</v>
      </c>
      <c r="I66" s="417"/>
      <c r="J66" s="297">
        <v>3</v>
      </c>
      <c r="K66" s="298">
        <f t="shared" si="15"/>
        <v>3106.4516129032286</v>
      </c>
      <c r="L66" s="299">
        <f t="shared" si="16"/>
        <v>1035.4838709677429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453"/>
      <c r="B67" s="293" t="s">
        <v>131</v>
      </c>
      <c r="C67" s="416"/>
      <c r="D67" s="332" t="s">
        <v>495</v>
      </c>
      <c r="E67" s="317"/>
      <c r="F67" s="295">
        <v>17.890909090909091</v>
      </c>
      <c r="G67" s="302">
        <v>1912</v>
      </c>
      <c r="H67" s="296">
        <f t="shared" si="17"/>
        <v>34207.418181818182</v>
      </c>
      <c r="I67" s="417"/>
      <c r="J67" s="297">
        <v>3</v>
      </c>
      <c r="K67" s="298">
        <f t="shared" si="15"/>
        <v>3186.6666666666674</v>
      </c>
      <c r="L67" s="299">
        <f t="shared" si="16"/>
        <v>1062.2222222222224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453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4894</v>
      </c>
      <c r="H68" s="296">
        <f t="shared" si="17"/>
        <v>69914.285714285696</v>
      </c>
      <c r="I68" s="417"/>
      <c r="J68" s="297">
        <v>3</v>
      </c>
      <c r="K68" s="298">
        <f t="shared" si="15"/>
        <v>3191.739130434783</v>
      </c>
      <c r="L68" s="299">
        <f t="shared" si="16"/>
        <v>1063.913043478261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453"/>
      <c r="B69" s="293" t="s">
        <v>131</v>
      </c>
      <c r="C69" s="416"/>
      <c r="D69" s="316" t="s">
        <v>496</v>
      </c>
      <c r="E69" s="317"/>
      <c r="F69" s="295">
        <v>16.66</v>
      </c>
      <c r="G69" s="302">
        <v>3223</v>
      </c>
      <c r="H69" s="296">
        <f t="shared" si="17"/>
        <v>53695.18</v>
      </c>
      <c r="I69" s="417"/>
      <c r="J69" s="297">
        <v>4</v>
      </c>
      <c r="K69" s="298">
        <f t="shared" si="15"/>
        <v>3170.1639344262244</v>
      </c>
      <c r="L69" s="299">
        <f t="shared" si="16"/>
        <v>792.5409836065561</v>
      </c>
      <c r="M69" s="300">
        <v>0.40138888888888885</v>
      </c>
      <c r="N69" s="300">
        <v>0.44375000000000003</v>
      </c>
      <c r="O69" s="298">
        <v>20</v>
      </c>
      <c r="P69" s="411">
        <f t="shared" si="18"/>
        <v>61.000000000000099</v>
      </c>
      <c r="Q69" s="301"/>
      <c r="R69" s="301"/>
    </row>
    <row r="70" spans="1:18" ht="15.75" customHeight="1">
      <c r="A70" s="453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3082</v>
      </c>
      <c r="H70" s="296">
        <f t="shared" si="17"/>
        <v>43240.46</v>
      </c>
      <c r="I70" s="417"/>
      <c r="J70" s="297">
        <v>3</v>
      </c>
      <c r="K70" s="298">
        <f t="shared" si="15"/>
        <v>3188.2758620689679</v>
      </c>
      <c r="L70" s="299">
        <f t="shared" si="16"/>
        <v>1062.758620689656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453"/>
      <c r="B71" s="293" t="s">
        <v>131</v>
      </c>
      <c r="C71" s="314"/>
      <c r="D71" s="332" t="s">
        <v>497</v>
      </c>
      <c r="E71" s="317"/>
      <c r="F71" s="295">
        <v>25.2</v>
      </c>
      <c r="G71" s="334">
        <v>1240</v>
      </c>
      <c r="H71" s="296">
        <f t="shared" si="17"/>
        <v>31248</v>
      </c>
      <c r="I71" s="417"/>
      <c r="J71" s="297">
        <v>3</v>
      </c>
      <c r="K71" s="298">
        <f t="shared" si="15"/>
        <v>3099.9999999999905</v>
      </c>
      <c r="L71" s="299">
        <f t="shared" si="16"/>
        <v>1033.3333333333301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453"/>
      <c r="B72" s="293" t="s">
        <v>131</v>
      </c>
      <c r="C72" s="416"/>
      <c r="D72" s="332" t="s">
        <v>498</v>
      </c>
      <c r="E72" s="317"/>
      <c r="F72" s="295">
        <v>20.72</v>
      </c>
      <c r="G72" s="302">
        <v>3068</v>
      </c>
      <c r="H72" s="296">
        <f t="shared" si="17"/>
        <v>63568.959999999999</v>
      </c>
      <c r="I72" s="417"/>
      <c r="J72" s="297">
        <v>3</v>
      </c>
      <c r="K72" s="298">
        <f t="shared" si="15"/>
        <v>3173.7931034482872</v>
      </c>
      <c r="L72" s="299">
        <f t="shared" si="16"/>
        <v>1057.9310344827625</v>
      </c>
      <c r="M72" s="300">
        <v>0.54236111111111118</v>
      </c>
      <c r="N72" s="300">
        <v>0.58263888888888882</v>
      </c>
      <c r="O72" s="298">
        <v>20</v>
      </c>
      <c r="P72" s="411">
        <f t="shared" si="18"/>
        <v>57.999999999999794</v>
      </c>
      <c r="Q72" s="301"/>
      <c r="R72" s="301"/>
    </row>
    <row r="73" spans="1:18" ht="15.6" customHeight="1">
      <c r="A73" s="453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53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54"/>
      <c r="B75" s="293">
        <v>0</v>
      </c>
      <c r="C75" s="6" t="s">
        <v>499</v>
      </c>
      <c r="D75" s="455" t="s">
        <v>376</v>
      </c>
      <c r="E75" s="455"/>
      <c r="F75" s="304"/>
      <c r="G75" s="309"/>
      <c r="H75" s="327"/>
      <c r="I75" s="328"/>
      <c r="J75" s="308">
        <f>AVERAGE(J65:J74)</f>
        <v>3.25</v>
      </c>
      <c r="K75" s="308">
        <f>AVERAGE(K65:K74)</f>
        <v>3147.1362887435189</v>
      </c>
      <c r="L75" s="309">
        <f>AVERAGE(L65:L74)</f>
        <v>984.14788859756652</v>
      </c>
      <c r="M75" s="300"/>
      <c r="N75" s="300"/>
      <c r="O75" s="292"/>
      <c r="P75" s="292"/>
      <c r="Q75" s="292"/>
      <c r="R75" s="292"/>
    </row>
    <row r="76" spans="1:18" ht="16.2" customHeight="1">
      <c r="A76" s="456" t="s">
        <v>117</v>
      </c>
      <c r="B76" s="293">
        <v>0</v>
      </c>
      <c r="C76" s="293"/>
      <c r="D76" s="457"/>
      <c r="E76" s="458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56"/>
      <c r="B77" s="293">
        <v>0</v>
      </c>
      <c r="C77" s="293"/>
      <c r="D77" s="457"/>
      <c r="E77" s="458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56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56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56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56"/>
      <c r="B81" s="293">
        <v>0</v>
      </c>
      <c r="C81" s="6" t="s">
        <v>31</v>
      </c>
      <c r="D81" s="450" t="s">
        <v>376</v>
      </c>
      <c r="E81" s="450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41" t="s">
        <v>500</v>
      </c>
      <c r="B82" s="293" t="s">
        <v>131</v>
      </c>
      <c r="C82" s="314"/>
      <c r="D82" s="315" t="s">
        <v>501</v>
      </c>
      <c r="E82" s="340"/>
      <c r="F82" s="295">
        <v>17.22</v>
      </c>
      <c r="G82" s="319">
        <v>1057</v>
      </c>
      <c r="H82" s="341">
        <f t="shared" ref="H82:H90" si="19">F82*G82</f>
        <v>18201.539999999997</v>
      </c>
      <c r="I82" s="417"/>
      <c r="J82" s="297">
        <v>3</v>
      </c>
      <c r="K82" s="298">
        <f t="shared" ref="K82" si="20">G82/P82*60</f>
        <v>3170.9999999999859</v>
      </c>
      <c r="L82" s="299">
        <f t="shared" ref="L82" si="21">K82/J82</f>
        <v>1056.9999999999952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42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42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42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42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42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42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42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42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442"/>
      <c r="B91" s="293">
        <v>0</v>
      </c>
      <c r="C91" s="6" t="s">
        <v>485</v>
      </c>
      <c r="D91" s="443" t="s">
        <v>376</v>
      </c>
      <c r="E91" s="443"/>
      <c r="F91" s="304"/>
      <c r="G91" s="344"/>
      <c r="H91" s="345"/>
      <c r="I91" s="307"/>
      <c r="J91" s="308">
        <f>AVERAGE(J82:J90)</f>
        <v>3</v>
      </c>
      <c r="K91" s="308">
        <f>AVERAGE(K82:K90)</f>
        <v>3170.9999999999859</v>
      </c>
      <c r="L91" s="309">
        <f>AVERAGE(L82:L90)</f>
        <v>1056.9999999999952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444" t="s">
        <v>502</v>
      </c>
      <c r="B92" s="293" t="s">
        <v>131</v>
      </c>
      <c r="C92" s="293"/>
      <c r="D92" s="346" t="s">
        <v>503</v>
      </c>
      <c r="E92" s="340"/>
      <c r="F92" s="295">
        <v>24.54</v>
      </c>
      <c r="G92" s="416">
        <v>1555</v>
      </c>
      <c r="H92" s="296">
        <f t="shared" ref="H92:H99" si="23">F92*G92</f>
        <v>38159.699999999997</v>
      </c>
      <c r="I92" s="417"/>
      <c r="J92" s="297">
        <v>3</v>
      </c>
      <c r="K92" s="298">
        <f>G92/P92*60</f>
        <v>2332.4999999999991</v>
      </c>
      <c r="L92" s="299">
        <f t="shared" ref="L92:L93" si="24">K92/J92</f>
        <v>777.49999999999966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5"/>
      <c r="B93" s="293" t="s">
        <v>131</v>
      </c>
      <c r="C93" s="293"/>
      <c r="D93" s="315" t="s">
        <v>504</v>
      </c>
      <c r="E93" s="335"/>
      <c r="F93" s="295">
        <v>23.27</v>
      </c>
      <c r="G93" s="302">
        <v>1264</v>
      </c>
      <c r="H93" s="296">
        <f t="shared" si="23"/>
        <v>29413.279999999999</v>
      </c>
      <c r="I93" s="417"/>
      <c r="J93" s="297">
        <v>4</v>
      </c>
      <c r="K93" s="298">
        <f t="shared" ref="K93" si="25">G93/P93*60</f>
        <v>2166.8571428571304</v>
      </c>
      <c r="L93" s="299">
        <f t="shared" si="24"/>
        <v>541.7142857142826</v>
      </c>
      <c r="M93" s="300">
        <v>0.76388888888888884</v>
      </c>
      <c r="N93" s="300">
        <v>0.78819444444444453</v>
      </c>
      <c r="O93" s="292">
        <v>20</v>
      </c>
      <c r="P93" s="411">
        <f>(N93-M93)*24*60</f>
        <v>35.000000000000199</v>
      </c>
      <c r="Q93" s="301"/>
      <c r="R93" s="301"/>
    </row>
    <row r="94" spans="1:18">
      <c r="A94" s="445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6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6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6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6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6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6"/>
      <c r="B100" s="293">
        <v>0</v>
      </c>
      <c r="C100" s="6" t="s">
        <v>505</v>
      </c>
      <c r="D100" s="447" t="s">
        <v>376</v>
      </c>
      <c r="E100" s="448"/>
      <c r="F100" s="304"/>
      <c r="G100" s="305"/>
      <c r="H100" s="347"/>
      <c r="I100" s="307"/>
      <c r="J100" s="308">
        <f>AVERAGE(J92:J99)</f>
        <v>3.5</v>
      </c>
      <c r="K100" s="308">
        <f>AVERAGE(K92:K99)</f>
        <v>2249.6785714285647</v>
      </c>
      <c r="L100" s="309">
        <f>AVERAGE(L92:L99)</f>
        <v>659.60714285714107</v>
      </c>
      <c r="M100" s="300"/>
      <c r="N100" s="300"/>
      <c r="O100" s="298"/>
      <c r="P100" s="298"/>
      <c r="Q100" s="299"/>
      <c r="R100" s="299"/>
    </row>
    <row r="101" spans="1:18" ht="16.2" customHeight="1">
      <c r="A101" s="449" t="s">
        <v>506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1196</v>
      </c>
      <c r="H101" s="296">
        <f t="shared" ref="H101:H110" si="26">F101*G101</f>
        <v>29935.88</v>
      </c>
      <c r="I101" s="417"/>
      <c r="J101" s="297">
        <v>4</v>
      </c>
      <c r="K101" s="298">
        <f>G101/P101*60</f>
        <v>2870.3999999999915</v>
      </c>
      <c r="L101" s="299">
        <f t="shared" ref="L101:L105" si="27">K101/J101</f>
        <v>717.59999999999786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9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1870</v>
      </c>
      <c r="H102" s="296">
        <f t="shared" si="26"/>
        <v>46413.4</v>
      </c>
      <c r="I102" s="417"/>
      <c r="J102" s="297">
        <v>4</v>
      </c>
      <c r="K102" s="298">
        <f t="shared" ref="K102:K105" si="29">G102/P102*60</f>
        <v>3205.7142857142826</v>
      </c>
      <c r="L102" s="299">
        <f t="shared" si="27"/>
        <v>801.42857142857065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449"/>
      <c r="B103" s="293" t="s">
        <v>131</v>
      </c>
      <c r="C103" s="6"/>
      <c r="D103" s="315" t="s">
        <v>507</v>
      </c>
      <c r="E103" s="315"/>
      <c r="F103" s="295">
        <v>30</v>
      </c>
      <c r="G103" s="416">
        <v>2104</v>
      </c>
      <c r="H103" s="296">
        <f t="shared" si="26"/>
        <v>63120</v>
      </c>
      <c r="I103" s="417"/>
      <c r="J103" s="297">
        <v>3</v>
      </c>
      <c r="K103" s="298">
        <f t="shared" si="29"/>
        <v>2805.333333333333</v>
      </c>
      <c r="L103" s="299">
        <f t="shared" si="27"/>
        <v>935.11111111111097</v>
      </c>
      <c r="M103" s="300">
        <v>0.79166666666666663</v>
      </c>
      <c r="N103" s="300">
        <v>0.82291666666666663</v>
      </c>
      <c r="O103" s="292">
        <v>20</v>
      </c>
      <c r="P103" s="298">
        <f t="shared" si="28"/>
        <v>45</v>
      </c>
      <c r="Q103" s="301"/>
      <c r="R103" s="301"/>
    </row>
    <row r="104" spans="1:18">
      <c r="A104" s="449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3213</v>
      </c>
      <c r="H104" s="296">
        <f t="shared" si="26"/>
        <v>91795.41</v>
      </c>
      <c r="I104" s="417"/>
      <c r="J104" s="297">
        <v>3</v>
      </c>
      <c r="K104" s="298">
        <f t="shared" si="29"/>
        <v>2965.8461538461424</v>
      </c>
      <c r="L104" s="299">
        <f t="shared" si="27"/>
        <v>988.61538461538078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449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9059</v>
      </c>
      <c r="H105" s="296">
        <f t="shared" si="26"/>
        <v>129414.2857142857</v>
      </c>
      <c r="I105" s="417"/>
      <c r="J105" s="297">
        <v>3</v>
      </c>
      <c r="K105" s="298">
        <f t="shared" si="29"/>
        <v>3019.6666666666665</v>
      </c>
      <c r="L105" s="299">
        <f t="shared" si="27"/>
        <v>1006.5555555555555</v>
      </c>
      <c r="M105" s="300">
        <v>46176.9375</v>
      </c>
      <c r="N105" s="300">
        <v>46177.0625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449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9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9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9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9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9"/>
      <c r="B111" s="293">
        <v>0</v>
      </c>
      <c r="C111" s="6" t="s">
        <v>492</v>
      </c>
      <c r="D111" s="450" t="s">
        <v>376</v>
      </c>
      <c r="E111" s="451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2973.3920879120833</v>
      </c>
      <c r="L111" s="309">
        <f>AVERAGE(L101:L110)</f>
        <v>889.86212454212307</v>
      </c>
      <c r="M111" s="300"/>
      <c r="N111" s="300"/>
      <c r="O111" s="298"/>
      <c r="P111" s="298"/>
      <c r="Q111" s="299"/>
      <c r="R111" s="292"/>
    </row>
    <row r="112" spans="1:18" ht="16.2" customHeight="1">
      <c r="A112" s="439" t="s">
        <v>508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1628</v>
      </c>
      <c r="H112" s="341">
        <f t="shared" si="11"/>
        <v>27187.599999999999</v>
      </c>
      <c r="I112" s="417"/>
      <c r="J112" s="297">
        <v>3</v>
      </c>
      <c r="K112" s="298">
        <f t="shared" ref="K112:K118" si="30">G112/P112*60</f>
        <v>3256.0000000000114</v>
      </c>
      <c r="L112" s="299">
        <f t="shared" ref="L112:L118" si="31">K112/J112</f>
        <v>1085.3333333333371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39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1037</v>
      </c>
      <c r="H113" s="341">
        <f t="shared" si="11"/>
        <v>18852.66</v>
      </c>
      <c r="I113" s="417"/>
      <c r="J113" s="297">
        <v>4</v>
      </c>
      <c r="K113" s="298">
        <f t="shared" si="30"/>
        <v>2488.8000000000247</v>
      </c>
      <c r="L113" s="299">
        <f t="shared" si="31"/>
        <v>622.20000000000618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439"/>
      <c r="B114" s="293" t="s">
        <v>131</v>
      </c>
      <c r="C114" s="314"/>
      <c r="D114" s="410" t="s">
        <v>509</v>
      </c>
      <c r="E114" s="315"/>
      <c r="F114" s="295">
        <v>18.18</v>
      </c>
      <c r="G114" s="416">
        <v>1169</v>
      </c>
      <c r="H114" s="341">
        <f t="shared" si="11"/>
        <v>21252.42</v>
      </c>
      <c r="I114" s="417"/>
      <c r="J114" s="297">
        <v>3</v>
      </c>
      <c r="K114" s="298">
        <f t="shared" si="30"/>
        <v>2805.5999999999922</v>
      </c>
      <c r="L114" s="299">
        <f t="shared" si="31"/>
        <v>935.19999999999743</v>
      </c>
      <c r="M114" s="300">
        <v>0.78472222222222221</v>
      </c>
      <c r="N114" s="300">
        <v>0.80208333333333337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439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6040</v>
      </c>
      <c r="H115" s="341">
        <f t="shared" si="11"/>
        <v>100626.4</v>
      </c>
      <c r="I115" s="417"/>
      <c r="J115" s="297">
        <v>4</v>
      </c>
      <c r="K115" s="298">
        <f t="shared" si="30"/>
        <v>3020.0000000000027</v>
      </c>
      <c r="L115" s="299">
        <f t="shared" si="31"/>
        <v>755.00000000000068</v>
      </c>
      <c r="M115" s="300">
        <v>0.81597222222222221</v>
      </c>
      <c r="N115" s="300">
        <v>0.89930555555555547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439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1105</v>
      </c>
      <c r="H116" s="341">
        <f t="shared" si="11"/>
        <v>24621.409090909092</v>
      </c>
      <c r="I116" s="417"/>
      <c r="J116" s="297">
        <v>4</v>
      </c>
      <c r="K116" s="298">
        <f t="shared" si="30"/>
        <v>2652.0000000000264</v>
      </c>
      <c r="L116" s="299">
        <f t="shared" si="31"/>
        <v>663.00000000000659</v>
      </c>
      <c r="M116" s="300">
        <v>0.91319444444444453</v>
      </c>
      <c r="N116" s="343">
        <v>0.93055555555555547</v>
      </c>
      <c r="O116" s="292">
        <v>20</v>
      </c>
      <c r="P116" s="411">
        <f t="shared" si="32"/>
        <v>24.999999999999751</v>
      </c>
      <c r="Q116" s="301">
        <v>0.93055555555555547</v>
      </c>
      <c r="R116" s="301">
        <v>0.97222222222222221</v>
      </c>
    </row>
    <row r="117" spans="1:18">
      <c r="A117" s="439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4016</v>
      </c>
      <c r="H117" s="341">
        <f t="shared" ref="H117:H123" si="33">F117*G117</f>
        <v>71849.890909090915</v>
      </c>
      <c r="I117" s="417"/>
      <c r="J117" s="297">
        <v>3</v>
      </c>
      <c r="K117" s="298">
        <f t="shared" si="30"/>
        <v>3012.0000000438304</v>
      </c>
      <c r="L117" s="299">
        <f t="shared" si="31"/>
        <v>1004.0000000146101</v>
      </c>
      <c r="M117" s="300">
        <v>46176.986111111109</v>
      </c>
      <c r="N117" s="300">
        <v>46177.041666666664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439"/>
      <c r="B118" s="293" t="s">
        <v>131</v>
      </c>
      <c r="C118" s="314"/>
      <c r="D118" s="315" t="s">
        <v>510</v>
      </c>
      <c r="E118" s="331"/>
      <c r="F118" s="295">
        <v>14.03</v>
      </c>
      <c r="G118" s="416">
        <v>6448</v>
      </c>
      <c r="H118" s="341">
        <f t="shared" si="33"/>
        <v>90465.44</v>
      </c>
      <c r="I118" s="417"/>
      <c r="J118" s="297">
        <v>3</v>
      </c>
      <c r="K118" s="298">
        <f t="shared" si="30"/>
        <v>3095.04</v>
      </c>
      <c r="L118" s="299">
        <f t="shared" si="31"/>
        <v>1031.68</v>
      </c>
      <c r="M118" s="300">
        <v>5.5555555555555552E-2</v>
      </c>
      <c r="N118" s="300">
        <v>0.1423611111111111</v>
      </c>
      <c r="O118" s="298">
        <v>20</v>
      </c>
      <c r="P118" s="411">
        <f t="shared" si="32"/>
        <v>124.99999999999999</v>
      </c>
      <c r="Q118" s="301"/>
      <c r="R118" s="301"/>
    </row>
    <row r="119" spans="1:18">
      <c r="A119" s="439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39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39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39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39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439"/>
      <c r="B124" s="293">
        <v>0</v>
      </c>
      <c r="C124" s="6" t="s">
        <v>499</v>
      </c>
      <c r="D124" s="440" t="s">
        <v>376</v>
      </c>
      <c r="E124" s="440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2904.2057142919839</v>
      </c>
      <c r="L124" s="309">
        <f>AVERAGE(L112:L123)</f>
        <v>870.91619047827976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AA92" sqref="AA92"/>
      <selection pane="bottomLeft" activeCell="M88" sqref="M8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313</v>
      </c>
      <c r="B1" s="28"/>
      <c r="C1" s="28"/>
      <c r="D1" s="438" t="s">
        <v>315</v>
      </c>
      <c r="E1" s="29">
        <f>SUM(G5:G173)</f>
        <v>187599.35</v>
      </c>
      <c r="F1" s="422" t="s">
        <v>3</v>
      </c>
      <c r="G1" s="30">
        <f>SUM(H5:H173)</f>
        <v>7363950.0751207955</v>
      </c>
      <c r="H1" s="437" t="s">
        <v>37</v>
      </c>
      <c r="I1" s="31">
        <f>M17+M30+M43+M56+M69+M82+M95+M108+M121+M134+M147+M160+M173</f>
        <v>193.41904761904763</v>
      </c>
      <c r="J1" s="579" t="s">
        <v>38</v>
      </c>
      <c r="K1" s="579"/>
      <c r="L1" s="579"/>
      <c r="M1" s="579" t="s">
        <v>39</v>
      </c>
      <c r="N1" s="579"/>
      <c r="O1" s="579"/>
      <c r="P1" s="579" t="s">
        <v>317</v>
      </c>
      <c r="Q1" s="579"/>
      <c r="R1" s="579"/>
      <c r="S1" s="579"/>
      <c r="T1" s="579" t="s">
        <v>319</v>
      </c>
      <c r="U1" s="579"/>
      <c r="V1" s="579"/>
      <c r="W1" s="579"/>
      <c r="X1" s="579"/>
      <c r="Y1" s="579"/>
      <c r="Z1" s="32" t="s">
        <v>321</v>
      </c>
      <c r="AA1" s="32" t="s">
        <v>323</v>
      </c>
      <c r="AB1" s="595" t="s">
        <v>325</v>
      </c>
      <c r="AC1" s="596"/>
      <c r="AD1" s="32" t="s">
        <v>321</v>
      </c>
      <c r="AE1" s="32" t="s">
        <v>327</v>
      </c>
      <c r="AF1" s="579" t="s">
        <v>329</v>
      </c>
      <c r="AG1" s="580"/>
      <c r="AH1" s="580"/>
    </row>
    <row r="2" spans="1:34" ht="26.25" customHeight="1">
      <c r="A2" s="587" t="s">
        <v>428</v>
      </c>
      <c r="B2" s="587"/>
      <c r="C2" s="438"/>
      <c r="D2" s="438" t="s">
        <v>332</v>
      </c>
      <c r="E2" s="34">
        <f>AVERAGE(O17,O30,O43,O56,O69,O82,O95,O108,O121,O134,O147,O160,O173)</f>
        <v>125.54652089585184</v>
      </c>
      <c r="F2" s="35" t="s">
        <v>40</v>
      </c>
      <c r="G2" s="36">
        <f>G1/E1</f>
        <v>39.253601225808062</v>
      </c>
      <c r="H2" s="437" t="s">
        <v>41</v>
      </c>
      <c r="I2" s="437">
        <f>COUNT(I5:I173)</f>
        <v>16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17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334</v>
      </c>
      <c r="B3" s="588" t="s">
        <v>42</v>
      </c>
      <c r="C3" s="589"/>
      <c r="D3" s="588" t="s">
        <v>336</v>
      </c>
      <c r="E3" s="588"/>
      <c r="F3" s="589" t="s">
        <v>43</v>
      </c>
      <c r="G3" s="604" t="s">
        <v>44</v>
      </c>
      <c r="H3" s="589" t="s">
        <v>45</v>
      </c>
      <c r="I3" s="581" t="s">
        <v>338</v>
      </c>
      <c r="J3" s="582" t="s">
        <v>46</v>
      </c>
      <c r="K3" s="583" t="s">
        <v>47</v>
      </c>
      <c r="L3" s="584" t="s">
        <v>35</v>
      </c>
      <c r="M3" s="604" t="s">
        <v>46</v>
      </c>
      <c r="N3" s="583" t="s">
        <v>340</v>
      </c>
      <c r="O3" s="584" t="s">
        <v>332</v>
      </c>
      <c r="P3" s="582" t="s">
        <v>342</v>
      </c>
      <c r="Q3" s="584" t="s">
        <v>332</v>
      </c>
      <c r="R3" s="585" t="s">
        <v>344</v>
      </c>
      <c r="S3" s="586" t="s">
        <v>346</v>
      </c>
      <c r="T3" s="604" t="s">
        <v>48</v>
      </c>
      <c r="U3" s="604"/>
      <c r="V3" s="605" t="s">
        <v>49</v>
      </c>
      <c r="W3" s="581" t="s">
        <v>348</v>
      </c>
      <c r="X3" s="604" t="s">
        <v>350</v>
      </c>
      <c r="Y3" s="604"/>
      <c r="Z3" s="606" t="s">
        <v>429</v>
      </c>
      <c r="AA3" s="607"/>
      <c r="AB3" s="591" t="s">
        <v>353</v>
      </c>
      <c r="AC3" s="592"/>
      <c r="AD3" s="593" t="s">
        <v>430</v>
      </c>
      <c r="AE3" s="594"/>
      <c r="AF3" s="583" t="s">
        <v>340</v>
      </c>
      <c r="AG3" s="585" t="s">
        <v>344</v>
      </c>
      <c r="AH3" s="586" t="s">
        <v>346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50</v>
      </c>
      <c r="U4" s="432" t="s">
        <v>51</v>
      </c>
      <c r="V4" s="604"/>
      <c r="W4" s="581"/>
      <c r="X4" s="422" t="s">
        <v>359</v>
      </c>
      <c r="Y4" s="422" t="s">
        <v>36</v>
      </c>
      <c r="Z4" s="432" t="s">
        <v>431</v>
      </c>
      <c r="AA4" s="432" t="s">
        <v>432</v>
      </c>
      <c r="AB4" s="592"/>
      <c r="AC4" s="592"/>
      <c r="AD4" s="432" t="s">
        <v>433</v>
      </c>
      <c r="AE4" s="39" t="s">
        <v>434</v>
      </c>
      <c r="AF4" s="583"/>
      <c r="AG4" s="585"/>
      <c r="AH4" s="586"/>
    </row>
    <row r="5" spans="1:34" ht="18.75" customHeight="1">
      <c r="A5" s="599" t="s">
        <v>365</v>
      </c>
      <c r="B5" s="40" t="s">
        <v>127</v>
      </c>
      <c r="C5" s="41"/>
      <c r="D5" s="42" t="s">
        <v>52</v>
      </c>
      <c r="E5" s="43"/>
      <c r="F5" s="355">
        <v>37.83</v>
      </c>
      <c r="G5" s="44">
        <v>6460.35</v>
      </c>
      <c r="H5" s="45">
        <f t="shared" ref="H5:H16" si="0">F5*G5</f>
        <v>244395.0405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2392.7222222222226</v>
      </c>
      <c r="O5" s="47">
        <f t="shared" ref="O5:O11" si="2">N5/M5</f>
        <v>119.63611111111113</v>
      </c>
      <c r="P5" s="48">
        <f t="shared" ref="P5:P11" si="3">M5-J5</f>
        <v>0</v>
      </c>
      <c r="Q5" s="49">
        <f t="shared" ref="Q5:Q11" si="4">O5-L5</f>
        <v>-0.36388888888886584</v>
      </c>
      <c r="R5" s="424">
        <f t="shared" ref="R5:R11" si="5">O5/L5</f>
        <v>0.99696759259259282</v>
      </c>
      <c r="S5" s="602">
        <f>R17</f>
        <v>0.93690252697621412</v>
      </c>
      <c r="T5" s="89">
        <v>0.25</v>
      </c>
      <c r="U5" s="89">
        <v>0.36249999999999999</v>
      </c>
      <c r="V5" s="422">
        <v>5</v>
      </c>
      <c r="W5" s="433">
        <f>(U5-T5)*24*60</f>
        <v>161.99999999999997</v>
      </c>
      <c r="X5" s="422"/>
      <c r="Y5" s="422"/>
      <c r="Z5" s="51"/>
      <c r="AA5" s="51"/>
      <c r="AB5" s="588"/>
      <c r="AC5" s="588"/>
      <c r="AD5" s="52">
        <v>1</v>
      </c>
      <c r="AE5" s="52">
        <v>1</v>
      </c>
      <c r="AF5" s="48">
        <f t="shared" ref="AF5:AF70" si="6">N5-K5</f>
        <v>-7.2777777777773736</v>
      </c>
      <c r="AG5" s="424">
        <f t="shared" ref="AG5:AG70" si="7">N5/K5</f>
        <v>0.99696759259259271</v>
      </c>
      <c r="AH5" s="602">
        <f>AG17</f>
        <v>0.94701239819827931</v>
      </c>
    </row>
    <row r="6" spans="1:34" ht="19.2" customHeight="1">
      <c r="A6" s="600"/>
      <c r="B6" s="40" t="s">
        <v>127</v>
      </c>
      <c r="C6" s="41"/>
      <c r="D6" s="42" t="s">
        <v>188</v>
      </c>
      <c r="E6" s="43"/>
      <c r="F6" s="355">
        <v>38.99</v>
      </c>
      <c r="G6" s="44">
        <v>1761</v>
      </c>
      <c r="H6" s="45">
        <f t="shared" si="0"/>
        <v>68661.39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2457.2093023255811</v>
      </c>
      <c r="O6" s="47">
        <f t="shared" si="2"/>
        <v>144.54172366621066</v>
      </c>
      <c r="P6" s="48">
        <f t="shared" si="3"/>
        <v>0</v>
      </c>
      <c r="Q6" s="49">
        <f t="shared" si="4"/>
        <v>-14.281805745554038</v>
      </c>
      <c r="R6" s="424">
        <f t="shared" si="5"/>
        <v>0.91007751937984493</v>
      </c>
      <c r="S6" s="602"/>
      <c r="T6" s="89">
        <v>0.37777777777777777</v>
      </c>
      <c r="U6" s="89">
        <v>0.40763888888888888</v>
      </c>
      <c r="V6" s="422">
        <v>22</v>
      </c>
      <c r="W6" s="433">
        <f t="shared" ref="W6:W17" si="8">(U6-T6)*24*60</f>
        <v>43.000000000000007</v>
      </c>
      <c r="X6" s="53">
        <v>0.3666666666666667</v>
      </c>
      <c r="Y6" s="53">
        <v>0.37638888888888888</v>
      </c>
      <c r="Z6" s="54"/>
      <c r="AA6" s="54"/>
      <c r="AB6" s="588"/>
      <c r="AC6" s="588"/>
      <c r="AD6" s="420"/>
      <c r="AE6" s="420"/>
      <c r="AF6" s="48">
        <f t="shared" si="6"/>
        <v>-242.79069767441888</v>
      </c>
      <c r="AG6" s="424">
        <f t="shared" si="7"/>
        <v>0.91007751937984482</v>
      </c>
      <c r="AH6" s="602"/>
    </row>
    <row r="7" spans="1:34" ht="19.2" customHeight="1">
      <c r="A7" s="600"/>
      <c r="B7" s="40" t="s">
        <v>127</v>
      </c>
      <c r="C7" s="41"/>
      <c r="D7" s="42" t="s">
        <v>184</v>
      </c>
      <c r="E7" s="43"/>
      <c r="F7" s="355">
        <v>28.86</v>
      </c>
      <c r="G7" s="44">
        <v>2391</v>
      </c>
      <c r="H7" s="45">
        <f t="shared" si="0"/>
        <v>69004.259999999995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2473.4482758620675</v>
      </c>
      <c r="O7" s="47">
        <f t="shared" si="2"/>
        <v>145.49695740365104</v>
      </c>
      <c r="P7" s="48">
        <f t="shared" si="3"/>
        <v>0</v>
      </c>
      <c r="Q7" s="49">
        <f t="shared" si="4"/>
        <v>-13.326572008113658</v>
      </c>
      <c r="R7" s="424">
        <f t="shared" si="5"/>
        <v>0.91609195402298804</v>
      </c>
      <c r="S7" s="602"/>
      <c r="T7" s="89">
        <v>0.41249999999999998</v>
      </c>
      <c r="U7" s="89">
        <v>0.45277777777777778</v>
      </c>
      <c r="V7" s="422">
        <v>7</v>
      </c>
      <c r="W7" s="433">
        <f t="shared" si="8"/>
        <v>58.000000000000036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-226.55172413793252</v>
      </c>
      <c r="AG7" s="424">
        <f t="shared" si="7"/>
        <v>0.91609195402298793</v>
      </c>
      <c r="AH7" s="602"/>
    </row>
    <row r="8" spans="1:34" ht="19.2" customHeight="1">
      <c r="A8" s="600"/>
      <c r="B8" s="40" t="s">
        <v>127</v>
      </c>
      <c r="C8" s="41"/>
      <c r="D8" s="42" t="s">
        <v>53</v>
      </c>
      <c r="E8" s="43"/>
      <c r="F8" s="355">
        <v>31.11</v>
      </c>
      <c r="G8" s="44">
        <v>2903</v>
      </c>
      <c r="H8" s="45">
        <f t="shared" si="0"/>
        <v>90312.33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2679.6923076923067</v>
      </c>
      <c r="O8" s="47">
        <f t="shared" si="2"/>
        <v>141.03643724696352</v>
      </c>
      <c r="P8" s="48">
        <f t="shared" si="3"/>
        <v>1</v>
      </c>
      <c r="Q8" s="49">
        <f t="shared" si="4"/>
        <v>-8.9635627530364843</v>
      </c>
      <c r="R8" s="424">
        <f t="shared" si="5"/>
        <v>0.94024291497975676</v>
      </c>
      <c r="S8" s="602"/>
      <c r="T8" s="89">
        <v>0.45694444444444443</v>
      </c>
      <c r="U8" s="89">
        <v>0.50208333333333333</v>
      </c>
      <c r="V8" s="422">
        <v>6</v>
      </c>
      <c r="W8" s="433">
        <f t="shared" si="8"/>
        <v>65.000000000000014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-20.307692307693287</v>
      </c>
      <c r="AG8" s="424">
        <f t="shared" si="7"/>
        <v>0.99247863247863211</v>
      </c>
      <c r="AH8" s="602"/>
    </row>
    <row r="9" spans="1:34" ht="19.2" customHeight="1">
      <c r="A9" s="600"/>
      <c r="B9" s="40" t="s">
        <v>127</v>
      </c>
      <c r="C9" s="55"/>
      <c r="D9" s="42" t="s">
        <v>209</v>
      </c>
      <c r="E9" s="56"/>
      <c r="F9" s="355">
        <v>35.89</v>
      </c>
      <c r="G9" s="57">
        <v>2853</v>
      </c>
      <c r="H9" s="45">
        <f t="shared" si="0"/>
        <v>102394.17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2445.4285714285688</v>
      </c>
      <c r="O9" s="47">
        <f t="shared" si="2"/>
        <v>143.84873949579816</v>
      </c>
      <c r="P9" s="48">
        <f t="shared" si="3"/>
        <v>0</v>
      </c>
      <c r="Q9" s="49">
        <f t="shared" si="4"/>
        <v>-14.974789915966539</v>
      </c>
      <c r="R9" s="424">
        <f t="shared" si="5"/>
        <v>0.90571428571428469</v>
      </c>
      <c r="S9" s="602"/>
      <c r="T9" s="89">
        <v>0.54236111111111107</v>
      </c>
      <c r="U9" s="89">
        <v>0.59097222222222223</v>
      </c>
      <c r="V9" s="422">
        <v>5</v>
      </c>
      <c r="W9" s="433">
        <f t="shared" si="8"/>
        <v>70.000000000000071</v>
      </c>
      <c r="X9" s="53"/>
      <c r="Y9" s="53"/>
      <c r="Z9" s="54"/>
      <c r="AA9" s="54"/>
      <c r="AB9" s="588"/>
      <c r="AC9" s="588"/>
      <c r="AD9" s="420">
        <v>1</v>
      </c>
      <c r="AE9" s="420"/>
      <c r="AF9" s="48">
        <f t="shared" si="6"/>
        <v>-254.57142857143117</v>
      </c>
      <c r="AG9" s="424">
        <f t="shared" si="7"/>
        <v>0.90571428571428481</v>
      </c>
      <c r="AH9" s="602"/>
    </row>
    <row r="10" spans="1:34" ht="19.2" customHeight="1">
      <c r="A10" s="601"/>
      <c r="B10" s="40" t="s">
        <v>127</v>
      </c>
      <c r="C10" s="41"/>
      <c r="D10" s="42" t="s">
        <v>205</v>
      </c>
      <c r="E10" s="43"/>
      <c r="F10" s="355">
        <v>46.93</v>
      </c>
      <c r="G10" s="44">
        <v>2025</v>
      </c>
      <c r="H10" s="45">
        <f t="shared" si="0"/>
        <v>95033.25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2209.0909090909104</v>
      </c>
      <c r="O10" s="47">
        <f t="shared" si="2"/>
        <v>122.7272727272728</v>
      </c>
      <c r="P10" s="48">
        <f t="shared" si="3"/>
        <v>0</v>
      </c>
      <c r="Q10" s="49">
        <f t="shared" si="4"/>
        <v>-10.606060606060538</v>
      </c>
      <c r="R10" s="424">
        <f t="shared" si="5"/>
        <v>0.92045454545454597</v>
      </c>
      <c r="S10" s="603"/>
      <c r="T10" s="89">
        <v>0.59652777777777777</v>
      </c>
      <c r="U10" s="89">
        <v>0.63472222222222219</v>
      </c>
      <c r="V10" s="422">
        <v>8</v>
      </c>
      <c r="W10" s="433">
        <f t="shared" si="8"/>
        <v>54.999999999999964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-190.90909090908963</v>
      </c>
      <c r="AG10" s="424">
        <f t="shared" si="7"/>
        <v>0.92045454545454597</v>
      </c>
      <c r="AH10" s="603"/>
    </row>
    <row r="11" spans="1:34" ht="19.2" customHeight="1">
      <c r="A11" s="601"/>
      <c r="B11" s="40" t="s">
        <v>127</v>
      </c>
      <c r="C11" s="41"/>
      <c r="D11" s="42" t="s">
        <v>367</v>
      </c>
      <c r="E11" s="43"/>
      <c r="F11" s="355">
        <v>43.96</v>
      </c>
      <c r="G11" s="44">
        <v>3782</v>
      </c>
      <c r="H11" s="45">
        <f t="shared" si="0"/>
        <v>166256.72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2388.6315789473688</v>
      </c>
      <c r="O11" s="47">
        <f t="shared" si="2"/>
        <v>119.43157894736844</v>
      </c>
      <c r="P11" s="48">
        <f t="shared" si="3"/>
        <v>0</v>
      </c>
      <c r="Q11" s="49">
        <f t="shared" si="4"/>
        <v>-0.56842105263156384</v>
      </c>
      <c r="R11" s="424">
        <f t="shared" si="5"/>
        <v>0.99526315789473696</v>
      </c>
      <c r="S11" s="603"/>
      <c r="T11" s="89">
        <v>0.65069444444444446</v>
      </c>
      <c r="U11" s="89">
        <v>0.71666666666666667</v>
      </c>
      <c r="V11" s="422">
        <v>23</v>
      </c>
      <c r="W11" s="433">
        <f t="shared" si="8"/>
        <v>94.999999999999986</v>
      </c>
      <c r="X11" s="53">
        <v>0.63888888888888895</v>
      </c>
      <c r="Y11" s="53">
        <v>0.65</v>
      </c>
      <c r="Z11" s="54"/>
      <c r="AA11" s="54"/>
      <c r="AB11" s="588"/>
      <c r="AC11" s="588"/>
      <c r="AD11" s="420"/>
      <c r="AE11" s="420"/>
      <c r="AF11" s="48">
        <f t="shared" si="6"/>
        <v>-11.36842105263122</v>
      </c>
      <c r="AG11" s="424">
        <f t="shared" si="7"/>
        <v>0.99526315789473696</v>
      </c>
      <c r="AH11" s="603"/>
    </row>
    <row r="12" spans="1:34" ht="19.2" customHeight="1">
      <c r="A12" s="601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2" customHeight="1">
      <c r="A13" s="601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2" customHeight="1">
      <c r="A14" s="601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2" customHeight="1">
      <c r="A15" s="601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2" customHeight="1">
      <c r="A16" s="601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2" customHeight="1">
      <c r="A17" s="601"/>
      <c r="B17" s="69">
        <v>0</v>
      </c>
      <c r="C17" s="69" t="s">
        <v>368</v>
      </c>
      <c r="D17" s="608" t="s">
        <v>370</v>
      </c>
      <c r="E17" s="608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2435.1747382241469</v>
      </c>
      <c r="O17" s="73">
        <f t="shared" si="9"/>
        <v>133.81697437119652</v>
      </c>
      <c r="P17" s="65">
        <f t="shared" ref="P17:P28" si="10">M17-J17</f>
        <v>0.14285714285714235</v>
      </c>
      <c r="Q17" s="74">
        <f t="shared" ref="Q17:Q24" si="11">O17-L17</f>
        <v>-9.012157281464539</v>
      </c>
      <c r="R17" s="75">
        <f>O17/L17</f>
        <v>0.93690252697621412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2</v>
      </c>
      <c r="AE17" s="79">
        <f>SUM(AE5:AE16)</f>
        <v>1</v>
      </c>
      <c r="AF17" s="65">
        <f t="shared" si="6"/>
        <v>-136.25383320442461</v>
      </c>
      <c r="AG17" s="425">
        <f t="shared" si="7"/>
        <v>0.94701239819827931</v>
      </c>
      <c r="AH17" s="603"/>
    </row>
    <row r="18" spans="1:34" ht="19.2" customHeight="1">
      <c r="A18" s="610" t="s">
        <v>372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4454.45</v>
      </c>
      <c r="H18" s="84">
        <f t="shared" ref="H18:H29" si="12">F18*G18</f>
        <v>164191.027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2264.9745762711859</v>
      </c>
      <c r="O18" s="86">
        <f t="shared" ref="O18:O24" si="14">N18/M18</f>
        <v>125.83192090395477</v>
      </c>
      <c r="P18" s="54">
        <f t="shared" si="10"/>
        <v>1</v>
      </c>
      <c r="Q18" s="88">
        <f t="shared" si="11"/>
        <v>-6.5210202725158126</v>
      </c>
      <c r="R18" s="421">
        <f t="shared" ref="R18:R24" si="15">O18/L18</f>
        <v>0.95073006905210278</v>
      </c>
      <c r="S18" s="611">
        <f>R30</f>
        <v>0.91271367936158654</v>
      </c>
      <c r="T18" s="89">
        <v>0.16666666666666666</v>
      </c>
      <c r="U18" s="89">
        <v>0.24861111111111112</v>
      </c>
      <c r="V18" s="420">
        <v>5</v>
      </c>
      <c r="W18" s="90">
        <f>(U18-T18)*24*60</f>
        <v>118.00000000000001</v>
      </c>
      <c r="X18" s="86"/>
      <c r="Y18" s="86"/>
      <c r="Z18" s="54"/>
      <c r="AA18" s="54"/>
      <c r="AB18" s="588"/>
      <c r="AC18" s="588"/>
      <c r="AD18" s="420">
        <v>1</v>
      </c>
      <c r="AE18" s="420">
        <v>1</v>
      </c>
      <c r="AF18" s="91">
        <f t="shared" si="6"/>
        <v>14.974576271185924</v>
      </c>
      <c r="AG18" s="92">
        <f t="shared" si="7"/>
        <v>1.0066553672316383</v>
      </c>
      <c r="AH18" s="612">
        <f>AG30</f>
        <v>0.94712685013727405</v>
      </c>
    </row>
    <row r="19" spans="1:34" ht="19.2" customHeight="1">
      <c r="A19" s="610"/>
      <c r="B19" s="430" t="s">
        <v>129</v>
      </c>
      <c r="C19" s="429"/>
      <c r="D19" s="82" t="s">
        <v>62</v>
      </c>
      <c r="E19" s="83"/>
      <c r="F19" s="355">
        <v>38.39</v>
      </c>
      <c r="G19" s="57">
        <v>1433.9</v>
      </c>
      <c r="H19" s="84">
        <f t="shared" si="12"/>
        <v>55047.421000000002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1458.2033898305078</v>
      </c>
      <c r="O19" s="95">
        <f t="shared" si="14"/>
        <v>85.776669990029873</v>
      </c>
      <c r="P19" s="54">
        <f t="shared" si="10"/>
        <v>1</v>
      </c>
      <c r="Q19" s="88">
        <f t="shared" si="11"/>
        <v>-16.473330009970127</v>
      </c>
      <c r="R19" s="421">
        <f t="shared" si="15"/>
        <v>0.83889163804430189</v>
      </c>
      <c r="S19" s="611"/>
      <c r="T19" s="89">
        <v>0.2638888888888889</v>
      </c>
      <c r="U19" s="89">
        <v>0.30486111111111114</v>
      </c>
      <c r="V19" s="420">
        <v>22</v>
      </c>
      <c r="W19" s="90">
        <f>(U19-T19)*24*60</f>
        <v>59.000000000000028</v>
      </c>
      <c r="X19" s="96">
        <v>0.25277777777777777</v>
      </c>
      <c r="Y19" s="96">
        <v>0.26250000000000001</v>
      </c>
      <c r="Z19" s="54"/>
      <c r="AA19" s="54"/>
      <c r="AB19" s="588"/>
      <c r="AC19" s="588"/>
      <c r="AD19" s="420"/>
      <c r="AE19" s="420"/>
      <c r="AF19" s="48">
        <f t="shared" si="6"/>
        <v>-177.79661016949217</v>
      </c>
      <c r="AG19" s="424">
        <f t="shared" si="7"/>
        <v>0.89132236542207077</v>
      </c>
      <c r="AH19" s="613"/>
    </row>
    <row r="20" spans="1:34" ht="19.2" customHeight="1">
      <c r="A20" s="610"/>
      <c r="B20" s="430" t="s">
        <v>129</v>
      </c>
      <c r="C20" s="55"/>
      <c r="D20" s="42" t="s">
        <v>186</v>
      </c>
      <c r="E20" s="83"/>
      <c r="F20" s="355">
        <v>56.43</v>
      </c>
      <c r="G20" s="57">
        <v>1238.9000000000001</v>
      </c>
      <c r="H20" s="84">
        <f t="shared" si="12"/>
        <v>69911.127000000008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1402.5283018867933</v>
      </c>
      <c r="O20" s="95">
        <f t="shared" si="14"/>
        <v>87.658018867924582</v>
      </c>
      <c r="P20" s="54">
        <f t="shared" si="10"/>
        <v>0</v>
      </c>
      <c r="Q20" s="88">
        <f t="shared" si="11"/>
        <v>-6.0919811320754178</v>
      </c>
      <c r="R20" s="421">
        <f t="shared" si="15"/>
        <v>0.93501886792452893</v>
      </c>
      <c r="S20" s="611"/>
      <c r="T20" s="89">
        <v>0.30972222222222223</v>
      </c>
      <c r="U20" s="89">
        <v>0.34652777777777777</v>
      </c>
      <c r="V20" s="420">
        <v>7</v>
      </c>
      <c r="W20" s="90">
        <f t="shared" ref="W20:W29" si="16">(U20-T20)*24*60</f>
        <v>52.999999999999972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-97.471698113206685</v>
      </c>
      <c r="AG20" s="92">
        <f t="shared" si="7"/>
        <v>0.93501886792452893</v>
      </c>
      <c r="AH20" s="613"/>
    </row>
    <row r="21" spans="1:34" ht="19.2" customHeight="1">
      <c r="A21" s="610"/>
      <c r="B21" s="430" t="s">
        <v>130</v>
      </c>
      <c r="C21" s="97"/>
      <c r="D21" s="98" t="s">
        <v>61</v>
      </c>
      <c r="E21" s="43"/>
      <c r="F21" s="355">
        <v>43.14</v>
      </c>
      <c r="G21" s="44">
        <v>1166.75</v>
      </c>
      <c r="H21" s="84">
        <f t="shared" si="12"/>
        <v>50333.595000000001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1400.1000000000004</v>
      </c>
      <c r="O21" s="95">
        <f t="shared" si="14"/>
        <v>87.506250000000023</v>
      </c>
      <c r="P21" s="54">
        <f t="shared" si="10"/>
        <v>0</v>
      </c>
      <c r="Q21" s="88">
        <f t="shared" si="11"/>
        <v>-2.4937499999999773</v>
      </c>
      <c r="R21" s="421">
        <f t="shared" si="15"/>
        <v>0.97229166666666689</v>
      </c>
      <c r="S21" s="611"/>
      <c r="T21" s="89">
        <v>0.3520833333333333</v>
      </c>
      <c r="U21" s="89">
        <v>0.38680555555555551</v>
      </c>
      <c r="V21" s="420">
        <v>8</v>
      </c>
      <c r="W21" s="90">
        <f t="shared" si="16"/>
        <v>49.999999999999986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-39.899999999999636</v>
      </c>
      <c r="AG21" s="424">
        <f t="shared" si="7"/>
        <v>0.97229166666666689</v>
      </c>
      <c r="AH21" s="614"/>
    </row>
    <row r="22" spans="1:34" ht="19.2" customHeight="1">
      <c r="A22" s="610"/>
      <c r="B22" s="430" t="s">
        <v>129</v>
      </c>
      <c r="C22" s="97"/>
      <c r="D22" s="42" t="s">
        <v>210</v>
      </c>
      <c r="E22" s="43"/>
      <c r="F22" s="355">
        <v>44.3</v>
      </c>
      <c r="G22" s="44">
        <v>2401.75</v>
      </c>
      <c r="H22" s="84">
        <f t="shared" si="12"/>
        <v>106397.52499999999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1441.0499999999995</v>
      </c>
      <c r="O22" s="95">
        <f t="shared" si="14"/>
        <v>84.767647058823499</v>
      </c>
      <c r="P22" s="54">
        <f t="shared" si="10"/>
        <v>0</v>
      </c>
      <c r="Q22" s="88">
        <f t="shared" si="11"/>
        <v>-11.467647058823559</v>
      </c>
      <c r="R22" s="421">
        <f t="shared" si="15"/>
        <v>0.88083740831295809</v>
      </c>
      <c r="S22" s="611"/>
      <c r="T22" s="89">
        <v>0.40277777777777773</v>
      </c>
      <c r="U22" s="89">
        <v>0.47222222222222221</v>
      </c>
      <c r="V22" s="420">
        <v>23</v>
      </c>
      <c r="W22" s="90">
        <f t="shared" si="16"/>
        <v>100.00000000000004</v>
      </c>
      <c r="X22" s="96">
        <v>0.39166666666666666</v>
      </c>
      <c r="Y22" s="96">
        <v>938</v>
      </c>
      <c r="Z22" s="54"/>
      <c r="AA22" s="54"/>
      <c r="AB22" s="588"/>
      <c r="AC22" s="588"/>
      <c r="AD22" s="420"/>
      <c r="AE22" s="420"/>
      <c r="AF22" s="91">
        <f t="shared" si="6"/>
        <v>-194.9500000000005</v>
      </c>
      <c r="AG22" s="92">
        <f t="shared" si="7"/>
        <v>0.88083740831295809</v>
      </c>
      <c r="AH22" s="614"/>
    </row>
    <row r="23" spans="1:34" ht="19.2" customHeight="1">
      <c r="A23" s="610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4726</v>
      </c>
      <c r="H23" s="84">
        <f t="shared" si="12"/>
        <v>181856.47999999998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2487.3684210526303</v>
      </c>
      <c r="O23" s="95">
        <f t="shared" si="14"/>
        <v>130.91412742382263</v>
      </c>
      <c r="P23" s="54">
        <f t="shared" si="10"/>
        <v>1</v>
      </c>
      <c r="Q23" s="88">
        <f t="shared" si="11"/>
        <v>-19.085872576177366</v>
      </c>
      <c r="R23" s="421">
        <f t="shared" si="15"/>
        <v>0.87276084949215094</v>
      </c>
      <c r="S23" s="611"/>
      <c r="T23" s="89">
        <v>0.50694444444444442</v>
      </c>
      <c r="U23" s="89">
        <v>0.58611111111111114</v>
      </c>
      <c r="V23" s="420">
        <v>5</v>
      </c>
      <c r="W23" s="90">
        <f t="shared" si="16"/>
        <v>114.00000000000007</v>
      </c>
      <c r="X23" s="96"/>
      <c r="Y23" s="96"/>
      <c r="Z23" s="54"/>
      <c r="AA23" s="54"/>
      <c r="AB23" s="588"/>
      <c r="AC23" s="588"/>
      <c r="AD23" s="420">
        <v>1</v>
      </c>
      <c r="AE23" s="420"/>
      <c r="AF23" s="48">
        <f t="shared" si="6"/>
        <v>-212.63157894736969</v>
      </c>
      <c r="AG23" s="424">
        <f t="shared" si="7"/>
        <v>0.92124756335282609</v>
      </c>
      <c r="AH23" s="614"/>
    </row>
    <row r="24" spans="1:34" ht="19.2" customHeight="1">
      <c r="A24" s="610"/>
      <c r="B24" s="430" t="s">
        <v>127</v>
      </c>
      <c r="C24" s="81"/>
      <c r="D24" s="82" t="s">
        <v>60</v>
      </c>
      <c r="E24" s="83"/>
      <c r="F24" s="355">
        <v>36.86</v>
      </c>
      <c r="G24" s="57">
        <v>2398.5499999999997</v>
      </c>
      <c r="H24" s="84">
        <f t="shared" si="12"/>
        <v>88410.552999999985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2248.6406250000023</v>
      </c>
      <c r="O24" s="95">
        <f t="shared" si="14"/>
        <v>124.9244791666668</v>
      </c>
      <c r="P24" s="54">
        <f t="shared" si="10"/>
        <v>1</v>
      </c>
      <c r="Q24" s="88">
        <f t="shared" si="11"/>
        <v>-7.4284620098037806</v>
      </c>
      <c r="R24" s="421">
        <f t="shared" si="15"/>
        <v>0.94387384259259366</v>
      </c>
      <c r="S24" s="611"/>
      <c r="T24" s="89">
        <v>0.60138888888888875</v>
      </c>
      <c r="U24" s="89">
        <v>0.64583333333333315</v>
      </c>
      <c r="V24" s="420">
        <v>22</v>
      </c>
      <c r="W24" s="90">
        <f t="shared" si="16"/>
        <v>63.999999999999929</v>
      </c>
      <c r="X24" s="96">
        <v>0.59027777777777779</v>
      </c>
      <c r="Y24" s="96">
        <v>0.60069444444444442</v>
      </c>
      <c r="Z24" s="54"/>
      <c r="AA24" s="54"/>
      <c r="AB24" s="588"/>
      <c r="AC24" s="588"/>
      <c r="AD24" s="420"/>
      <c r="AE24" s="420"/>
      <c r="AF24" s="91">
        <f t="shared" si="6"/>
        <v>-1.3593749999977263</v>
      </c>
      <c r="AG24" s="92">
        <f t="shared" si="7"/>
        <v>0.99939583333333437</v>
      </c>
      <c r="AH24" s="614"/>
    </row>
    <row r="25" spans="1:34" ht="19.2" customHeight="1">
      <c r="A25" s="610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2" customHeight="1">
      <c r="A26" s="610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2" customHeight="1">
      <c r="A27" s="610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2" customHeight="1">
      <c r="A28" s="610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2" customHeight="1">
      <c r="A29" s="610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2" customHeight="1">
      <c r="A30" s="610"/>
      <c r="B30" s="99">
        <v>0</v>
      </c>
      <c r="C30" s="100" t="s">
        <v>374</v>
      </c>
      <c r="D30" s="609" t="s">
        <v>370</v>
      </c>
      <c r="E30" s="609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1814.6950448630171</v>
      </c>
      <c r="O30" s="104">
        <f t="shared" si="17"/>
        <v>103.91130191588887</v>
      </c>
      <c r="P30" s="54">
        <f t="shared" ref="P30:P37" si="18">M30-J30</f>
        <v>0.5714285714285694</v>
      </c>
      <c r="Q30" s="88">
        <f t="shared" ref="Q30:Q37" si="19">O30-L30</f>
        <v>-9.9374375799094565</v>
      </c>
      <c r="R30" s="105">
        <f t="shared" ref="R30:R37" si="20">O30/L30</f>
        <v>0.91271367936158654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2</v>
      </c>
      <c r="AE30" s="107">
        <f>SUM(AE18:AE29)</f>
        <v>1</v>
      </c>
      <c r="AF30" s="108">
        <f t="shared" si="6"/>
        <v>-101.30495513698293</v>
      </c>
      <c r="AG30" s="109">
        <f t="shared" ref="AG30" si="21">N30/K30</f>
        <v>0.94712685013727405</v>
      </c>
      <c r="AH30" s="615"/>
    </row>
    <row r="31" spans="1:34" ht="19.2" customHeight="1">
      <c r="A31" s="618" t="s">
        <v>377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2053.35</v>
      </c>
      <c r="H31" s="112">
        <f t="shared" ref="H31:H40" si="22">F31*G31</f>
        <v>54413.774999999994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1432.5697674418602</v>
      </c>
      <c r="O31" s="115">
        <f t="shared" ref="O31:O37" si="24">N31/M31</f>
        <v>119.38081395348836</v>
      </c>
      <c r="P31" s="116">
        <f t="shared" si="18"/>
        <v>0</v>
      </c>
      <c r="Q31" s="117">
        <f t="shared" si="19"/>
        <v>-47.285852713178301</v>
      </c>
      <c r="R31" s="423">
        <f t="shared" si="20"/>
        <v>0.71628488372093013</v>
      </c>
      <c r="S31" s="620">
        <f>R43</f>
        <v>0.84731127677598217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-567.43023255813978</v>
      </c>
      <c r="AG31" s="120">
        <f t="shared" si="7"/>
        <v>0.71628488372093013</v>
      </c>
      <c r="AH31" s="616">
        <f>AG43</f>
        <v>0.84994499281410829</v>
      </c>
    </row>
    <row r="32" spans="1:34" ht="19.2" customHeight="1">
      <c r="A32" s="619"/>
      <c r="B32" s="121" t="s">
        <v>131</v>
      </c>
      <c r="C32" s="122"/>
      <c r="D32" s="42" t="s">
        <v>63</v>
      </c>
      <c r="E32" s="43"/>
      <c r="F32" s="355">
        <v>35.33</v>
      </c>
      <c r="G32" s="134">
        <v>2093</v>
      </c>
      <c r="H32" s="84">
        <f t="shared" si="22"/>
        <v>73945.69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1902.7272727272727</v>
      </c>
      <c r="O32" s="47">
        <f t="shared" si="24"/>
        <v>158.56060606060606</v>
      </c>
      <c r="P32" s="116">
        <f t="shared" si="18"/>
        <v>0</v>
      </c>
      <c r="Q32" s="49">
        <f t="shared" si="19"/>
        <v>-17.939393939393938</v>
      </c>
      <c r="R32" s="424">
        <f t="shared" si="20"/>
        <v>0.8983603742810542</v>
      </c>
      <c r="S32" s="611"/>
      <c r="T32" s="89">
        <v>0.18958333333333335</v>
      </c>
      <c r="U32" s="89">
        <v>0.23541666666666669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-215.27272727272725</v>
      </c>
      <c r="AG32" s="424">
        <f t="shared" si="7"/>
        <v>0.8983603742810542</v>
      </c>
      <c r="AH32" s="602"/>
    </row>
    <row r="33" spans="1:34" ht="19.2" customHeight="1">
      <c r="A33" s="61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1758</v>
      </c>
      <c r="H33" s="84">
        <f t="shared" si="22"/>
        <v>60176.34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1883.57142857143</v>
      </c>
      <c r="O33" s="47">
        <f t="shared" si="24"/>
        <v>156.96428571428584</v>
      </c>
      <c r="P33" s="116">
        <f t="shared" si="18"/>
        <v>0</v>
      </c>
      <c r="Q33" s="49">
        <f t="shared" si="19"/>
        <v>-19.535714285714164</v>
      </c>
      <c r="R33" s="424">
        <f t="shared" si="20"/>
        <v>0.88931606636989147</v>
      </c>
      <c r="S33" s="611"/>
      <c r="T33" s="89">
        <v>0.24097222222222225</v>
      </c>
      <c r="U33" s="89">
        <v>0.27986111111111112</v>
      </c>
      <c r="V33" s="142">
        <v>8</v>
      </c>
      <c r="W33" s="90">
        <f t="shared" si="25"/>
        <v>55.999999999999957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-234.42857142856997</v>
      </c>
      <c r="AG33" s="125">
        <f t="shared" si="7"/>
        <v>0.88931606636989147</v>
      </c>
      <c r="AH33" s="602"/>
    </row>
    <row r="34" spans="1:34" ht="19.2" customHeight="1">
      <c r="A34" s="619"/>
      <c r="B34" s="121" t="s">
        <v>132</v>
      </c>
      <c r="C34" s="126"/>
      <c r="D34" s="147" t="s">
        <v>144</v>
      </c>
      <c r="E34" s="83"/>
      <c r="F34" s="355">
        <v>54.09</v>
      </c>
      <c r="G34" s="137">
        <v>540.80000000000007</v>
      </c>
      <c r="H34" s="84">
        <f t="shared" si="22"/>
        <v>29251.872000000007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1248.0000000000009</v>
      </c>
      <c r="O34" s="47">
        <f t="shared" si="24"/>
        <v>69.333333333333385</v>
      </c>
      <c r="P34" s="116">
        <f t="shared" si="18"/>
        <v>0</v>
      </c>
      <c r="Q34" s="49">
        <f t="shared" si="19"/>
        <v>-13.999999999999943</v>
      </c>
      <c r="R34" s="424">
        <f t="shared" si="20"/>
        <v>0.83200000000000063</v>
      </c>
      <c r="S34" s="611"/>
      <c r="T34" s="89">
        <v>0.29652777777777778</v>
      </c>
      <c r="U34" s="89">
        <v>0.31458333333333333</v>
      </c>
      <c r="V34" s="137">
        <v>24</v>
      </c>
      <c r="W34" s="90">
        <f t="shared" si="25"/>
        <v>25.999999999999986</v>
      </c>
      <c r="X34" s="123">
        <v>0.28472222222222221</v>
      </c>
      <c r="Y34" s="123">
        <v>0.2951388888888889</v>
      </c>
      <c r="Z34" s="124"/>
      <c r="AA34" s="124"/>
      <c r="AB34" s="588"/>
      <c r="AC34" s="588"/>
      <c r="AD34" s="420"/>
      <c r="AE34" s="420"/>
      <c r="AF34" s="48">
        <f t="shared" si="6"/>
        <v>-251.99999999999909</v>
      </c>
      <c r="AG34" s="125">
        <f t="shared" si="7"/>
        <v>0.83200000000000063</v>
      </c>
      <c r="AH34" s="602"/>
    </row>
    <row r="35" spans="1:34" ht="19.2" customHeight="1">
      <c r="A35" s="619"/>
      <c r="B35" s="121" t="s">
        <v>129</v>
      </c>
      <c r="C35" s="41"/>
      <c r="D35" s="150" t="s">
        <v>189</v>
      </c>
      <c r="E35" s="43"/>
      <c r="F35" s="355">
        <v>56.43</v>
      </c>
      <c r="G35" s="137">
        <v>1857</v>
      </c>
      <c r="H35" s="84">
        <f t="shared" si="22"/>
        <v>104790.51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1326.4285714285711</v>
      </c>
      <c r="O35" s="47">
        <f t="shared" si="24"/>
        <v>78.025210084033588</v>
      </c>
      <c r="P35" s="116">
        <f t="shared" si="18"/>
        <v>0</v>
      </c>
      <c r="Q35" s="49">
        <f t="shared" si="19"/>
        <v>-18.21008403361347</v>
      </c>
      <c r="R35" s="424">
        <f t="shared" si="20"/>
        <v>0.81077541040866197</v>
      </c>
      <c r="S35" s="611"/>
      <c r="T35" s="89">
        <v>0.31944444444444442</v>
      </c>
      <c r="U35" s="89">
        <v>0.37777777777777777</v>
      </c>
      <c r="V35" s="134">
        <v>7</v>
      </c>
      <c r="W35" s="90">
        <f t="shared" si="25"/>
        <v>84.000000000000028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-309.5714285714289</v>
      </c>
      <c r="AG35" s="120">
        <f t="shared" si="7"/>
        <v>0.81077541040866208</v>
      </c>
      <c r="AH35" s="603"/>
    </row>
    <row r="36" spans="1:34" ht="19.2" customHeight="1">
      <c r="A36" s="619"/>
      <c r="B36" s="121" t="s">
        <v>129</v>
      </c>
      <c r="C36" s="128"/>
      <c r="D36" s="150" t="s">
        <v>179</v>
      </c>
      <c r="E36" s="83"/>
      <c r="F36" s="355">
        <v>49.91</v>
      </c>
      <c r="G36" s="134">
        <v>2423.85</v>
      </c>
      <c r="H36" s="84">
        <f t="shared" si="22"/>
        <v>120974.35349999998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1310.1891891891892</v>
      </c>
      <c r="O36" s="47">
        <f t="shared" si="24"/>
        <v>87.345945945945942</v>
      </c>
      <c r="P36" s="116">
        <f t="shared" si="18"/>
        <v>0</v>
      </c>
      <c r="Q36" s="49">
        <f t="shared" si="19"/>
        <v>-12.654054054054058</v>
      </c>
      <c r="R36" s="424">
        <f t="shared" si="20"/>
        <v>0.87345945945945946</v>
      </c>
      <c r="S36" s="611"/>
      <c r="T36" s="89">
        <v>0.39305555555555555</v>
      </c>
      <c r="U36" s="89">
        <v>0.47013888888888888</v>
      </c>
      <c r="V36" s="134">
        <v>22</v>
      </c>
      <c r="W36" s="90">
        <f t="shared" si="25"/>
        <v>111</v>
      </c>
      <c r="X36" s="123">
        <v>0.38194444444444442</v>
      </c>
      <c r="Y36" s="123">
        <v>0.3923611111111111</v>
      </c>
      <c r="Z36" s="124"/>
      <c r="AA36" s="124"/>
      <c r="AB36" s="588"/>
      <c r="AC36" s="588"/>
      <c r="AD36" s="420"/>
      <c r="AE36" s="420"/>
      <c r="AF36" s="48">
        <f t="shared" si="6"/>
        <v>-189.81081081081084</v>
      </c>
      <c r="AG36" s="424">
        <f t="shared" si="7"/>
        <v>0.87345945945945946</v>
      </c>
      <c r="AH36" s="603"/>
    </row>
    <row r="37" spans="1:34" ht="19.2" customHeight="1">
      <c r="A37" s="61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4945</v>
      </c>
      <c r="H37" s="84">
        <f t="shared" si="22"/>
        <v>186921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2431.9672131147536</v>
      </c>
      <c r="O37" s="47">
        <f t="shared" si="24"/>
        <v>127.99827437446072</v>
      </c>
      <c r="P37" s="116">
        <f t="shared" si="18"/>
        <v>0</v>
      </c>
      <c r="Q37" s="49">
        <f t="shared" si="19"/>
        <v>-14.106988783434019</v>
      </c>
      <c r="R37" s="424">
        <f t="shared" si="20"/>
        <v>0.90072859744990874</v>
      </c>
      <c r="S37" s="611"/>
      <c r="T37" s="89">
        <v>0.51041666666666663</v>
      </c>
      <c r="U37" s="89">
        <v>0.59513888888888888</v>
      </c>
      <c r="V37" s="134">
        <v>5</v>
      </c>
      <c r="W37" s="90">
        <f t="shared" si="25"/>
        <v>122.00000000000004</v>
      </c>
      <c r="X37" s="123"/>
      <c r="Y37" s="123"/>
      <c r="Z37" s="124"/>
      <c r="AA37" s="124"/>
      <c r="AB37" s="588"/>
      <c r="AC37" s="588"/>
      <c r="AD37" s="420">
        <v>1</v>
      </c>
      <c r="AE37" s="420">
        <v>1</v>
      </c>
      <c r="AF37" s="48">
        <f t="shared" si="6"/>
        <v>-268.03278688524642</v>
      </c>
      <c r="AG37" s="125">
        <f t="shared" si="7"/>
        <v>0.90072859744990874</v>
      </c>
      <c r="AH37" s="603"/>
    </row>
    <row r="38" spans="1:34" ht="19.2" customHeight="1">
      <c r="A38" s="61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2" customHeight="1">
      <c r="A39" s="61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2" customHeight="1">
      <c r="A40" s="61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2" customHeight="1">
      <c r="A41" s="61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2" customHeight="1">
      <c r="A42" s="61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2" customHeight="1">
      <c r="A43" s="619"/>
      <c r="B43" s="121">
        <v>0</v>
      </c>
      <c r="C43" s="100" t="s">
        <v>379</v>
      </c>
      <c r="D43" s="617" t="s">
        <v>370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1647.9219203532969</v>
      </c>
      <c r="O43" s="104">
        <f t="shared" si="26"/>
        <v>113.94406706659342</v>
      </c>
      <c r="P43" s="54">
        <f>M43-J43</f>
        <v>0</v>
      </c>
      <c r="Q43" s="88">
        <f>N43-K43</f>
        <v>-290.93522250384603</v>
      </c>
      <c r="R43" s="105">
        <f t="shared" ref="R43:R50" si="27">O43/L43</f>
        <v>0.84731127677598217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-290.93522250384603</v>
      </c>
      <c r="AG43" s="425">
        <f t="shared" si="7"/>
        <v>0.84994499281410829</v>
      </c>
      <c r="AH43" s="603"/>
    </row>
    <row r="44" spans="1:34" s="145" customFormat="1" ht="19.2" customHeight="1">
      <c r="A44" s="622" t="s">
        <v>381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1763</v>
      </c>
      <c r="H44" s="45">
        <f>F44*G44</f>
        <v>48482.5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1555.5882352941176</v>
      </c>
      <c r="O44" s="138">
        <f t="shared" ref="O44:O50" si="30">N44/M44</f>
        <v>129.63235294117646</v>
      </c>
      <c r="P44" s="51">
        <f t="shared" ref="P44:P50" si="31">M44-J44</f>
        <v>0</v>
      </c>
      <c r="Q44" s="139">
        <f t="shared" ref="Q44:Q50" si="32">O44-L44</f>
        <v>-37.034313725490193</v>
      </c>
      <c r="R44" s="140">
        <f t="shared" si="27"/>
        <v>0.77779411764705886</v>
      </c>
      <c r="S44" s="602">
        <f>R56</f>
        <v>0.8955793577819553</v>
      </c>
      <c r="T44" s="118">
        <v>0.125</v>
      </c>
      <c r="U44" s="118">
        <v>0.17222222222222222</v>
      </c>
      <c r="V44" s="142">
        <v>5</v>
      </c>
      <c r="W44" s="143">
        <f t="shared" ref="W44:W56" si="33">(U44-T44)*24*60</f>
        <v>68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-444.41176470588243</v>
      </c>
      <c r="AG44" s="428">
        <f t="shared" si="7"/>
        <v>0.77779411764705875</v>
      </c>
      <c r="AH44" s="625">
        <f>AG56</f>
        <v>0.96625032805225275</v>
      </c>
    </row>
    <row r="45" spans="1:34" s="145" customFormat="1" ht="19.2" customHeight="1">
      <c r="A45" s="623"/>
      <c r="B45" s="97" t="s">
        <v>131</v>
      </c>
      <c r="C45" s="133"/>
      <c r="D45" s="42" t="s">
        <v>76</v>
      </c>
      <c r="E45" s="43"/>
      <c r="F45" s="362">
        <v>24.73</v>
      </c>
      <c r="G45" s="134">
        <v>2033</v>
      </c>
      <c r="H45" s="45">
        <f>F45*G45</f>
        <v>50276.090000000004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2103.1034482758623</v>
      </c>
      <c r="O45" s="138">
        <f t="shared" si="30"/>
        <v>420.62068965517244</v>
      </c>
      <c r="P45" s="51">
        <f t="shared" si="31"/>
        <v>1</v>
      </c>
      <c r="Q45" s="139">
        <f t="shared" si="32"/>
        <v>-79.379310344827559</v>
      </c>
      <c r="R45" s="140">
        <f t="shared" si="27"/>
        <v>0.84124137931034493</v>
      </c>
      <c r="S45" s="602"/>
      <c r="T45" s="89">
        <v>0.17569444444444443</v>
      </c>
      <c r="U45" s="89">
        <v>0.2159722222222222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103.10344827586232</v>
      </c>
      <c r="AG45" s="428">
        <f t="shared" si="7"/>
        <v>1.0515517241379311</v>
      </c>
      <c r="AH45" s="625"/>
    </row>
    <row r="46" spans="1:34" s="145" customFormat="1" ht="19.2" customHeight="1">
      <c r="A46" s="623"/>
      <c r="B46" s="97" t="s">
        <v>131</v>
      </c>
      <c r="C46" s="133"/>
      <c r="D46" s="42" t="s">
        <v>77</v>
      </c>
      <c r="E46" s="43"/>
      <c r="F46" s="362">
        <v>24.73</v>
      </c>
      <c r="G46" s="134">
        <v>1979</v>
      </c>
      <c r="H46" s="45">
        <f t="shared" ref="H46:H51" si="34">F46*G46</f>
        <v>48940.67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2120.3571428571431</v>
      </c>
      <c r="O46" s="138">
        <f t="shared" si="30"/>
        <v>424.07142857142861</v>
      </c>
      <c r="P46" s="51">
        <f t="shared" si="31"/>
        <v>1</v>
      </c>
      <c r="Q46" s="139">
        <f t="shared" si="32"/>
        <v>-75.928571428571388</v>
      </c>
      <c r="R46" s="140">
        <f t="shared" si="27"/>
        <v>0.8481428571428572</v>
      </c>
      <c r="S46" s="602"/>
      <c r="T46" s="89">
        <v>0.21944444444444441</v>
      </c>
      <c r="U46" s="89">
        <v>0.2583333333333333</v>
      </c>
      <c r="V46" s="142">
        <v>5</v>
      </c>
      <c r="W46" s="143">
        <f t="shared" si="33"/>
        <v>56</v>
      </c>
      <c r="X46" s="123"/>
      <c r="Y46" s="123"/>
      <c r="Z46" s="124"/>
      <c r="AA46" s="124"/>
      <c r="AB46" s="588"/>
      <c r="AC46" s="588"/>
      <c r="AD46" s="420">
        <v>1</v>
      </c>
      <c r="AE46" s="420"/>
      <c r="AF46" s="144">
        <f t="shared" si="28"/>
        <v>120.35714285714312</v>
      </c>
      <c r="AG46" s="428">
        <f t="shared" si="7"/>
        <v>1.0601785714285716</v>
      </c>
      <c r="AH46" s="625"/>
    </row>
    <row r="47" spans="1:34" s="145" customFormat="1" ht="19.2" customHeight="1">
      <c r="A47" s="623"/>
      <c r="B47" s="97" t="s">
        <v>130</v>
      </c>
      <c r="C47" s="133"/>
      <c r="D47" s="42" t="s">
        <v>67</v>
      </c>
      <c r="E47" s="148"/>
      <c r="F47" s="362">
        <v>31.43</v>
      </c>
      <c r="G47" s="137">
        <v>1898</v>
      </c>
      <c r="H47" s="45">
        <f t="shared" si="34"/>
        <v>59654.14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1478.9610389610395</v>
      </c>
      <c r="O47" s="138">
        <f t="shared" si="30"/>
        <v>211.28014842300564</v>
      </c>
      <c r="P47" s="51">
        <f t="shared" si="31"/>
        <v>0</v>
      </c>
      <c r="Q47" s="139">
        <f t="shared" si="32"/>
        <v>-3.0055658627086359</v>
      </c>
      <c r="R47" s="140">
        <f t="shared" si="27"/>
        <v>0.98597402597402639</v>
      </c>
      <c r="S47" s="602"/>
      <c r="T47" s="89">
        <v>0.27569444444444441</v>
      </c>
      <c r="U47" s="89">
        <v>0.32916666666666661</v>
      </c>
      <c r="V47" s="137">
        <v>25</v>
      </c>
      <c r="W47" s="143">
        <f t="shared" si="33"/>
        <v>76.999999999999972</v>
      </c>
      <c r="X47" s="123">
        <v>0.26250000000000001</v>
      </c>
      <c r="Y47" s="123">
        <v>0.27499999999999997</v>
      </c>
      <c r="Z47" s="124"/>
      <c r="AA47" s="124"/>
      <c r="AB47" s="588"/>
      <c r="AC47" s="588"/>
      <c r="AD47" s="420">
        <v>1</v>
      </c>
      <c r="AE47" s="420"/>
      <c r="AF47" s="144">
        <f t="shared" si="28"/>
        <v>-21.038961038960451</v>
      </c>
      <c r="AG47" s="428">
        <f t="shared" si="7"/>
        <v>0.98597402597402639</v>
      </c>
      <c r="AH47" s="625"/>
    </row>
    <row r="48" spans="1:34" s="145" customFormat="1" ht="19.2" customHeight="1">
      <c r="A48" s="623"/>
      <c r="B48" s="97" t="s">
        <v>130</v>
      </c>
      <c r="C48" s="133"/>
      <c r="D48" s="42" t="s">
        <v>178</v>
      </c>
      <c r="E48" s="148"/>
      <c r="F48" s="362">
        <v>11.86</v>
      </c>
      <c r="G48" s="137">
        <v>1816</v>
      </c>
      <c r="H48" s="45">
        <f t="shared" si="34"/>
        <v>21537.759999999998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1452.8000000000004</v>
      </c>
      <c r="O48" s="138">
        <f t="shared" si="30"/>
        <v>242.13333333333341</v>
      </c>
      <c r="P48" s="51">
        <f t="shared" si="31"/>
        <v>0</v>
      </c>
      <c r="Q48" s="139">
        <f t="shared" si="32"/>
        <v>-7.866666666666589</v>
      </c>
      <c r="R48" s="140">
        <f t="shared" si="27"/>
        <v>0.96853333333333369</v>
      </c>
      <c r="S48" s="602"/>
      <c r="T48" s="89">
        <v>0.33611111111111103</v>
      </c>
      <c r="U48" s="89">
        <v>0.38819444444444434</v>
      </c>
      <c r="V48" s="134">
        <v>10</v>
      </c>
      <c r="W48" s="143">
        <f t="shared" si="33"/>
        <v>74.999999999999972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-47.199999999999591</v>
      </c>
      <c r="AG48" s="428">
        <f t="shared" si="7"/>
        <v>0.96853333333333358</v>
      </c>
      <c r="AH48" s="625"/>
    </row>
    <row r="49" spans="1:34" s="145" customFormat="1" ht="19.2" customHeight="1">
      <c r="A49" s="623"/>
      <c r="B49" s="97" t="s">
        <v>132</v>
      </c>
      <c r="C49" s="133"/>
      <c r="D49" s="42" t="s">
        <v>66</v>
      </c>
      <c r="E49" s="148"/>
      <c r="F49" s="362">
        <v>10.09</v>
      </c>
      <c r="G49" s="134">
        <v>4166.91</v>
      </c>
      <c r="H49" s="45">
        <f t="shared" si="34"/>
        <v>42044.121899999998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1445.1710982658965</v>
      </c>
      <c r="O49" s="138">
        <f t="shared" si="30"/>
        <v>240.86184971098274</v>
      </c>
      <c r="P49" s="51">
        <f t="shared" si="31"/>
        <v>0</v>
      </c>
      <c r="Q49" s="139">
        <f t="shared" si="32"/>
        <v>-9.1381502890172612</v>
      </c>
      <c r="R49" s="140">
        <f t="shared" si="27"/>
        <v>0.96344739884393094</v>
      </c>
      <c r="S49" s="602"/>
      <c r="T49" s="89">
        <v>0.42847222222222209</v>
      </c>
      <c r="U49" s="89">
        <v>0.54861111111111094</v>
      </c>
      <c r="V49" s="134">
        <v>5</v>
      </c>
      <c r="W49" s="143">
        <f t="shared" si="33"/>
        <v>172.99999999999994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-54.828901734103511</v>
      </c>
      <c r="AG49" s="428">
        <f t="shared" si="7"/>
        <v>0.96344739884393105</v>
      </c>
      <c r="AH49" s="625"/>
    </row>
    <row r="50" spans="1:34" s="145" customFormat="1" ht="19.2" customHeight="1">
      <c r="A50" s="623"/>
      <c r="B50" s="97" t="s">
        <v>132</v>
      </c>
      <c r="C50" s="133"/>
      <c r="D50" s="42" t="s">
        <v>66</v>
      </c>
      <c r="E50" s="148"/>
      <c r="F50" s="362">
        <v>10.09</v>
      </c>
      <c r="G50" s="134">
        <v>3549.59</v>
      </c>
      <c r="H50" s="45">
        <f t="shared" si="34"/>
        <v>35815.363100000002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1439.0229729729735</v>
      </c>
      <c r="O50" s="138">
        <f t="shared" si="30"/>
        <v>239.83716216216226</v>
      </c>
      <c r="P50" s="51">
        <f t="shared" si="31"/>
        <v>0</v>
      </c>
      <c r="Q50" s="139">
        <f t="shared" si="32"/>
        <v>-10.162837837837742</v>
      </c>
      <c r="R50" s="140">
        <f t="shared" si="27"/>
        <v>0.95934864864864899</v>
      </c>
      <c r="S50" s="602"/>
      <c r="T50" s="89">
        <v>0.5659722222222221</v>
      </c>
      <c r="U50" s="89">
        <v>0.66874999999999984</v>
      </c>
      <c r="V50" s="134">
        <v>25</v>
      </c>
      <c r="W50" s="143">
        <f t="shared" si="33"/>
        <v>147.99999999999994</v>
      </c>
      <c r="X50" s="152">
        <v>0.55277777777777781</v>
      </c>
      <c r="Y50" s="152">
        <v>0.56527777777777777</v>
      </c>
      <c r="Z50" s="153"/>
      <c r="AA50" s="153"/>
      <c r="AB50" s="588"/>
      <c r="AC50" s="588"/>
      <c r="AD50" s="420"/>
      <c r="AE50" s="420"/>
      <c r="AF50" s="144">
        <f t="shared" si="28"/>
        <v>-60.977027027026452</v>
      </c>
      <c r="AG50" s="428">
        <f t="shared" si="7"/>
        <v>0.95934864864864899</v>
      </c>
      <c r="AH50" s="625"/>
    </row>
    <row r="51" spans="1:34" s="145" customFormat="1" ht="19.2" customHeight="1">
      <c r="A51" s="623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2" customHeight="1">
      <c r="A52" s="623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2" customHeight="1">
      <c r="A53" s="623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2" customHeight="1">
      <c r="A54" s="623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2" customHeight="1">
      <c r="A55" s="623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2" customHeight="1">
      <c r="A56" s="624"/>
      <c r="B56" s="157">
        <v>0</v>
      </c>
      <c r="C56" s="268" t="s">
        <v>383</v>
      </c>
      <c r="D56" s="621" t="s">
        <v>370</v>
      </c>
      <c r="E56" s="617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1656.4291338038618</v>
      </c>
      <c r="O56" s="104">
        <f t="shared" si="35"/>
        <v>272.63385211389453</v>
      </c>
      <c r="P56" s="158">
        <f>M56-J56</f>
        <v>0.28571428571428559</v>
      </c>
      <c r="Q56" s="117">
        <f>N56-K56</f>
        <v>-57.856580481852461</v>
      </c>
      <c r="R56" s="159">
        <f t="shared" ref="R56:R62" si="36">O56/L56</f>
        <v>0.8955793577819553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2</v>
      </c>
      <c r="AE56" s="107">
        <f>SUM(AE44:AE55)</f>
        <v>0</v>
      </c>
      <c r="AF56" s="162">
        <f>N56-K56</f>
        <v>-57.856580481852461</v>
      </c>
      <c r="AG56" s="421">
        <f>N56/K56</f>
        <v>0.96625032805225275</v>
      </c>
      <c r="AH56" s="625"/>
    </row>
    <row r="57" spans="1:34" ht="19.2" customHeight="1">
      <c r="A57" s="628" t="s">
        <v>385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1048</v>
      </c>
      <c r="H57" s="84">
        <f t="shared" ref="H57:H66" si="37">F57*G57</f>
        <v>29616.480000000003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1429.090909090909</v>
      </c>
      <c r="O57" s="86">
        <f t="shared" ref="O57:O62" si="39">N57/M57</f>
        <v>204.15584415584414</v>
      </c>
      <c r="P57" s="165">
        <f t="shared" ref="P57:P62" si="40">M57-J57</f>
        <v>0</v>
      </c>
      <c r="Q57" s="49">
        <f t="shared" ref="Q57:Q62" si="41">O57-L57</f>
        <v>-10.129870129870142</v>
      </c>
      <c r="R57" s="424">
        <f t="shared" si="36"/>
        <v>0.95272727272727264</v>
      </c>
      <c r="S57" s="602">
        <f>R69</f>
        <v>0.96360438990431974</v>
      </c>
      <c r="T57" s="50">
        <v>0.125</v>
      </c>
      <c r="U57" s="50">
        <v>0.15555555555555556</v>
      </c>
      <c r="V57" s="422">
        <v>5</v>
      </c>
      <c r="W57" s="433">
        <f>(U57-T57)*24*60</f>
        <v>44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-70.909090909090992</v>
      </c>
      <c r="AG57" s="423">
        <f t="shared" si="7"/>
        <v>0.95272727272727264</v>
      </c>
      <c r="AH57" s="616">
        <f>AG69</f>
        <v>0.96387083567605558</v>
      </c>
    </row>
    <row r="58" spans="1:34" ht="19.2" customHeight="1">
      <c r="A58" s="619"/>
      <c r="B58" s="121" t="s">
        <v>130</v>
      </c>
      <c r="C58" s="420"/>
      <c r="D58" s="42" t="s">
        <v>69</v>
      </c>
      <c r="E58" s="43"/>
      <c r="F58" s="355">
        <v>27.88</v>
      </c>
      <c r="G58" s="44">
        <v>3007</v>
      </c>
      <c r="H58" s="45">
        <f t="shared" si="37"/>
        <v>83835.16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1443.3600000000004</v>
      </c>
      <c r="O58" s="47">
        <f t="shared" si="39"/>
        <v>206.19428571428577</v>
      </c>
      <c r="P58" s="165">
        <f t="shared" si="40"/>
        <v>0</v>
      </c>
      <c r="Q58" s="49">
        <f t="shared" si="41"/>
        <v>-8.0914285714285086</v>
      </c>
      <c r="R58" s="424">
        <f t="shared" si="36"/>
        <v>0.96224000000000032</v>
      </c>
      <c r="S58" s="602"/>
      <c r="T58" s="50">
        <v>0.16111111111111112</v>
      </c>
      <c r="U58" s="50">
        <v>0.24791666666666667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626"/>
      <c r="AC58" s="627"/>
      <c r="AD58" s="420"/>
      <c r="AE58" s="420">
        <v>1</v>
      </c>
      <c r="AF58" s="48">
        <f t="shared" si="6"/>
        <v>-56.639999999999645</v>
      </c>
      <c r="AG58" s="424">
        <f t="shared" si="7"/>
        <v>0.96224000000000021</v>
      </c>
      <c r="AH58" s="602"/>
    </row>
    <row r="59" spans="1:34" ht="19.2" customHeight="1">
      <c r="A59" s="619"/>
      <c r="B59" s="121" t="s">
        <v>130</v>
      </c>
      <c r="C59" s="420"/>
      <c r="D59" s="42" t="s">
        <v>70</v>
      </c>
      <c r="E59" s="43"/>
      <c r="F59" s="355">
        <v>28</v>
      </c>
      <c r="G59" s="44">
        <v>3224</v>
      </c>
      <c r="H59" s="45">
        <f t="shared" si="37"/>
        <v>90272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1454.4360902255639</v>
      </c>
      <c r="O59" s="47">
        <f t="shared" si="39"/>
        <v>207.7765843179377</v>
      </c>
      <c r="P59" s="165">
        <f t="shared" si="40"/>
        <v>0</v>
      </c>
      <c r="Q59" s="49">
        <f t="shared" si="41"/>
        <v>-6.5091299677765733</v>
      </c>
      <c r="R59" s="424">
        <f t="shared" si="36"/>
        <v>0.96962406015037594</v>
      </c>
      <c r="S59" s="602"/>
      <c r="T59" s="50">
        <v>0.26527777777777778</v>
      </c>
      <c r="U59" s="50">
        <v>0.3576388888888889</v>
      </c>
      <c r="V59" s="142">
        <v>25</v>
      </c>
      <c r="W59" s="433">
        <f t="shared" ref="W59:W69" si="42">(U59-T59)*24*60</f>
        <v>133</v>
      </c>
      <c r="X59" s="53">
        <v>0.25486111111111109</v>
      </c>
      <c r="Y59" s="53">
        <v>0.26458333333333334</v>
      </c>
      <c r="Z59" s="54"/>
      <c r="AA59" s="54"/>
      <c r="AB59" s="588"/>
      <c r="AC59" s="588"/>
      <c r="AD59" s="420"/>
      <c r="AE59" s="420"/>
      <c r="AF59" s="48">
        <f t="shared" si="6"/>
        <v>-45.56390977443607</v>
      </c>
      <c r="AG59" s="424">
        <f t="shared" si="7"/>
        <v>0.96962406015037594</v>
      </c>
      <c r="AH59" s="602"/>
    </row>
    <row r="60" spans="1:34" ht="19.2" customHeight="1">
      <c r="A60" s="619"/>
      <c r="B60" s="121" t="s">
        <v>130</v>
      </c>
      <c r="C60" s="420"/>
      <c r="D60" s="42" t="s">
        <v>387</v>
      </c>
      <c r="E60" s="43"/>
      <c r="F60" s="355">
        <v>28.47</v>
      </c>
      <c r="G60" s="44">
        <v>1447</v>
      </c>
      <c r="H60" s="45">
        <f t="shared" si="37"/>
        <v>41196.089999999997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1471.5254237288127</v>
      </c>
      <c r="O60" s="47">
        <f t="shared" si="39"/>
        <v>210.21791767554467</v>
      </c>
      <c r="P60" s="165">
        <f t="shared" si="40"/>
        <v>0</v>
      </c>
      <c r="Q60" s="49">
        <f t="shared" si="41"/>
        <v>-4.0677966101696086</v>
      </c>
      <c r="R60" s="424">
        <f t="shared" si="36"/>
        <v>0.98101694915254178</v>
      </c>
      <c r="S60" s="602"/>
      <c r="T60" s="50">
        <v>0.375</v>
      </c>
      <c r="U60" s="50">
        <v>0.41597222222222224</v>
      </c>
      <c r="V60" s="142">
        <v>25</v>
      </c>
      <c r="W60" s="433">
        <f t="shared" si="42"/>
        <v>59.000000000000028</v>
      </c>
      <c r="X60" s="53">
        <v>0.3611111111111111</v>
      </c>
      <c r="Y60" s="53">
        <v>0.37361111111111112</v>
      </c>
      <c r="Z60" s="54"/>
      <c r="AA60" s="54"/>
      <c r="AB60" s="588"/>
      <c r="AC60" s="588"/>
      <c r="AD60" s="420"/>
      <c r="AE60" s="420"/>
      <c r="AF60" s="48">
        <f t="shared" si="6"/>
        <v>-28.474576271187289</v>
      </c>
      <c r="AG60" s="423">
        <f t="shared" si="7"/>
        <v>0.98101694915254178</v>
      </c>
      <c r="AH60" s="602"/>
    </row>
    <row r="61" spans="1:34" ht="19.2" customHeight="1">
      <c r="A61" s="619"/>
      <c r="B61" s="121" t="s">
        <v>132</v>
      </c>
      <c r="C61" s="420"/>
      <c r="D61" s="42" t="s">
        <v>66</v>
      </c>
      <c r="E61" s="43"/>
      <c r="F61" s="355">
        <v>10.09</v>
      </c>
      <c r="G61" s="44">
        <v>4475.57</v>
      </c>
      <c r="H61" s="45">
        <f t="shared" si="37"/>
        <v>45158.501299999996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1436.0117647058817</v>
      </c>
      <c r="O61" s="47">
        <f t="shared" si="39"/>
        <v>239.33529411764695</v>
      </c>
      <c r="P61" s="165">
        <f t="shared" si="40"/>
        <v>0</v>
      </c>
      <c r="Q61" s="49">
        <f t="shared" si="41"/>
        <v>-10.664705882353047</v>
      </c>
      <c r="R61" s="424">
        <f t="shared" si="36"/>
        <v>0.95734117647058781</v>
      </c>
      <c r="S61" s="602"/>
      <c r="T61" s="50">
        <v>0.45624999999999999</v>
      </c>
      <c r="U61" s="50">
        <v>0.58611111111111114</v>
      </c>
      <c r="V61" s="142">
        <v>5</v>
      </c>
      <c r="W61" s="433">
        <f t="shared" si="42"/>
        <v>187.00000000000006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-63.98823529411834</v>
      </c>
      <c r="AG61" s="424">
        <f t="shared" si="7"/>
        <v>0.95734117647058781</v>
      </c>
      <c r="AH61" s="602"/>
    </row>
    <row r="62" spans="1:34" ht="19.2" customHeight="1">
      <c r="A62" s="619"/>
      <c r="B62" s="121" t="s">
        <v>132</v>
      </c>
      <c r="C62" s="420"/>
      <c r="D62" s="42" t="s">
        <v>66</v>
      </c>
      <c r="E62" s="43"/>
      <c r="F62" s="355">
        <v>10.09</v>
      </c>
      <c r="G62" s="134">
        <v>3240.93</v>
      </c>
      <c r="H62" s="45">
        <f t="shared" si="37"/>
        <v>32700.983699999997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1440.4133333333332</v>
      </c>
      <c r="O62" s="47">
        <f t="shared" si="39"/>
        <v>240.06888888888886</v>
      </c>
      <c r="P62" s="165">
        <f t="shared" si="40"/>
        <v>0</v>
      </c>
      <c r="Q62" s="49">
        <f t="shared" si="41"/>
        <v>-9.9311111111111359</v>
      </c>
      <c r="R62" s="424">
        <f t="shared" si="36"/>
        <v>0.96027555555555544</v>
      </c>
      <c r="S62" s="602"/>
      <c r="T62" s="166">
        <v>0.6034722222222223</v>
      </c>
      <c r="U62" s="166">
        <v>0.6972222222222223</v>
      </c>
      <c r="V62" s="142">
        <v>25</v>
      </c>
      <c r="W62" s="433">
        <f t="shared" si="42"/>
        <v>135</v>
      </c>
      <c r="X62" s="53">
        <v>0.59027777777777779</v>
      </c>
      <c r="Y62" s="53">
        <v>0.60277777777777775</v>
      </c>
      <c r="Z62" s="54"/>
      <c r="AA62" s="54"/>
      <c r="AB62" s="588"/>
      <c r="AC62" s="588"/>
      <c r="AD62" s="420">
        <v>1</v>
      </c>
      <c r="AE62" s="420"/>
      <c r="AF62" s="48">
        <f t="shared" si="6"/>
        <v>-59.586666666666815</v>
      </c>
      <c r="AG62" s="424">
        <f t="shared" si="7"/>
        <v>0.96027555555555544</v>
      </c>
      <c r="AH62" s="602"/>
    </row>
    <row r="63" spans="1:34" ht="19.2" customHeight="1">
      <c r="A63" s="61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2" customHeight="1">
      <c r="A64" s="584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2" customHeight="1">
      <c r="A65" s="584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2" customHeight="1">
      <c r="A66" s="584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2" customHeight="1">
      <c r="A67" s="584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2" customHeight="1">
      <c r="A68" s="584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2" customHeight="1">
      <c r="A69" s="584"/>
      <c r="B69" s="168">
        <v>0</v>
      </c>
      <c r="C69" s="6" t="s">
        <v>388</v>
      </c>
      <c r="D69" s="617" t="s">
        <v>370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1445.8062535140834</v>
      </c>
      <c r="O69" s="73">
        <f t="shared" si="43"/>
        <v>217.95813581169136</v>
      </c>
      <c r="P69" s="48">
        <f>M69-J69</f>
        <v>0</v>
      </c>
      <c r="Q69" s="49">
        <f>N69-K69</f>
        <v>-54.193746485916563</v>
      </c>
      <c r="R69" s="172">
        <f t="shared" ref="R69:R75" si="44">O69/L69</f>
        <v>0.96360438990431974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1</v>
      </c>
      <c r="AF69" s="48">
        <f t="shared" si="6"/>
        <v>-54.193746485916563</v>
      </c>
      <c r="AG69" s="424">
        <f t="shared" si="7"/>
        <v>0.96387083567605558</v>
      </c>
      <c r="AH69" s="602"/>
    </row>
    <row r="70" spans="1:34" ht="19.2" customHeight="1">
      <c r="A70" s="586" t="s">
        <v>390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1887</v>
      </c>
      <c r="H70" s="45">
        <f>F70*G70</f>
        <v>117239.31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1397.7777777777771</v>
      </c>
      <c r="O70" s="47">
        <f t="shared" ref="O70:O75" si="46">N70/M70</f>
        <v>99.841269841269792</v>
      </c>
      <c r="P70" s="48">
        <f t="shared" ref="P70:P75" si="47">M70-J70</f>
        <v>0</v>
      </c>
      <c r="Q70" s="49">
        <f t="shared" ref="Q70:Q75" si="48">O70-L70</f>
        <v>-7.3015873015873467</v>
      </c>
      <c r="R70" s="424">
        <f t="shared" si="44"/>
        <v>0.93185185185185138</v>
      </c>
      <c r="S70" s="602">
        <f>R82</f>
        <v>0.92888652219074841</v>
      </c>
      <c r="T70" s="50">
        <v>0.25</v>
      </c>
      <c r="U70" s="50">
        <v>0.30625000000000002</v>
      </c>
      <c r="V70" s="422">
        <v>5</v>
      </c>
      <c r="W70" s="433">
        <f>(U70-T70)*24*60</f>
        <v>81.000000000000028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-102.22222222222285</v>
      </c>
      <c r="AG70" s="424">
        <f t="shared" si="7"/>
        <v>0.93185185185185138</v>
      </c>
      <c r="AH70" s="602">
        <f>AG82</f>
        <v>0.9289173241097155</v>
      </c>
    </row>
    <row r="71" spans="1:34" ht="19.2" customHeight="1">
      <c r="A71" s="586"/>
      <c r="B71" s="422" t="s">
        <v>128</v>
      </c>
      <c r="C71" s="41"/>
      <c r="D71" s="173" t="s">
        <v>71</v>
      </c>
      <c r="E71" s="43"/>
      <c r="F71" s="355">
        <v>47.65</v>
      </c>
      <c r="G71" s="44">
        <v>1521.36</v>
      </c>
      <c r="H71" s="45">
        <f>F71*G71</f>
        <v>72492.803999999989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1342.3764705882352</v>
      </c>
      <c r="O71" s="47">
        <f t="shared" si="46"/>
        <v>74.576470588235281</v>
      </c>
      <c r="P71" s="48">
        <f t="shared" si="47"/>
        <v>0</v>
      </c>
      <c r="Q71" s="49">
        <f t="shared" si="48"/>
        <v>-5.4235294117647186</v>
      </c>
      <c r="R71" s="424">
        <f t="shared" si="44"/>
        <v>0.932205882352941</v>
      </c>
      <c r="S71" s="602"/>
      <c r="T71" s="50">
        <v>0.31180555555555556</v>
      </c>
      <c r="U71" s="50">
        <v>0.35902777777777778</v>
      </c>
      <c r="V71" s="422">
        <v>8</v>
      </c>
      <c r="W71" s="433">
        <f t="shared" ref="W71:W81" si="49">(U71-T71)*24*60</f>
        <v>68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-97.623529411764821</v>
      </c>
      <c r="AG71" s="424">
        <f>N71/K71</f>
        <v>0.93220588235294111</v>
      </c>
      <c r="AH71" s="602"/>
    </row>
    <row r="72" spans="1:34" ht="19.2" customHeight="1">
      <c r="A72" s="586"/>
      <c r="B72" s="422" t="s">
        <v>128</v>
      </c>
      <c r="C72" s="66"/>
      <c r="D72" s="173" t="s">
        <v>72</v>
      </c>
      <c r="E72" s="43"/>
      <c r="F72" s="355">
        <v>53.36</v>
      </c>
      <c r="G72" s="44">
        <v>3630.25</v>
      </c>
      <c r="H72" s="45">
        <f t="shared" ref="H72:H80" si="50">F72*G72</f>
        <v>193710.13999999998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1352.8881987577638</v>
      </c>
      <c r="O72" s="47">
        <f t="shared" si="46"/>
        <v>71.204642039882302</v>
      </c>
      <c r="P72" s="48">
        <f t="shared" si="47"/>
        <v>0</v>
      </c>
      <c r="Q72" s="49">
        <f t="shared" si="48"/>
        <v>-4.5848316443282187</v>
      </c>
      <c r="R72" s="424">
        <f t="shared" si="44"/>
        <v>0.93950569358178049</v>
      </c>
      <c r="S72" s="602"/>
      <c r="T72" s="50">
        <v>0.37430555555555556</v>
      </c>
      <c r="U72" s="50">
        <v>0.4861111111111111</v>
      </c>
      <c r="V72" s="422">
        <v>22</v>
      </c>
      <c r="W72" s="433">
        <f t="shared" si="49"/>
        <v>161</v>
      </c>
      <c r="X72" s="53">
        <v>0.36388888888888887</v>
      </c>
      <c r="Y72" s="53">
        <v>0.37361111111111112</v>
      </c>
      <c r="Z72" s="54"/>
      <c r="AA72" s="54"/>
      <c r="AB72" s="588"/>
      <c r="AC72" s="588"/>
      <c r="AD72" s="420"/>
      <c r="AE72" s="420"/>
      <c r="AF72" s="48">
        <f>N72-K72</f>
        <v>-87.111801242236197</v>
      </c>
      <c r="AG72" s="424">
        <f>N72/K72</f>
        <v>0.93950569358178038</v>
      </c>
      <c r="AH72" s="602"/>
    </row>
    <row r="73" spans="1:34" ht="19.2" customHeight="1">
      <c r="A73" s="586"/>
      <c r="B73" s="422" t="s">
        <v>128</v>
      </c>
      <c r="C73" s="175"/>
      <c r="D73" s="176" t="s">
        <v>73</v>
      </c>
      <c r="E73" s="177"/>
      <c r="F73" s="355">
        <v>53.76</v>
      </c>
      <c r="G73" s="44">
        <v>2567</v>
      </c>
      <c r="H73" s="45">
        <f t="shared" si="50"/>
        <v>138001.91999999998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1327.7586206896544</v>
      </c>
      <c r="O73" s="47">
        <f t="shared" si="46"/>
        <v>82.984913793103402</v>
      </c>
      <c r="P73" s="48">
        <f t="shared" si="47"/>
        <v>0</v>
      </c>
      <c r="Q73" s="49">
        <f t="shared" si="48"/>
        <v>-7.0150862068965978</v>
      </c>
      <c r="R73" s="424">
        <f t="shared" si="44"/>
        <v>0.92205459770114895</v>
      </c>
      <c r="S73" s="602"/>
      <c r="T73" s="50">
        <v>0.52638888888888891</v>
      </c>
      <c r="U73" s="50">
        <v>0.60694444444444451</v>
      </c>
      <c r="V73" s="422">
        <v>5</v>
      </c>
      <c r="W73" s="433">
        <f t="shared" si="49"/>
        <v>116.00000000000007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-112.24137931034556</v>
      </c>
      <c r="AG73" s="424">
        <f>N73/K73</f>
        <v>0.92205459770114895</v>
      </c>
      <c r="AH73" s="602"/>
    </row>
    <row r="74" spans="1:34" ht="19.2" customHeight="1">
      <c r="A74" s="586"/>
      <c r="B74" s="422" t="s">
        <v>128</v>
      </c>
      <c r="C74" s="175"/>
      <c r="D74" s="176" t="s">
        <v>74</v>
      </c>
      <c r="E74" s="177"/>
      <c r="F74" s="355">
        <v>47.51</v>
      </c>
      <c r="G74" s="44">
        <v>1862</v>
      </c>
      <c r="H74" s="45">
        <f t="shared" si="50"/>
        <v>88463.62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1346.0240963855417</v>
      </c>
      <c r="O74" s="47">
        <f t="shared" si="46"/>
        <v>79.177888022678928</v>
      </c>
      <c r="P74" s="48">
        <f t="shared" si="47"/>
        <v>0</v>
      </c>
      <c r="Q74" s="49">
        <f t="shared" si="48"/>
        <v>-5.5279943302622456</v>
      </c>
      <c r="R74" s="424">
        <f t="shared" si="44"/>
        <v>0.93473895582329292</v>
      </c>
      <c r="S74" s="602"/>
      <c r="T74" s="50">
        <v>0.62291666666666679</v>
      </c>
      <c r="U74" s="50">
        <v>0.68055555555555569</v>
      </c>
      <c r="V74" s="422">
        <v>23</v>
      </c>
      <c r="W74" s="433">
        <f t="shared" si="49"/>
        <v>83.000000000000028</v>
      </c>
      <c r="X74" s="180">
        <v>0.61111111111111105</v>
      </c>
      <c r="Y74" s="180">
        <v>0.62152777777777779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-93.975903614458275</v>
      </c>
      <c r="AG74" s="424">
        <f t="shared" ref="AG74:AG80" si="52">N74/K74</f>
        <v>0.93473895582329292</v>
      </c>
      <c r="AH74" s="602"/>
    </row>
    <row r="75" spans="1:34" ht="19.2" customHeight="1">
      <c r="A75" s="586"/>
      <c r="B75" s="422" t="s">
        <v>128</v>
      </c>
      <c r="C75" s="66"/>
      <c r="D75" s="173" t="s">
        <v>71</v>
      </c>
      <c r="E75" s="43"/>
      <c r="F75" s="355">
        <v>47.65</v>
      </c>
      <c r="G75" s="57">
        <v>591.6400000000001</v>
      </c>
      <c r="H75" s="45">
        <f t="shared" si="50"/>
        <v>28191.646000000004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1314.7555555555527</v>
      </c>
      <c r="O75" s="47">
        <f t="shared" si="46"/>
        <v>73.041975308641824</v>
      </c>
      <c r="P75" s="48">
        <f t="shared" si="47"/>
        <v>0</v>
      </c>
      <c r="Q75" s="49">
        <f t="shared" si="48"/>
        <v>-6.958024691358176</v>
      </c>
      <c r="R75" s="424">
        <f t="shared" si="44"/>
        <v>0.91302469135802278</v>
      </c>
      <c r="S75" s="602"/>
      <c r="T75" s="50">
        <v>0.68541666666666679</v>
      </c>
      <c r="U75" s="50">
        <v>0.70416666666666683</v>
      </c>
      <c r="V75" s="422">
        <v>7</v>
      </c>
      <c r="W75" s="433">
        <f t="shared" si="49"/>
        <v>27.000000000000064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-125.24444444444725</v>
      </c>
      <c r="AG75" s="424">
        <f t="shared" si="52"/>
        <v>0.91302469135802278</v>
      </c>
      <c r="AH75" s="602"/>
    </row>
    <row r="76" spans="1:34" ht="19.2" customHeight="1">
      <c r="A76" s="586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2" customHeight="1">
      <c r="A77" s="586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2" customHeight="1">
      <c r="A78" s="586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2" customHeight="1">
      <c r="A79" s="586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2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2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2" customHeight="1">
      <c r="A82" s="629"/>
      <c r="B82" s="168">
        <v>0</v>
      </c>
      <c r="C82" s="100" t="s">
        <v>392</v>
      </c>
      <c r="D82" s="617" t="s">
        <v>370</v>
      </c>
      <c r="E82" s="617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1346.9301199590875</v>
      </c>
      <c r="O82" s="184">
        <f t="shared" si="53"/>
        <v>80.137859932301922</v>
      </c>
      <c r="P82" s="116">
        <f>M82-J82</f>
        <v>0</v>
      </c>
      <c r="Q82" s="117">
        <f>N82-K82</f>
        <v>-103.06988004091249</v>
      </c>
      <c r="R82" s="172">
        <f>O82/L82</f>
        <v>0.92888652219074841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-103.06988004091249</v>
      </c>
      <c r="AG82" s="424">
        <f>N82/K82</f>
        <v>0.9289173241097155</v>
      </c>
      <c r="AH82" s="602"/>
    </row>
    <row r="83" spans="1:34" ht="19.2" customHeight="1">
      <c r="A83" s="630" t="s">
        <v>394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1833.65</v>
      </c>
      <c r="H83" s="84">
        <f t="shared" ref="H83:H94" si="54">F83*G83</f>
        <v>92911.045500000007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1392.645569620254</v>
      </c>
      <c r="O83" s="183">
        <f t="shared" ref="O83:O90" si="56">N83/M83</f>
        <v>77.369198312236335</v>
      </c>
      <c r="P83" s="54">
        <f t="shared" ref="P83:P90" si="57">M83-J83</f>
        <v>0</v>
      </c>
      <c r="Q83" s="88">
        <f t="shared" ref="Q83:Q90" si="58">O83-L83</f>
        <v>-5.9641350210969932</v>
      </c>
      <c r="R83" s="185">
        <f t="shared" ref="R83:R90" si="59">O83/L83</f>
        <v>0.92843037974683607</v>
      </c>
      <c r="S83" s="602">
        <f>R95</f>
        <v>0.89778183354077989</v>
      </c>
      <c r="T83" s="50">
        <v>0.33333333333333331</v>
      </c>
      <c r="U83" s="50">
        <v>0.3881944444444444</v>
      </c>
      <c r="V83" s="422">
        <v>5</v>
      </c>
      <c r="W83" s="433">
        <f t="shared" ref="W83:W93" si="60">(U83-T83)*24*60</f>
        <v>78.999999999999957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-107.35443037974596</v>
      </c>
      <c r="AG83" s="424">
        <f t="shared" ref="AG83:AG173" si="62">N83/K83</f>
        <v>0.92843037974683607</v>
      </c>
      <c r="AH83" s="602">
        <f>AG95</f>
        <v>0.89807670062735734</v>
      </c>
    </row>
    <row r="84" spans="1:34" ht="19.2" customHeight="1">
      <c r="A84" s="631"/>
      <c r="B84" s="110" t="s">
        <v>128</v>
      </c>
      <c r="C84" s="429"/>
      <c r="D84" s="186" t="s">
        <v>185</v>
      </c>
      <c r="E84" s="43"/>
      <c r="F84" s="362">
        <v>61.02</v>
      </c>
      <c r="G84" s="44">
        <v>2335</v>
      </c>
      <c r="H84" s="84">
        <f t="shared" si="54"/>
        <v>142481.70000000001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1347.1153846153841</v>
      </c>
      <c r="O84" s="183">
        <f t="shared" si="56"/>
        <v>79.24208144796377</v>
      </c>
      <c r="P84" s="54">
        <f t="shared" si="57"/>
        <v>0</v>
      </c>
      <c r="Q84" s="88">
        <f t="shared" si="58"/>
        <v>-5.4638009049774041</v>
      </c>
      <c r="R84" s="185">
        <f t="shared" si="59"/>
        <v>0.93549679487179449</v>
      </c>
      <c r="S84" s="602"/>
      <c r="T84" s="50">
        <v>0.40347222222222218</v>
      </c>
      <c r="U84" s="50">
        <v>0.47569444444444442</v>
      </c>
      <c r="V84" s="422">
        <v>22</v>
      </c>
      <c r="W84" s="433">
        <f t="shared" si="60"/>
        <v>104.00000000000003</v>
      </c>
      <c r="X84" s="53">
        <v>0.3923611111111111</v>
      </c>
      <c r="Y84" s="53">
        <v>0.40277777777777773</v>
      </c>
      <c r="Z84" s="54"/>
      <c r="AA84" s="54"/>
      <c r="AB84" s="588"/>
      <c r="AC84" s="588"/>
      <c r="AD84" s="420">
        <v>1</v>
      </c>
      <c r="AE84" s="420"/>
      <c r="AF84" s="48">
        <f t="shared" si="61"/>
        <v>-92.884615384615927</v>
      </c>
      <c r="AG84" s="424">
        <f t="shared" si="62"/>
        <v>0.93549679487179449</v>
      </c>
      <c r="AH84" s="602"/>
    </row>
    <row r="85" spans="1:34" ht="19.2" customHeight="1">
      <c r="A85" s="631"/>
      <c r="B85" s="110" t="s">
        <v>132</v>
      </c>
      <c r="C85" s="122"/>
      <c r="D85" s="186" t="s">
        <v>190</v>
      </c>
      <c r="E85" s="43"/>
      <c r="F85" s="362">
        <v>54.09</v>
      </c>
      <c r="G85" s="44">
        <v>1064</v>
      </c>
      <c r="H85" s="84">
        <f t="shared" si="54"/>
        <v>57551.76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1082.0338983050856</v>
      </c>
      <c r="O85" s="183">
        <f t="shared" si="56"/>
        <v>54.101694915254278</v>
      </c>
      <c r="P85" s="54">
        <f t="shared" si="57"/>
        <v>0</v>
      </c>
      <c r="Q85" s="88">
        <f t="shared" si="58"/>
        <v>-10.898305084745722</v>
      </c>
      <c r="R85" s="185">
        <f t="shared" si="59"/>
        <v>0.83233376792698888</v>
      </c>
      <c r="S85" s="602"/>
      <c r="T85" s="50">
        <v>0.51597222222222217</v>
      </c>
      <c r="U85" s="50">
        <v>0.55694444444444435</v>
      </c>
      <c r="V85" s="422">
        <v>5</v>
      </c>
      <c r="W85" s="433">
        <f t="shared" si="60"/>
        <v>58.99999999999995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-217.96610169491441</v>
      </c>
      <c r="AG85" s="424">
        <f t="shared" si="62"/>
        <v>0.83233376792698888</v>
      </c>
      <c r="AH85" s="602"/>
    </row>
    <row r="86" spans="1:34" ht="19.2" customHeight="1">
      <c r="A86" s="631"/>
      <c r="B86" s="110" t="s">
        <v>128</v>
      </c>
      <c r="C86" s="97"/>
      <c r="D86" s="186" t="s">
        <v>203</v>
      </c>
      <c r="E86" s="43"/>
      <c r="F86" s="362">
        <v>61.09</v>
      </c>
      <c r="G86" s="44">
        <v>1964</v>
      </c>
      <c r="H86" s="84">
        <f t="shared" si="54"/>
        <v>119980.76000000001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1280.8695652173915</v>
      </c>
      <c r="O86" s="183">
        <f t="shared" si="56"/>
        <v>75.345268542199506</v>
      </c>
      <c r="P86" s="54">
        <f t="shared" si="57"/>
        <v>0</v>
      </c>
      <c r="Q86" s="88">
        <f t="shared" si="58"/>
        <v>-9.3606138107416683</v>
      </c>
      <c r="R86" s="185">
        <f t="shared" si="59"/>
        <v>0.88949275362318858</v>
      </c>
      <c r="S86" s="602"/>
      <c r="T86" s="50">
        <v>0.56249999999999989</v>
      </c>
      <c r="U86" s="50">
        <v>0.62638888888888877</v>
      </c>
      <c r="V86" s="422">
        <v>8</v>
      </c>
      <c r="W86" s="433">
        <f t="shared" si="60"/>
        <v>92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-159.13043478260852</v>
      </c>
      <c r="AG86" s="424">
        <f t="shared" si="62"/>
        <v>0.88949275362318858</v>
      </c>
      <c r="AH86" s="602"/>
    </row>
    <row r="87" spans="1:34" ht="19.2" customHeight="1">
      <c r="A87" s="631"/>
      <c r="B87" s="110" t="s">
        <v>129</v>
      </c>
      <c r="C87" s="97"/>
      <c r="D87" s="186" t="s">
        <v>62</v>
      </c>
      <c r="E87" s="43"/>
      <c r="F87" s="362">
        <v>38.39</v>
      </c>
      <c r="G87" s="44">
        <v>772.09999999999991</v>
      </c>
      <c r="H87" s="84">
        <f t="shared" si="54"/>
        <v>29640.918999999998</v>
      </c>
      <c r="I87" s="422">
        <v>1</v>
      </c>
      <c r="J87" s="87">
        <v>16</v>
      </c>
      <c r="K87" s="57">
        <v>1636</v>
      </c>
      <c r="L87" s="86">
        <v>102.25</v>
      </c>
      <c r="M87" s="431">
        <v>16</v>
      </c>
      <c r="N87" s="57">
        <f t="shared" si="55"/>
        <v>1362.529411764704</v>
      </c>
      <c r="O87" s="183">
        <f t="shared" si="56"/>
        <v>85.158088235294002</v>
      </c>
      <c r="P87" s="54">
        <f t="shared" si="57"/>
        <v>0</v>
      </c>
      <c r="Q87" s="88">
        <f t="shared" si="58"/>
        <v>-17.091911764705998</v>
      </c>
      <c r="R87" s="185">
        <f t="shared" si="59"/>
        <v>0.83284193873148171</v>
      </c>
      <c r="S87" s="602"/>
      <c r="T87" s="50">
        <v>0.6416666666666665</v>
      </c>
      <c r="U87" s="50">
        <v>0.66527777777777763</v>
      </c>
      <c r="V87" s="422">
        <v>22</v>
      </c>
      <c r="W87" s="433">
        <f t="shared" si="60"/>
        <v>34.000000000000043</v>
      </c>
      <c r="X87" s="53">
        <v>0.63055555555555554</v>
      </c>
      <c r="Y87" s="53">
        <v>0.64027777777777783</v>
      </c>
      <c r="Z87" s="54"/>
      <c r="AA87" s="54"/>
      <c r="AB87" s="588"/>
      <c r="AC87" s="588"/>
      <c r="AD87" s="420"/>
      <c r="AE87" s="420"/>
      <c r="AF87" s="48">
        <f t="shared" si="61"/>
        <v>-273.47058823529596</v>
      </c>
      <c r="AG87" s="424">
        <f t="shared" si="62"/>
        <v>0.83284193873148171</v>
      </c>
      <c r="AH87" s="602"/>
    </row>
    <row r="88" spans="1:34" ht="19.2" customHeight="1">
      <c r="A88" s="631"/>
      <c r="B88" s="110" t="s">
        <v>129</v>
      </c>
      <c r="C88" s="429"/>
      <c r="D88" s="186" t="s">
        <v>186</v>
      </c>
      <c r="E88" s="43"/>
      <c r="F88" s="362">
        <v>56.43</v>
      </c>
      <c r="G88" s="57">
        <v>667.09999999999991</v>
      </c>
      <c r="H88" s="84">
        <f t="shared" si="54"/>
        <v>37644.452999999994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1334.1999999999975</v>
      </c>
      <c r="O88" s="183">
        <f t="shared" si="56"/>
        <v>83.387499999999847</v>
      </c>
      <c r="P88" s="54">
        <f t="shared" si="57"/>
        <v>0</v>
      </c>
      <c r="Q88" s="88">
        <f t="shared" si="58"/>
        <v>-10.362500000000153</v>
      </c>
      <c r="R88" s="185">
        <f t="shared" si="59"/>
        <v>0.88946666666666507</v>
      </c>
      <c r="S88" s="602"/>
      <c r="T88" s="50">
        <v>0.67013888888888873</v>
      </c>
      <c r="U88" s="50">
        <v>0.6909722222222221</v>
      </c>
      <c r="V88" s="422">
        <v>7</v>
      </c>
      <c r="W88" s="433">
        <f t="shared" si="60"/>
        <v>30.000000000000053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-165.80000000000246</v>
      </c>
      <c r="AG88" s="424">
        <f t="shared" si="62"/>
        <v>0.88946666666666507</v>
      </c>
      <c r="AH88" s="602"/>
    </row>
    <row r="89" spans="1:34" ht="19.2" customHeight="1">
      <c r="A89" s="631"/>
      <c r="B89" s="110" t="s">
        <v>130</v>
      </c>
      <c r="C89" s="429"/>
      <c r="D89" s="42" t="s">
        <v>61</v>
      </c>
      <c r="E89" s="43"/>
      <c r="F89" s="362">
        <v>43.14</v>
      </c>
      <c r="G89" s="114">
        <v>628.25</v>
      </c>
      <c r="H89" s="84">
        <f t="shared" si="54"/>
        <v>27102.705000000002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1346.249999999997</v>
      </c>
      <c r="O89" s="183">
        <f t="shared" si="56"/>
        <v>84.140624999999815</v>
      </c>
      <c r="P89" s="54">
        <f t="shared" si="57"/>
        <v>0</v>
      </c>
      <c r="Q89" s="88">
        <f t="shared" si="58"/>
        <v>-5.8593750000001847</v>
      </c>
      <c r="R89" s="185">
        <f t="shared" si="59"/>
        <v>0.93489583333333126</v>
      </c>
      <c r="S89" s="602"/>
      <c r="T89" s="50">
        <v>0.69513888888888875</v>
      </c>
      <c r="U89" s="50">
        <v>0.71458333333333324</v>
      </c>
      <c r="V89" s="422">
        <v>6</v>
      </c>
      <c r="W89" s="433">
        <f t="shared" si="60"/>
        <v>28.00000000000006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-93.750000000002956</v>
      </c>
      <c r="AG89" s="424">
        <f t="shared" si="62"/>
        <v>0.93489583333333126</v>
      </c>
      <c r="AH89" s="602"/>
    </row>
    <row r="90" spans="1:34" ht="19.2" customHeight="1">
      <c r="A90" s="631"/>
      <c r="B90" s="110" t="s">
        <v>127</v>
      </c>
      <c r="C90" s="429"/>
      <c r="D90" s="42" t="s">
        <v>52</v>
      </c>
      <c r="E90" s="43"/>
      <c r="F90" s="362">
        <v>37.83</v>
      </c>
      <c r="G90" s="127">
        <v>3478.6499999999996</v>
      </c>
      <c r="H90" s="84">
        <f t="shared" si="54"/>
        <v>131597.32949999999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2220.4148936170213</v>
      </c>
      <c r="O90" s="183">
        <f t="shared" si="56"/>
        <v>111.02074468085107</v>
      </c>
      <c r="P90" s="54">
        <f t="shared" si="57"/>
        <v>0</v>
      </c>
      <c r="Q90" s="88">
        <f t="shared" si="58"/>
        <v>-8.9792553191489333</v>
      </c>
      <c r="R90" s="185">
        <f t="shared" si="59"/>
        <v>0.92517287234042556</v>
      </c>
      <c r="S90" s="602"/>
      <c r="T90" s="50">
        <v>0.71944444444444433</v>
      </c>
      <c r="U90" s="50">
        <v>0.7847222222222221</v>
      </c>
      <c r="V90" s="422">
        <v>7</v>
      </c>
      <c r="W90" s="433">
        <f t="shared" si="60"/>
        <v>93.999999999999986</v>
      </c>
      <c r="X90" s="188"/>
      <c r="Y90" s="188"/>
      <c r="Z90" s="54"/>
      <c r="AA90" s="54"/>
      <c r="AB90" s="588"/>
      <c r="AC90" s="588"/>
      <c r="AD90" s="420">
        <v>2</v>
      </c>
      <c r="AE90" s="420">
        <v>1</v>
      </c>
      <c r="AF90" s="48">
        <f t="shared" si="61"/>
        <v>-179.58510638297867</v>
      </c>
      <c r="AG90" s="424">
        <f t="shared" si="62"/>
        <v>0.92517287234042556</v>
      </c>
      <c r="AH90" s="602"/>
    </row>
    <row r="91" spans="1:34" ht="19.2" customHeight="1">
      <c r="A91" s="631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2" customHeight="1">
      <c r="A92" s="631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2" customHeight="1">
      <c r="A93" s="631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2" customHeight="1">
      <c r="A94" s="631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2" customHeight="1">
      <c r="A95" s="631"/>
      <c r="B95" s="200">
        <v>0</v>
      </c>
      <c r="C95" s="100" t="s">
        <v>396</v>
      </c>
      <c r="D95" s="617" t="s">
        <v>370</v>
      </c>
      <c r="E95" s="617"/>
      <c r="F95" s="356"/>
      <c r="G95" s="70"/>
      <c r="H95" s="201"/>
      <c r="I95" s="103"/>
      <c r="J95" s="202">
        <v>17.5</v>
      </c>
      <c r="K95" s="202">
        <v>1582</v>
      </c>
      <c r="L95" s="203">
        <v>90.468137254901961</v>
      </c>
      <c r="M95" s="202">
        <f t="shared" ref="M95:O95" si="63">AVERAGE(M83:M94)</f>
        <v>17.5</v>
      </c>
      <c r="N95" s="202">
        <f t="shared" si="63"/>
        <v>1420.7573403924794</v>
      </c>
      <c r="O95" s="203">
        <f t="shared" si="63"/>
        <v>81.220650141724818</v>
      </c>
      <c r="P95" s="204">
        <f>M95-J95</f>
        <v>0</v>
      </c>
      <c r="Q95" s="205">
        <f t="shared" ref="Q95:Q105" si="64">O95-L95</f>
        <v>-9.2474871131771437</v>
      </c>
      <c r="R95" s="206">
        <f>O95/L95</f>
        <v>0.89778183354077989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3</v>
      </c>
      <c r="AE95" s="107">
        <f>SUM(AE83:AE94)</f>
        <v>1</v>
      </c>
      <c r="AF95" s="65">
        <f t="shared" si="61"/>
        <v>-161.24265960752064</v>
      </c>
      <c r="AG95" s="425">
        <f t="shared" si="62"/>
        <v>0.89807670062735734</v>
      </c>
      <c r="AH95" s="603"/>
    </row>
    <row r="96" spans="1:34" ht="19.2" customHeight="1">
      <c r="A96" s="633" t="s">
        <v>398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1791</v>
      </c>
      <c r="H96" s="45">
        <f t="shared" ref="H96:H105" si="65">F96*G96</f>
        <v>52762.86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1119.3750000000005</v>
      </c>
      <c r="O96" s="47">
        <f t="shared" ref="O96:O105" si="67">N96/M96</f>
        <v>69.960937500000028</v>
      </c>
      <c r="P96" s="48">
        <f t="shared" ref="P96:P105" si="68">M96-J96</f>
        <v>0</v>
      </c>
      <c r="Q96" s="49">
        <f t="shared" si="64"/>
        <v>-20.039062499999972</v>
      </c>
      <c r="R96" s="424">
        <f t="shared" ref="R96:R105" si="69">O96/L96</f>
        <v>0.77734375000000033</v>
      </c>
      <c r="S96" s="602">
        <f>R108</f>
        <v>0.84747799934869161</v>
      </c>
      <c r="T96" s="89">
        <v>0.33333333333333331</v>
      </c>
      <c r="U96" s="89">
        <v>0.39999999999999997</v>
      </c>
      <c r="V96" s="420">
        <v>5</v>
      </c>
      <c r="W96" s="90">
        <f t="shared" ref="W96:W133" si="70">(U96-T96)*24*60</f>
        <v>95.999999999999972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-320.62499999999955</v>
      </c>
      <c r="AG96" s="421">
        <f t="shared" si="62"/>
        <v>0.77734375000000033</v>
      </c>
      <c r="AH96" s="611">
        <f>AG108</f>
        <v>0.833414631203374</v>
      </c>
    </row>
    <row r="97" spans="1:34" s="215" customFormat="1" ht="19.2" customHeight="1">
      <c r="A97" s="633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2353.48</v>
      </c>
      <c r="H97" s="210">
        <f t="shared" si="65"/>
        <v>68517.215902140655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1319.7084112149532</v>
      </c>
      <c r="O97" s="47">
        <f t="shared" si="67"/>
        <v>73.317133956386286</v>
      </c>
      <c r="P97" s="48">
        <f t="shared" si="68"/>
        <v>-2</v>
      </c>
      <c r="Q97" s="49">
        <f t="shared" si="64"/>
        <v>-1.6828660436137142</v>
      </c>
      <c r="R97" s="424">
        <f t="shared" si="69"/>
        <v>0.97756178608515043</v>
      </c>
      <c r="S97" s="602"/>
      <c r="T97" s="211">
        <v>0.41666666666666663</v>
      </c>
      <c r="U97" s="211">
        <v>0.4909722222222222</v>
      </c>
      <c r="V97" s="212">
        <v>24</v>
      </c>
      <c r="W97" s="90">
        <f t="shared" si="70"/>
        <v>107.00000000000001</v>
      </c>
      <c r="X97" s="53">
        <v>0.40416666666666662</v>
      </c>
      <c r="Y97" s="53">
        <v>0.4152777777777778</v>
      </c>
      <c r="Z97" s="54"/>
      <c r="AA97" s="54"/>
      <c r="AB97" s="588"/>
      <c r="AC97" s="588"/>
      <c r="AD97" s="212"/>
      <c r="AE97" s="212"/>
      <c r="AF97" s="213">
        <f t="shared" si="61"/>
        <v>-180.29158878504677</v>
      </c>
      <c r="AG97" s="214">
        <f t="shared" si="62"/>
        <v>0.8798056074766355</v>
      </c>
      <c r="AH97" s="611"/>
    </row>
    <row r="98" spans="1:34" s="218" customFormat="1" ht="19.2" customHeight="1">
      <c r="A98" s="633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438</v>
      </c>
      <c r="H98" s="210">
        <f t="shared" si="65"/>
        <v>33879.299999999996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1094.9999999999966</v>
      </c>
      <c r="O98" s="47">
        <f t="shared" si="67"/>
        <v>60.833333333333144</v>
      </c>
      <c r="P98" s="48">
        <f t="shared" si="68"/>
        <v>-1</v>
      </c>
      <c r="Q98" s="49">
        <f t="shared" si="64"/>
        <v>-14.956140350877376</v>
      </c>
      <c r="R98" s="424">
        <f t="shared" si="69"/>
        <v>0.80266203703703465</v>
      </c>
      <c r="S98" s="602"/>
      <c r="T98" s="89">
        <v>0.53124999999999989</v>
      </c>
      <c r="U98" s="89">
        <v>0.54791666666666661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-345.00000000000341</v>
      </c>
      <c r="AG98" s="421">
        <f t="shared" si="62"/>
        <v>0.7604166666666643</v>
      </c>
      <c r="AH98" s="611"/>
    </row>
    <row r="99" spans="1:34" ht="19.2" customHeight="1">
      <c r="A99" s="633"/>
      <c r="B99" s="422" t="s">
        <v>128</v>
      </c>
      <c r="C99" s="81"/>
      <c r="D99" s="82" t="s">
        <v>58</v>
      </c>
      <c r="E99" s="83"/>
      <c r="F99" s="366">
        <v>77.34</v>
      </c>
      <c r="G99" s="57">
        <v>985</v>
      </c>
      <c r="H99" s="210">
        <f t="shared" si="65"/>
        <v>76179.900000000009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1257.4468085106384</v>
      </c>
      <c r="O99" s="47">
        <f t="shared" si="67"/>
        <v>69.858156028368796</v>
      </c>
      <c r="P99" s="48">
        <f t="shared" si="68"/>
        <v>0</v>
      </c>
      <c r="Q99" s="49">
        <f t="shared" si="64"/>
        <v>-10.141843971631204</v>
      </c>
      <c r="R99" s="424">
        <f t="shared" si="69"/>
        <v>0.87322695035460995</v>
      </c>
      <c r="S99" s="602"/>
      <c r="T99" s="89">
        <v>0.5527777777777777</v>
      </c>
      <c r="U99" s="89">
        <v>0.58541666666666659</v>
      </c>
      <c r="V99" s="420">
        <v>7</v>
      </c>
      <c r="W99" s="90">
        <f t="shared" si="70"/>
        <v>46.999999999999993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-182.55319148936155</v>
      </c>
      <c r="AG99" s="214">
        <f t="shared" si="62"/>
        <v>0.87322695035461007</v>
      </c>
      <c r="AH99" s="611"/>
    </row>
    <row r="100" spans="1:34" s="218" customFormat="1" ht="19.2" customHeight="1">
      <c r="A100" s="633"/>
      <c r="B100" s="422" t="s">
        <v>128</v>
      </c>
      <c r="C100" s="55"/>
      <c r="D100" s="42" t="s">
        <v>57</v>
      </c>
      <c r="E100" s="83"/>
      <c r="F100" s="366">
        <v>71.55</v>
      </c>
      <c r="G100" s="57">
        <v>757</v>
      </c>
      <c r="H100" s="210">
        <f t="shared" si="65"/>
        <v>54163.35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1227.5675675675668</v>
      </c>
      <c r="O100" s="47">
        <f t="shared" si="67"/>
        <v>68.198198198198156</v>
      </c>
      <c r="P100" s="48">
        <f t="shared" si="68"/>
        <v>0</v>
      </c>
      <c r="Q100" s="49">
        <f t="shared" si="64"/>
        <v>-8.7462462462462867</v>
      </c>
      <c r="R100" s="424">
        <f t="shared" si="69"/>
        <v>0.88633037369499412</v>
      </c>
      <c r="S100" s="602"/>
      <c r="T100" s="211">
        <v>0.58958333333333324</v>
      </c>
      <c r="U100" s="211">
        <v>0.6152777777777777</v>
      </c>
      <c r="V100" s="212">
        <v>6</v>
      </c>
      <c r="W100" s="90">
        <f t="shared" si="70"/>
        <v>37.000000000000028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-157.43243243243319</v>
      </c>
      <c r="AG100" s="421">
        <f t="shared" si="62"/>
        <v>0.88633037369499412</v>
      </c>
      <c r="AH100" s="611"/>
    </row>
    <row r="101" spans="1:34" s="218" customFormat="1" ht="19.2" customHeight="1">
      <c r="A101" s="633"/>
      <c r="B101" s="422" t="s">
        <v>128</v>
      </c>
      <c r="C101" s="55"/>
      <c r="D101" s="82" t="s">
        <v>56</v>
      </c>
      <c r="E101" s="83"/>
      <c r="F101" s="366">
        <v>59.34</v>
      </c>
      <c r="G101" s="57">
        <v>677</v>
      </c>
      <c r="H101" s="210">
        <f t="shared" si="65"/>
        <v>40173.18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1269.3749999999982</v>
      </c>
      <c r="O101" s="47">
        <f t="shared" si="67"/>
        <v>74.669117647058712</v>
      </c>
      <c r="P101" s="48">
        <f t="shared" si="68"/>
        <v>0</v>
      </c>
      <c r="Q101" s="49">
        <f t="shared" si="64"/>
        <v>-10.036764705882462</v>
      </c>
      <c r="R101" s="424">
        <f t="shared" si="69"/>
        <v>0.88151041666666541</v>
      </c>
      <c r="S101" s="602"/>
      <c r="T101" s="211">
        <v>0.63124999999999987</v>
      </c>
      <c r="U101" s="89">
        <v>0.65347222222222212</v>
      </c>
      <c r="V101" s="212">
        <v>23</v>
      </c>
      <c r="W101" s="90">
        <f t="shared" si="70"/>
        <v>32.000000000000043</v>
      </c>
      <c r="X101" s="220">
        <v>0.61944444444444446</v>
      </c>
      <c r="Y101" s="220">
        <v>0.63055555555555554</v>
      </c>
      <c r="Z101" s="217"/>
      <c r="AA101" s="217"/>
      <c r="AB101" s="588"/>
      <c r="AC101" s="588"/>
      <c r="AD101" s="420"/>
      <c r="AE101" s="420"/>
      <c r="AF101" s="213">
        <f t="shared" si="61"/>
        <v>-170.62500000000182</v>
      </c>
      <c r="AG101" s="214">
        <f t="shared" si="62"/>
        <v>0.88151041666666541</v>
      </c>
      <c r="AH101" s="611"/>
    </row>
    <row r="102" spans="1:34" s="218" customFormat="1" ht="19.2" customHeight="1">
      <c r="A102" s="633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776</v>
      </c>
      <c r="H102" s="210">
        <f t="shared" si="65"/>
        <v>40158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1258.3783783783774</v>
      </c>
      <c r="O102" s="47">
        <f t="shared" si="67"/>
        <v>59.922779922779874</v>
      </c>
      <c r="P102" s="48">
        <f t="shared" si="68"/>
        <v>0</v>
      </c>
      <c r="Q102" s="49">
        <f t="shared" si="64"/>
        <v>-11.505791505791557</v>
      </c>
      <c r="R102" s="424">
        <f t="shared" si="69"/>
        <v>0.83891891891891823</v>
      </c>
      <c r="S102" s="602"/>
      <c r="T102" s="211">
        <v>0.65833333333333321</v>
      </c>
      <c r="U102" s="211">
        <v>0.68402777777777768</v>
      </c>
      <c r="V102" s="212">
        <v>7</v>
      </c>
      <c r="W102" s="90">
        <f t="shared" si="70"/>
        <v>37.000000000000028</v>
      </c>
      <c r="X102" s="220"/>
      <c r="Y102" s="220"/>
      <c r="Z102" s="217"/>
      <c r="AA102" s="217"/>
      <c r="AB102" s="588"/>
      <c r="AC102" s="588"/>
      <c r="AD102" s="420"/>
      <c r="AE102" s="420">
        <v>1</v>
      </c>
      <c r="AF102" s="54">
        <f t="shared" si="61"/>
        <v>-241.62162162162258</v>
      </c>
      <c r="AG102" s="421">
        <f t="shared" si="62"/>
        <v>0.83891891891891823</v>
      </c>
      <c r="AH102" s="611"/>
    </row>
    <row r="103" spans="1:34" s="218" customFormat="1" ht="19.2" customHeight="1">
      <c r="A103" s="633"/>
      <c r="B103" s="422" t="s">
        <v>130</v>
      </c>
      <c r="C103" s="221"/>
      <c r="D103" s="82" t="s">
        <v>201</v>
      </c>
      <c r="E103" s="83"/>
      <c r="F103" s="366">
        <v>26.5</v>
      </c>
      <c r="G103" s="57">
        <v>1105.6499999999999</v>
      </c>
      <c r="H103" s="210">
        <f t="shared" si="65"/>
        <v>29299.724999999995</v>
      </c>
      <c r="I103" s="222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1507.7045454545453</v>
      </c>
      <c r="O103" s="47">
        <f t="shared" si="67"/>
        <v>125.64204545454544</v>
      </c>
      <c r="P103" s="48">
        <f t="shared" si="68"/>
        <v>0</v>
      </c>
      <c r="Q103" s="49">
        <f t="shared" si="64"/>
        <v>-41.024621212121218</v>
      </c>
      <c r="R103" s="424">
        <f t="shared" si="69"/>
        <v>0.75385227272727273</v>
      </c>
      <c r="S103" s="602"/>
      <c r="T103" s="211">
        <v>0.68888888888888877</v>
      </c>
      <c r="U103" s="211">
        <v>0.71944444444444433</v>
      </c>
      <c r="V103" s="212">
        <v>7</v>
      </c>
      <c r="W103" s="90">
        <f t="shared" si="70"/>
        <v>44</v>
      </c>
      <c r="X103" s="220"/>
      <c r="Y103" s="220"/>
      <c r="Z103" s="217"/>
      <c r="AA103" s="217"/>
      <c r="AB103" s="588"/>
      <c r="AC103" s="588"/>
      <c r="AD103" s="420">
        <v>1</v>
      </c>
      <c r="AE103" s="420"/>
      <c r="AF103" s="54">
        <f t="shared" si="61"/>
        <v>-492.29545454545473</v>
      </c>
      <c r="AG103" s="421">
        <f t="shared" si="62"/>
        <v>0.75385227272727262</v>
      </c>
      <c r="AH103" s="611"/>
    </row>
    <row r="104" spans="1:34" s="218" customFormat="1" ht="19.2" customHeight="1">
      <c r="A104" s="633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1107.52</v>
      </c>
      <c r="H104" s="210">
        <f t="shared" si="65"/>
        <v>32243.395718654428</v>
      </c>
      <c r="I104" s="221">
        <v>1</v>
      </c>
      <c r="J104" s="46">
        <v>20</v>
      </c>
      <c r="K104" s="44">
        <v>1500</v>
      </c>
      <c r="L104" s="47">
        <v>75</v>
      </c>
      <c r="M104" s="87">
        <v>18</v>
      </c>
      <c r="N104" s="44">
        <f t="shared" si="66"/>
        <v>1329.0240000000003</v>
      </c>
      <c r="O104" s="47">
        <f t="shared" si="67"/>
        <v>73.834666666666692</v>
      </c>
      <c r="P104" s="48">
        <f t="shared" si="68"/>
        <v>-2</v>
      </c>
      <c r="Q104" s="49">
        <f t="shared" si="64"/>
        <v>-1.165333333333308</v>
      </c>
      <c r="R104" s="424">
        <f t="shared" si="69"/>
        <v>0.98446222222222257</v>
      </c>
      <c r="S104" s="603"/>
      <c r="T104" s="211">
        <v>0.72361111111111098</v>
      </c>
      <c r="U104" s="211">
        <v>0.75833333333333319</v>
      </c>
      <c r="V104" s="212">
        <v>6</v>
      </c>
      <c r="W104" s="90">
        <f t="shared" si="70"/>
        <v>49.999999999999986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-170.97599999999966</v>
      </c>
      <c r="AG104" s="214">
        <f t="shared" si="62"/>
        <v>0.88601600000000025</v>
      </c>
      <c r="AH104" s="611"/>
    </row>
    <row r="105" spans="1:34" s="218" customFormat="1" ht="19.2" customHeight="1">
      <c r="A105" s="633"/>
      <c r="B105" s="422" t="s">
        <v>129</v>
      </c>
      <c r="C105" s="223"/>
      <c r="D105" s="82" t="s">
        <v>210</v>
      </c>
      <c r="E105" s="83"/>
      <c r="F105" s="366">
        <v>44.3</v>
      </c>
      <c r="G105" s="209">
        <v>923.75</v>
      </c>
      <c r="H105" s="210">
        <f t="shared" si="65"/>
        <v>40922.125</v>
      </c>
      <c r="I105" s="221">
        <v>1</v>
      </c>
      <c r="J105" s="46">
        <v>17</v>
      </c>
      <c r="K105" s="44">
        <v>1636</v>
      </c>
      <c r="L105" s="47">
        <v>96.235294117647058</v>
      </c>
      <c r="M105" s="87">
        <v>17</v>
      </c>
      <c r="N105" s="44">
        <f t="shared" si="66"/>
        <v>1351.8292682926826</v>
      </c>
      <c r="O105" s="47">
        <f t="shared" si="67"/>
        <v>79.519368723098978</v>
      </c>
      <c r="P105" s="48">
        <f t="shared" si="68"/>
        <v>0</v>
      </c>
      <c r="Q105" s="49">
        <f t="shared" si="64"/>
        <v>-16.71592539454808</v>
      </c>
      <c r="R105" s="424">
        <f t="shared" si="69"/>
        <v>0.82630150873635855</v>
      </c>
      <c r="S105" s="603"/>
      <c r="T105" s="211">
        <v>0.76319444444444429</v>
      </c>
      <c r="U105" s="211">
        <v>0.79166666666666652</v>
      </c>
      <c r="V105" s="212">
        <v>7</v>
      </c>
      <c r="W105" s="90">
        <f t="shared" si="70"/>
        <v>41.000000000000014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-284.17073170731737</v>
      </c>
      <c r="AG105" s="421">
        <f t="shared" si="62"/>
        <v>0.82630150873635855</v>
      </c>
      <c r="AH105" s="611"/>
    </row>
    <row r="106" spans="1:34" s="218" customFormat="1" ht="19.2" customHeight="1">
      <c r="A106" s="633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2" customHeight="1">
      <c r="A107" s="633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2" customHeight="1">
      <c r="A108" s="633"/>
      <c r="B108" s="110">
        <v>0</v>
      </c>
      <c r="C108" s="100" t="s">
        <v>400</v>
      </c>
      <c r="D108" s="617" t="s">
        <v>370</v>
      </c>
      <c r="E108" s="617"/>
      <c r="F108" s="367"/>
      <c r="G108" s="101"/>
      <c r="H108" s="102"/>
      <c r="I108" s="103"/>
      <c r="J108" s="101">
        <v>17.8</v>
      </c>
      <c r="K108" s="101">
        <v>1528.1</v>
      </c>
      <c r="L108" s="104">
        <v>89.177033269448117</v>
      </c>
      <c r="M108" s="101">
        <f t="shared" ref="M108:O108" si="71">AVERAGE(M96:M107)</f>
        <v>17.3</v>
      </c>
      <c r="N108" s="101">
        <f t="shared" si="71"/>
        <v>1273.5408979418758</v>
      </c>
      <c r="O108" s="104">
        <f t="shared" si="71"/>
        <v>75.575573743043606</v>
      </c>
      <c r="P108" s="54">
        <f t="shared" ref="P108:P117" si="72">M108-J108</f>
        <v>-0.5</v>
      </c>
      <c r="Q108" s="88">
        <f t="shared" ref="Q108:Q117" si="73">O108-L108</f>
        <v>-13.601459526404511</v>
      </c>
      <c r="R108" s="105">
        <f t="shared" ref="R108:R117" si="74">O108/L108</f>
        <v>0.84747799934869161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1</v>
      </c>
      <c r="AF108" s="54">
        <f t="shared" si="61"/>
        <v>-254.55910205812415</v>
      </c>
      <c r="AG108" s="421">
        <f t="shared" si="62"/>
        <v>0.833414631203374</v>
      </c>
      <c r="AH108" s="611"/>
    </row>
    <row r="109" spans="1:34" ht="19.2" customHeight="1">
      <c r="A109" s="634" t="s">
        <v>402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866</v>
      </c>
      <c r="H109" s="45">
        <f t="shared" ref="H109:H119" si="75">F109*G109</f>
        <v>48868.38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1298.9999999999995</v>
      </c>
      <c r="O109" s="47">
        <f t="shared" ref="O109:O117" si="77">N109/M109</f>
        <v>72.166666666666643</v>
      </c>
      <c r="P109" s="48">
        <f t="shared" si="72"/>
        <v>0</v>
      </c>
      <c r="Q109" s="49">
        <f t="shared" si="73"/>
        <v>-11.166666666666686</v>
      </c>
      <c r="R109" s="424">
        <f t="shared" si="74"/>
        <v>0.86599999999999977</v>
      </c>
      <c r="S109" s="637">
        <f>R121</f>
        <v>0.87927639789998713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-201.00000000000045</v>
      </c>
      <c r="AG109" s="125">
        <f t="shared" si="62"/>
        <v>0.86599999999999966</v>
      </c>
      <c r="AH109" s="611">
        <f>AG121</f>
        <v>0.88064904330384841</v>
      </c>
    </row>
    <row r="110" spans="1:34" ht="19.2" customHeight="1">
      <c r="A110" s="635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1406</v>
      </c>
      <c r="H110" s="45">
        <f t="shared" si="75"/>
        <v>83713.240000000005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1278.1818181818196</v>
      </c>
      <c r="O110" s="47">
        <f t="shared" si="77"/>
        <v>71.010101010101096</v>
      </c>
      <c r="P110" s="48">
        <f t="shared" si="72"/>
        <v>0</v>
      </c>
      <c r="Q110" s="49">
        <f t="shared" si="73"/>
        <v>-5.9343434343433472</v>
      </c>
      <c r="R110" s="424">
        <f t="shared" si="74"/>
        <v>0.9228749589760431</v>
      </c>
      <c r="S110" s="638"/>
      <c r="T110" s="226">
        <v>0.53263888888888888</v>
      </c>
      <c r="U110" s="226">
        <v>0.57847222222222217</v>
      </c>
      <c r="V110" s="227">
        <v>7</v>
      </c>
      <c r="W110" s="433">
        <f t="shared" si="70"/>
        <v>65.999999999999929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-106.81818181818039</v>
      </c>
      <c r="AG110" s="125">
        <f t="shared" si="62"/>
        <v>0.92287495897604299</v>
      </c>
      <c r="AH110" s="611"/>
    </row>
    <row r="111" spans="1:34" ht="19.2" customHeight="1">
      <c r="A111" s="635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1512</v>
      </c>
      <c r="H111" s="45">
        <f t="shared" si="75"/>
        <v>76613.040000000008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1395.6923076923092</v>
      </c>
      <c r="O111" s="47">
        <f t="shared" si="77"/>
        <v>77.538461538461618</v>
      </c>
      <c r="P111" s="48">
        <f t="shared" si="72"/>
        <v>0</v>
      </c>
      <c r="Q111" s="49">
        <f t="shared" si="73"/>
        <v>-5.7948717948717103</v>
      </c>
      <c r="R111" s="424">
        <f t="shared" si="74"/>
        <v>0.93046153846153945</v>
      </c>
      <c r="S111" s="638"/>
      <c r="T111" s="226">
        <v>0.59444444444444433</v>
      </c>
      <c r="U111" s="226">
        <v>0.63958333333333317</v>
      </c>
      <c r="V111" s="227">
        <v>23</v>
      </c>
      <c r="W111" s="433">
        <f t="shared" si="70"/>
        <v>64.999999999999929</v>
      </c>
      <c r="X111" s="53">
        <v>0.58333333333333337</v>
      </c>
      <c r="Y111" s="53">
        <v>0.59375</v>
      </c>
      <c r="Z111" s="54"/>
      <c r="AA111" s="54"/>
      <c r="AB111" s="588"/>
      <c r="AC111" s="588"/>
      <c r="AD111" s="420"/>
      <c r="AE111" s="420"/>
      <c r="AF111" s="48">
        <f t="shared" si="61"/>
        <v>-104.30769230769079</v>
      </c>
      <c r="AG111" s="125">
        <f t="shared" si="62"/>
        <v>0.93046153846153945</v>
      </c>
      <c r="AH111" s="611"/>
    </row>
    <row r="112" spans="1:34" ht="19.2" customHeight="1">
      <c r="A112" s="635"/>
      <c r="B112" s="422" t="s">
        <v>128</v>
      </c>
      <c r="C112" s="175"/>
      <c r="D112" s="176" t="s">
        <v>72</v>
      </c>
      <c r="E112" s="83"/>
      <c r="F112" s="355">
        <v>53.36</v>
      </c>
      <c r="G112" s="57">
        <v>1954.7499999999998</v>
      </c>
      <c r="H112" s="45">
        <f t="shared" si="75"/>
        <v>104305.45999999999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1332.7840909090908</v>
      </c>
      <c r="O112" s="47">
        <f t="shared" si="77"/>
        <v>70.146531100478455</v>
      </c>
      <c r="P112" s="48">
        <f t="shared" si="72"/>
        <v>0</v>
      </c>
      <c r="Q112" s="49">
        <f t="shared" si="73"/>
        <v>-5.642942583732065</v>
      </c>
      <c r="R112" s="424">
        <f t="shared" si="74"/>
        <v>0.92554450757575746</v>
      </c>
      <c r="S112" s="638"/>
      <c r="T112" s="226">
        <v>0.64444444444444426</v>
      </c>
      <c r="U112" s="226">
        <v>0.70555555555555538</v>
      </c>
      <c r="V112" s="227">
        <v>7</v>
      </c>
      <c r="W112" s="433">
        <f t="shared" si="70"/>
        <v>88</v>
      </c>
      <c r="X112" s="216"/>
      <c r="Y112" s="216"/>
      <c r="Z112" s="54"/>
      <c r="AA112" s="54"/>
      <c r="AB112" s="588"/>
      <c r="AC112" s="588"/>
      <c r="AD112" s="420">
        <v>1</v>
      </c>
      <c r="AE112" s="420"/>
      <c r="AF112" s="48">
        <f t="shared" si="61"/>
        <v>-107.21590909090924</v>
      </c>
      <c r="AG112" s="125">
        <f t="shared" si="62"/>
        <v>0.92554450757575746</v>
      </c>
      <c r="AH112" s="611"/>
    </row>
    <row r="113" spans="1:34" s="218" customFormat="1" ht="19.2" customHeight="1">
      <c r="A113" s="635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1639</v>
      </c>
      <c r="H113" s="45">
        <f t="shared" si="75"/>
        <v>46826.23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1404.8571428571413</v>
      </c>
      <c r="O113" s="47">
        <f t="shared" si="77"/>
        <v>117.07142857142844</v>
      </c>
      <c r="P113" s="48">
        <f t="shared" si="72"/>
        <v>0</v>
      </c>
      <c r="Q113" s="49">
        <f t="shared" si="73"/>
        <v>-7.9285714285715585</v>
      </c>
      <c r="R113" s="424">
        <f t="shared" si="74"/>
        <v>0.9365714285714275</v>
      </c>
      <c r="S113" s="638"/>
      <c r="T113" s="226">
        <v>0.74305555555555547</v>
      </c>
      <c r="U113" s="226">
        <v>0.79166666666666663</v>
      </c>
      <c r="V113" s="227">
        <v>5</v>
      </c>
      <c r="W113" s="433">
        <f t="shared" si="70"/>
        <v>70.000000000000071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-95.142857142858702</v>
      </c>
      <c r="AG113" s="125">
        <f t="shared" si="62"/>
        <v>0.9365714285714275</v>
      </c>
      <c r="AH113" s="611"/>
    </row>
    <row r="114" spans="1:34" s="218" customFormat="1" ht="19.2" customHeight="1">
      <c r="A114" s="635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486</v>
      </c>
      <c r="H114" s="45">
        <f t="shared" si="75"/>
        <v>9924.1200000000008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1166.4000000000117</v>
      </c>
      <c r="O114" s="47">
        <f t="shared" si="77"/>
        <v>97.200000000000969</v>
      </c>
      <c r="P114" s="48">
        <f t="shared" si="72"/>
        <v>0</v>
      </c>
      <c r="Q114" s="49">
        <f t="shared" si="73"/>
        <v>-27.799999999999031</v>
      </c>
      <c r="R114" s="424">
        <f t="shared" si="74"/>
        <v>0.77760000000000773</v>
      </c>
      <c r="S114" s="638"/>
      <c r="T114" s="226">
        <v>0.79513888888888884</v>
      </c>
      <c r="U114" s="226">
        <v>0.81249999999999978</v>
      </c>
      <c r="V114" s="227">
        <v>5</v>
      </c>
      <c r="W114" s="433">
        <f t="shared" si="70"/>
        <v>24.999999999999751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-333.59999999998831</v>
      </c>
      <c r="AG114" s="125">
        <f t="shared" si="62"/>
        <v>0.77760000000000784</v>
      </c>
      <c r="AH114" s="611"/>
    </row>
    <row r="115" spans="1:34" s="218" customFormat="1" ht="19.2" customHeight="1">
      <c r="A115" s="635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1012</v>
      </c>
      <c r="H115" s="45">
        <f t="shared" si="75"/>
        <v>45519.759999999995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1239.1836734693879</v>
      </c>
      <c r="O115" s="47">
        <f t="shared" si="77"/>
        <v>65.220193340494106</v>
      </c>
      <c r="P115" s="48">
        <f t="shared" si="72"/>
        <v>0</v>
      </c>
      <c r="Q115" s="49">
        <f t="shared" si="73"/>
        <v>-13.727175080558524</v>
      </c>
      <c r="R115" s="424">
        <f t="shared" si="74"/>
        <v>0.82612244897959197</v>
      </c>
      <c r="S115" s="638"/>
      <c r="T115" s="226">
        <v>0.81666666666666643</v>
      </c>
      <c r="U115" s="226">
        <v>0.8506944444444442</v>
      </c>
      <c r="V115" s="227">
        <v>6</v>
      </c>
      <c r="W115" s="433">
        <f t="shared" si="70"/>
        <v>48.999999999999986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-260.81632653061206</v>
      </c>
      <c r="AG115" s="125">
        <f t="shared" si="62"/>
        <v>0.82612244897959197</v>
      </c>
      <c r="AH115" s="611"/>
    </row>
    <row r="116" spans="1:34" s="218" customFormat="1" ht="19.2" customHeight="1">
      <c r="A116" s="635"/>
      <c r="B116" s="422" t="s">
        <v>132</v>
      </c>
      <c r="C116" s="55"/>
      <c r="D116" s="82" t="s">
        <v>75</v>
      </c>
      <c r="E116" s="83"/>
      <c r="F116" s="355">
        <v>53.68</v>
      </c>
      <c r="G116" s="229">
        <v>788</v>
      </c>
      <c r="H116" s="45">
        <f t="shared" si="75"/>
        <v>42299.839999999997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1244.2105263157887</v>
      </c>
      <c r="O116" s="47">
        <f t="shared" si="77"/>
        <v>62.210526315789437</v>
      </c>
      <c r="P116" s="48">
        <f t="shared" si="72"/>
        <v>0</v>
      </c>
      <c r="Q116" s="49">
        <f t="shared" si="73"/>
        <v>-12.789473684210563</v>
      </c>
      <c r="R116" s="424">
        <f t="shared" si="74"/>
        <v>0.82947368421052581</v>
      </c>
      <c r="S116" s="638"/>
      <c r="T116" s="226">
        <v>0.86666666666666647</v>
      </c>
      <c r="U116" s="226">
        <v>0.89305555555555538</v>
      </c>
      <c r="V116" s="227">
        <v>23</v>
      </c>
      <c r="W116" s="433">
        <f t="shared" si="70"/>
        <v>38.000000000000028</v>
      </c>
      <c r="X116" s="216">
        <v>0.85555555555555562</v>
      </c>
      <c r="Y116" s="216">
        <v>0.8652777777777777</v>
      </c>
      <c r="Z116" s="217"/>
      <c r="AA116" s="217"/>
      <c r="AB116" s="588"/>
      <c r="AC116" s="588"/>
      <c r="AD116" s="221"/>
      <c r="AE116" s="221"/>
      <c r="AF116" s="48">
        <f t="shared" si="61"/>
        <v>-255.78947368421132</v>
      </c>
      <c r="AG116" s="125">
        <f t="shared" si="62"/>
        <v>0.82947368421052581</v>
      </c>
      <c r="AH116" s="611"/>
    </row>
    <row r="117" spans="1:34" s="218" customFormat="1" ht="19.2" customHeight="1">
      <c r="A117" s="635"/>
      <c r="B117" s="422" t="s">
        <v>132</v>
      </c>
      <c r="C117" s="55"/>
      <c r="D117" s="82" t="s">
        <v>81</v>
      </c>
      <c r="E117" s="83"/>
      <c r="F117" s="355">
        <v>55.56</v>
      </c>
      <c r="G117" s="229">
        <v>881</v>
      </c>
      <c r="H117" s="45">
        <f t="shared" si="75"/>
        <v>48948.36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1321.4999999999995</v>
      </c>
      <c r="O117" s="47">
        <f t="shared" si="77"/>
        <v>82.593749999999972</v>
      </c>
      <c r="P117" s="48">
        <f t="shared" si="72"/>
        <v>0</v>
      </c>
      <c r="Q117" s="49">
        <f t="shared" si="73"/>
        <v>-7.4062500000000284</v>
      </c>
      <c r="R117" s="424">
        <f t="shared" si="74"/>
        <v>0.91770833333333302</v>
      </c>
      <c r="S117" s="638"/>
      <c r="T117" s="226">
        <v>0.89791666666666647</v>
      </c>
      <c r="U117" s="226">
        <v>0.92569444444444426</v>
      </c>
      <c r="V117" s="227">
        <v>7</v>
      </c>
      <c r="W117" s="433">
        <f t="shared" si="70"/>
        <v>40.000000000000014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-118.50000000000045</v>
      </c>
      <c r="AG117" s="125">
        <f t="shared" si="62"/>
        <v>0.91770833333333302</v>
      </c>
      <c r="AH117" s="611"/>
    </row>
    <row r="118" spans="1:34" s="218" customFormat="1" ht="19.2" customHeight="1">
      <c r="A118" s="635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2" customHeight="1">
      <c r="A119" s="635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2" customHeight="1">
      <c r="A120" s="635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2" customHeight="1">
      <c r="A121" s="636"/>
      <c r="B121" s="121">
        <v>0</v>
      </c>
      <c r="C121" s="100" t="s">
        <v>404</v>
      </c>
      <c r="D121" s="232" t="s">
        <v>370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1297.9788399361721</v>
      </c>
      <c r="O121" s="203">
        <f t="shared" si="78"/>
        <v>79.461962060380088</v>
      </c>
      <c r="P121" s="48">
        <f t="shared" ref="P121:P130" si="79">M121-J121</f>
        <v>0</v>
      </c>
      <c r="Q121" s="49">
        <f t="shared" ref="Q121:Q130" si="80">O121-L121</f>
        <v>-10.910032741439267</v>
      </c>
      <c r="R121" s="172">
        <f t="shared" ref="R121:R130" si="81">O121/L121</f>
        <v>0.87927639789998713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-175.91004895271681</v>
      </c>
      <c r="AG121" s="125">
        <f>N121/K121</f>
        <v>0.88064904330384841</v>
      </c>
      <c r="AH121" s="611"/>
    </row>
    <row r="122" spans="1:34" ht="19.2" customHeight="1">
      <c r="A122" s="639" t="s">
        <v>406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1775</v>
      </c>
      <c r="H122" s="45">
        <f t="shared" ref="H122:H132" si="82">F122*G122</f>
        <v>104139.25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1283.1325301204815</v>
      </c>
      <c r="O122" s="237">
        <f t="shared" ref="O122:O130" si="84">N122/M122</f>
        <v>67.533291058972708</v>
      </c>
      <c r="P122" s="108">
        <f t="shared" si="79"/>
        <v>0</v>
      </c>
      <c r="Q122" s="182">
        <f t="shared" si="80"/>
        <v>-8.2561826252378125</v>
      </c>
      <c r="R122" s="109">
        <f t="shared" si="81"/>
        <v>0.89106425702811221</v>
      </c>
      <c r="S122" s="602">
        <f>R134</f>
        <v>0.88950962739886275</v>
      </c>
      <c r="T122" s="50">
        <v>0.5</v>
      </c>
      <c r="U122" s="50">
        <v>0.55763888888888891</v>
      </c>
      <c r="V122" s="227">
        <v>5</v>
      </c>
      <c r="W122" s="433">
        <f t="shared" si="70"/>
        <v>83.000000000000028</v>
      </c>
      <c r="X122" s="53"/>
      <c r="Y122" s="53"/>
      <c r="Z122" s="54"/>
      <c r="AA122" s="54"/>
      <c r="AB122" s="588"/>
      <c r="AC122" s="588"/>
      <c r="AD122" s="420">
        <v>1</v>
      </c>
      <c r="AE122" s="420"/>
      <c r="AF122" s="48">
        <f t="shared" si="61"/>
        <v>-156.86746987951847</v>
      </c>
      <c r="AG122" s="424">
        <f t="shared" si="62"/>
        <v>0.89106425702811221</v>
      </c>
      <c r="AH122" s="616">
        <f>AG134</f>
        <v>0.89500163372859565</v>
      </c>
    </row>
    <row r="123" spans="1:34" ht="19.2" customHeight="1">
      <c r="A123" s="639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1709.6000000000001</v>
      </c>
      <c r="H123" s="45">
        <f t="shared" si="82"/>
        <v>101755.39200000001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1250.9268292682923</v>
      </c>
      <c r="O123" s="86">
        <f t="shared" si="84"/>
        <v>59.567944250871065</v>
      </c>
      <c r="P123" s="54">
        <f t="shared" si="79"/>
        <v>0</v>
      </c>
      <c r="Q123" s="88">
        <f t="shared" si="80"/>
        <v>-6.384436701509884</v>
      </c>
      <c r="R123" s="421">
        <f t="shared" si="81"/>
        <v>0.90319626661970576</v>
      </c>
      <c r="S123" s="602"/>
      <c r="T123" s="50">
        <v>0.5625</v>
      </c>
      <c r="U123" s="50">
        <v>0.61944444444444446</v>
      </c>
      <c r="V123" s="227">
        <v>7</v>
      </c>
      <c r="W123" s="433">
        <f t="shared" si="70"/>
        <v>82.000000000000028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-134.07317073170771</v>
      </c>
      <c r="AG123" s="424">
        <f t="shared" si="62"/>
        <v>0.90319626661970565</v>
      </c>
      <c r="AH123" s="602"/>
    </row>
    <row r="124" spans="1:34" ht="19.2" customHeight="1">
      <c r="A124" s="639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987.34999999999991</v>
      </c>
      <c r="H124" s="45">
        <f t="shared" si="82"/>
        <v>50029.0245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1410.4999999999993</v>
      </c>
      <c r="O124" s="237">
        <f t="shared" si="84"/>
        <v>78.361111111111072</v>
      </c>
      <c r="P124" s="108">
        <f t="shared" si="79"/>
        <v>0</v>
      </c>
      <c r="Q124" s="182">
        <f t="shared" si="80"/>
        <v>-4.972222222222257</v>
      </c>
      <c r="R124" s="109">
        <f t="shared" si="81"/>
        <v>0.94033333333333291</v>
      </c>
      <c r="S124" s="640"/>
      <c r="T124" s="50">
        <v>0.63472222222222219</v>
      </c>
      <c r="U124" s="50">
        <v>0.66388888888888886</v>
      </c>
      <c r="V124" s="227">
        <v>22</v>
      </c>
      <c r="W124" s="433">
        <f t="shared" si="70"/>
        <v>42.000000000000014</v>
      </c>
      <c r="X124" s="188">
        <v>0.62361111111111112</v>
      </c>
      <c r="Y124" s="188">
        <v>0.6333333333333333</v>
      </c>
      <c r="Z124" s="54"/>
      <c r="AA124" s="54"/>
      <c r="AB124" s="588"/>
      <c r="AC124" s="588"/>
      <c r="AD124" s="420"/>
      <c r="AE124" s="420"/>
      <c r="AF124" s="108">
        <f t="shared" si="61"/>
        <v>-89.500000000000682</v>
      </c>
      <c r="AG124" s="109">
        <f t="shared" si="62"/>
        <v>0.94033333333333291</v>
      </c>
      <c r="AH124" s="602"/>
    </row>
    <row r="125" spans="1:34" ht="19.2" customHeight="1">
      <c r="A125" s="639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1250</v>
      </c>
      <c r="H125" s="45">
        <f t="shared" si="82"/>
        <v>70987.5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1388.8888888888896</v>
      </c>
      <c r="O125" s="237">
        <f t="shared" si="84"/>
        <v>77.160493827160536</v>
      </c>
      <c r="P125" s="108">
        <f t="shared" si="79"/>
        <v>0</v>
      </c>
      <c r="Q125" s="182">
        <f t="shared" si="80"/>
        <v>-13.728395061728349</v>
      </c>
      <c r="R125" s="109">
        <f t="shared" si="81"/>
        <v>0.84895408856289101</v>
      </c>
      <c r="S125" s="640"/>
      <c r="T125" s="50">
        <v>0.70416666666666661</v>
      </c>
      <c r="U125" s="50">
        <v>0.74166666666666659</v>
      </c>
      <c r="V125" s="227">
        <v>5</v>
      </c>
      <c r="W125" s="433">
        <f t="shared" si="70"/>
        <v>53.999999999999972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-247.1111111111104</v>
      </c>
      <c r="AG125" s="424">
        <f t="shared" si="62"/>
        <v>0.8489540885628909</v>
      </c>
      <c r="AH125" s="603"/>
    </row>
    <row r="126" spans="1:34" ht="19.2" customHeight="1">
      <c r="A126" s="639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1029</v>
      </c>
      <c r="H126" s="45">
        <f t="shared" si="82"/>
        <v>58519.229999999996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1313.617021276596</v>
      </c>
      <c r="O126" s="86">
        <f t="shared" si="84"/>
        <v>72.978723404255334</v>
      </c>
      <c r="P126" s="54">
        <f t="shared" si="79"/>
        <v>0</v>
      </c>
      <c r="Q126" s="88">
        <f t="shared" si="80"/>
        <v>-17.910165484633552</v>
      </c>
      <c r="R126" s="421">
        <f t="shared" si="81"/>
        <v>0.80294438953337166</v>
      </c>
      <c r="S126" s="640"/>
      <c r="T126" s="50">
        <v>0.74722222222222212</v>
      </c>
      <c r="U126" s="50">
        <v>0.77986111111111101</v>
      </c>
      <c r="V126" s="227">
        <v>8</v>
      </c>
      <c r="W126" s="433">
        <f t="shared" si="70"/>
        <v>46.999999999999993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-322.38297872340399</v>
      </c>
      <c r="AG126" s="109">
        <f t="shared" si="62"/>
        <v>0.80294438953337166</v>
      </c>
      <c r="AH126" s="603"/>
    </row>
    <row r="127" spans="1:34" ht="19.2" customHeight="1">
      <c r="A127" s="639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1267</v>
      </c>
      <c r="H127" s="45">
        <f t="shared" si="82"/>
        <v>60309.200000000004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1288.4745762711875</v>
      </c>
      <c r="O127" s="86">
        <f t="shared" si="84"/>
        <v>67.814451382694074</v>
      </c>
      <c r="P127" s="54">
        <f t="shared" si="79"/>
        <v>0</v>
      </c>
      <c r="Q127" s="88">
        <f t="shared" si="80"/>
        <v>-7.9750223015164465</v>
      </c>
      <c r="R127" s="421">
        <f t="shared" si="81"/>
        <v>0.89477401129943579</v>
      </c>
      <c r="S127" s="640"/>
      <c r="T127" s="50">
        <v>0.7847222222222221</v>
      </c>
      <c r="U127" s="50">
        <v>0.82569444444444429</v>
      </c>
      <c r="V127" s="422">
        <v>7</v>
      </c>
      <c r="W127" s="433">
        <f t="shared" si="70"/>
        <v>58.99999999999995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-151.52542372881248</v>
      </c>
      <c r="AG127" s="109">
        <f t="shared" si="62"/>
        <v>0.89477401129943579</v>
      </c>
      <c r="AH127" s="603"/>
    </row>
    <row r="128" spans="1:34" ht="19.2" customHeight="1">
      <c r="A128" s="639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1405</v>
      </c>
      <c r="H128" s="45">
        <f t="shared" si="82"/>
        <v>71191.350000000006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1359.6774193548399</v>
      </c>
      <c r="O128" s="86">
        <f t="shared" si="84"/>
        <v>75.537634408602216</v>
      </c>
      <c r="P128" s="54">
        <f t="shared" si="79"/>
        <v>0</v>
      </c>
      <c r="Q128" s="88">
        <f t="shared" si="80"/>
        <v>-7.7956989247311128</v>
      </c>
      <c r="R128" s="421">
        <f t="shared" si="81"/>
        <v>0.90645161290322662</v>
      </c>
      <c r="S128" s="640"/>
      <c r="T128" s="50">
        <v>0.84166666666666656</v>
      </c>
      <c r="U128" s="50">
        <v>0.88472222222222208</v>
      </c>
      <c r="V128" s="422">
        <v>23</v>
      </c>
      <c r="W128" s="433">
        <f t="shared" si="70"/>
        <v>61.999999999999943</v>
      </c>
      <c r="X128" s="64">
        <v>0.82986111111111116</v>
      </c>
      <c r="Y128" s="64">
        <v>0.84027777777777779</v>
      </c>
      <c r="Z128" s="54"/>
      <c r="AA128" s="54"/>
      <c r="AB128" s="588"/>
      <c r="AC128" s="588"/>
      <c r="AD128" s="420"/>
      <c r="AE128" s="420"/>
      <c r="AF128" s="48">
        <f t="shared" si="61"/>
        <v>-140.32258064516009</v>
      </c>
      <c r="AG128" s="424">
        <f t="shared" si="62"/>
        <v>0.90645161290322662</v>
      </c>
      <c r="AH128" s="603"/>
    </row>
    <row r="129" spans="1:34" ht="19.2" customHeight="1">
      <c r="A129" s="639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1567</v>
      </c>
      <c r="H129" s="45">
        <f t="shared" si="82"/>
        <v>91152.39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1362.6086956521726</v>
      </c>
      <c r="O129" s="86">
        <f t="shared" si="84"/>
        <v>85.163043478260789</v>
      </c>
      <c r="P129" s="54">
        <f t="shared" si="79"/>
        <v>0</v>
      </c>
      <c r="Q129" s="88">
        <f t="shared" si="80"/>
        <v>-4.8369565217392108</v>
      </c>
      <c r="R129" s="421">
        <f t="shared" si="81"/>
        <v>0.94625603864734209</v>
      </c>
      <c r="S129" s="640"/>
      <c r="T129" s="50">
        <v>0.88958333333333317</v>
      </c>
      <c r="U129" s="50">
        <v>0.93749999999999989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-77.391304347827372</v>
      </c>
      <c r="AG129" s="109">
        <f t="shared" si="62"/>
        <v>0.94625603864734209</v>
      </c>
      <c r="AH129" s="603"/>
    </row>
    <row r="130" spans="1:34" ht="19.2" customHeight="1">
      <c r="A130" s="639"/>
      <c r="B130" s="200" t="s">
        <v>132</v>
      </c>
      <c r="C130" s="157"/>
      <c r="D130" s="59" t="s">
        <v>208</v>
      </c>
      <c r="E130" s="60"/>
      <c r="F130" s="355">
        <v>56.43</v>
      </c>
      <c r="G130" s="57">
        <v>1643</v>
      </c>
      <c r="H130" s="45">
        <f t="shared" si="82"/>
        <v>92714.49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1350.4109589041086</v>
      </c>
      <c r="O130" s="86">
        <f t="shared" si="84"/>
        <v>79.435938759065209</v>
      </c>
      <c r="P130" s="54">
        <f t="shared" si="79"/>
        <v>1</v>
      </c>
      <c r="Q130" s="88">
        <f t="shared" si="80"/>
        <v>-10.564061240934791</v>
      </c>
      <c r="R130" s="421">
        <f t="shared" si="81"/>
        <v>0.88262154176739116</v>
      </c>
      <c r="S130" s="640"/>
      <c r="T130" s="50">
        <v>0.94305555555555542</v>
      </c>
      <c r="U130" s="50">
        <v>0.99374999999999991</v>
      </c>
      <c r="V130" s="422">
        <v>8</v>
      </c>
      <c r="W130" s="433">
        <f t="shared" si="70"/>
        <v>73.000000000000057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-89.589041095891389</v>
      </c>
      <c r="AG130" s="109">
        <f t="shared" si="62"/>
        <v>0.93778538812785317</v>
      </c>
      <c r="AH130" s="603"/>
    </row>
    <row r="131" spans="1:34" ht="19.2" customHeight="1">
      <c r="A131" s="639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2" customHeight="1">
      <c r="A132" s="639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2" customHeight="1">
      <c r="A133" s="639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2" customHeight="1">
      <c r="A134" s="639"/>
      <c r="B134" s="168">
        <v>0</v>
      </c>
      <c r="C134" s="100" t="s">
        <v>408</v>
      </c>
      <c r="D134" s="617" t="s">
        <v>370</v>
      </c>
      <c r="E134" s="617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1334.2485466373964</v>
      </c>
      <c r="O134" s="243">
        <f t="shared" si="85"/>
        <v>73.728070186777003</v>
      </c>
      <c r="P134" s="51">
        <f t="shared" ref="P134:P143" si="86">M134-J134</f>
        <v>0.11111111111111072</v>
      </c>
      <c r="Q134" s="139">
        <f t="shared" ref="Q134:Q143" si="87">O134-L134</f>
        <v>-9.1581267871392669</v>
      </c>
      <c r="R134" s="244">
        <f t="shared" ref="R134:R143" si="88">O134/L134</f>
        <v>0.88950962739886275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-156.5292311403814</v>
      </c>
      <c r="AG134" s="424">
        <f t="shared" si="62"/>
        <v>0.89500163372859565</v>
      </c>
      <c r="AH134" s="603"/>
    </row>
    <row r="135" spans="1:34" ht="19.2" customHeight="1">
      <c r="A135" s="641" t="s">
        <v>410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2163.2000000000003</v>
      </c>
      <c r="H135" s="245">
        <f t="shared" ref="H135:H146" si="89">F135*G135</f>
        <v>117007.48800000003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1351.9999999999995</v>
      </c>
      <c r="O135" s="115">
        <f t="shared" ref="O135:O143" si="91">N135/M135</f>
        <v>75.111111111111086</v>
      </c>
      <c r="P135" s="54">
        <f t="shared" si="86"/>
        <v>0</v>
      </c>
      <c r="Q135" s="88">
        <f t="shared" si="87"/>
        <v>-8.2222222222222427</v>
      </c>
      <c r="R135" s="421">
        <f t="shared" si="88"/>
        <v>0.9013333333333331</v>
      </c>
      <c r="S135" s="638">
        <f>R147</f>
        <v>0.87927964351428722</v>
      </c>
      <c r="T135" s="246">
        <v>0.45833333333333331</v>
      </c>
      <c r="U135" s="50">
        <v>0.52500000000000002</v>
      </c>
      <c r="V135" s="142">
        <v>5</v>
      </c>
      <c r="W135" s="247">
        <f t="shared" ref="W135:W147" si="92">(U135-T135)*24*60</f>
        <v>96.000000000000057</v>
      </c>
      <c r="X135" s="53"/>
      <c r="Y135" s="53"/>
      <c r="Z135" s="54"/>
      <c r="AA135" s="54"/>
      <c r="AB135" s="588"/>
      <c r="AC135" s="588"/>
      <c r="AD135" s="420">
        <v>1</v>
      </c>
      <c r="AE135" s="420"/>
      <c r="AF135" s="116">
        <f t="shared" si="61"/>
        <v>-148.00000000000045</v>
      </c>
      <c r="AG135" s="120">
        <f t="shared" si="62"/>
        <v>0.90133333333333299</v>
      </c>
      <c r="AH135" s="611">
        <f>AG147</f>
        <v>0.8790758919930346</v>
      </c>
    </row>
    <row r="136" spans="1:34" ht="19.2" customHeight="1">
      <c r="A136" s="64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1498</v>
      </c>
      <c r="H136" s="84">
        <f t="shared" si="89"/>
        <v>86487.03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1341.4925373134345</v>
      </c>
      <c r="O136" s="86">
        <f t="shared" si="91"/>
        <v>83.843283582089654</v>
      </c>
      <c r="P136" s="54">
        <f t="shared" si="86"/>
        <v>0</v>
      </c>
      <c r="Q136" s="88">
        <f t="shared" si="87"/>
        <v>-13.969216417910346</v>
      </c>
      <c r="R136" s="421">
        <f t="shared" si="88"/>
        <v>0.85718372991273772</v>
      </c>
      <c r="S136" s="638"/>
      <c r="T136" s="246">
        <v>0.54097222222222219</v>
      </c>
      <c r="U136" s="50">
        <v>0.58749999999999991</v>
      </c>
      <c r="V136" s="142">
        <v>23</v>
      </c>
      <c r="W136" s="247">
        <f t="shared" si="92"/>
        <v>66.999999999999915</v>
      </c>
      <c r="X136" s="53">
        <v>0.52916666666666667</v>
      </c>
      <c r="Y136" s="53">
        <v>0.54027777777777775</v>
      </c>
      <c r="Z136" s="54"/>
      <c r="AA136" s="54"/>
      <c r="AB136" s="588"/>
      <c r="AC136" s="588"/>
      <c r="AD136" s="420"/>
      <c r="AE136" s="420"/>
      <c r="AF136" s="48">
        <f t="shared" si="61"/>
        <v>-223.50746268656553</v>
      </c>
      <c r="AG136" s="125">
        <f t="shared" si="62"/>
        <v>0.85718372991273772</v>
      </c>
      <c r="AH136" s="611"/>
    </row>
    <row r="137" spans="1:34" ht="19.2" customHeight="1">
      <c r="A137" s="64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1415</v>
      </c>
      <c r="H137" s="84">
        <f t="shared" si="89"/>
        <v>75377.05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1286.3636363636379</v>
      </c>
      <c r="O137" s="86">
        <f t="shared" si="91"/>
        <v>80.397727272727366</v>
      </c>
      <c r="P137" s="54">
        <f t="shared" si="86"/>
        <v>0</v>
      </c>
      <c r="Q137" s="88">
        <f t="shared" si="87"/>
        <v>-13.352272727272634</v>
      </c>
      <c r="R137" s="421">
        <f t="shared" si="88"/>
        <v>0.85757575757575855</v>
      </c>
      <c r="S137" s="638"/>
      <c r="T137" s="50">
        <v>0.59236111111111101</v>
      </c>
      <c r="U137" s="50">
        <v>0.63819444444444429</v>
      </c>
      <c r="V137" s="249">
        <v>7</v>
      </c>
      <c r="W137" s="247">
        <f t="shared" si="92"/>
        <v>65.999999999999929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-213.63636363636215</v>
      </c>
      <c r="AG137" s="125">
        <f t="shared" si="62"/>
        <v>0.85757575757575855</v>
      </c>
      <c r="AH137" s="611"/>
    </row>
    <row r="138" spans="1:34" ht="19.2" customHeight="1">
      <c r="A138" s="64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1346</v>
      </c>
      <c r="H138" s="84">
        <f t="shared" si="89"/>
        <v>68619.08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1261.8750000000016</v>
      </c>
      <c r="O138" s="86">
        <f t="shared" si="91"/>
        <v>63.093750000000078</v>
      </c>
      <c r="P138" s="54">
        <f t="shared" si="86"/>
        <v>0</v>
      </c>
      <c r="Q138" s="88">
        <f t="shared" si="87"/>
        <v>-8.9062499999999218</v>
      </c>
      <c r="R138" s="426">
        <f t="shared" si="88"/>
        <v>0.87630208333333437</v>
      </c>
      <c r="S138" s="638"/>
      <c r="T138" s="50">
        <v>0.67847222222222203</v>
      </c>
      <c r="U138" s="50">
        <v>0.72291666666666643</v>
      </c>
      <c r="V138" s="249">
        <v>5</v>
      </c>
      <c r="W138" s="247">
        <f t="shared" si="92"/>
        <v>63.999999999999929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-178.12499999999841</v>
      </c>
      <c r="AG138" s="125">
        <f t="shared" si="62"/>
        <v>0.87630208333333448</v>
      </c>
      <c r="AH138" s="611"/>
    </row>
    <row r="139" spans="1:34" ht="19.2" customHeight="1">
      <c r="A139" s="64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824</v>
      </c>
      <c r="H139" s="84">
        <f t="shared" si="89"/>
        <v>41752.080000000002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1336.2162162162151</v>
      </c>
      <c r="O139" s="86">
        <f t="shared" si="91"/>
        <v>78.600953895071484</v>
      </c>
      <c r="P139" s="54">
        <f t="shared" si="86"/>
        <v>0</v>
      </c>
      <c r="Q139" s="88">
        <f t="shared" si="87"/>
        <v>-9.6343402225755739</v>
      </c>
      <c r="R139" s="421">
        <f t="shared" si="88"/>
        <v>0.89081081081081015</v>
      </c>
      <c r="S139" s="638"/>
      <c r="T139" s="50">
        <v>0.72777777777777752</v>
      </c>
      <c r="U139" s="50">
        <v>0.75347222222222199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-163.78378378378488</v>
      </c>
      <c r="AG139" s="125">
        <f t="shared" si="62"/>
        <v>0.89081081081081004</v>
      </c>
      <c r="AH139" s="611"/>
    </row>
    <row r="140" spans="1:34" ht="19.2" customHeight="1">
      <c r="A140" s="64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1553</v>
      </c>
      <c r="H140" s="84">
        <f t="shared" si="89"/>
        <v>79078.760000000009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1259.1891891891883</v>
      </c>
      <c r="O140" s="86">
        <f t="shared" si="91"/>
        <v>66.273115220483589</v>
      </c>
      <c r="P140" s="54">
        <f t="shared" si="86"/>
        <v>0</v>
      </c>
      <c r="Q140" s="88">
        <f t="shared" si="87"/>
        <v>-9.5163584637269309</v>
      </c>
      <c r="R140" s="421">
        <f t="shared" si="88"/>
        <v>0.87443693693693636</v>
      </c>
      <c r="S140" s="645"/>
      <c r="T140" s="63">
        <v>0.76874999999999971</v>
      </c>
      <c r="U140" s="252">
        <v>0.82013888888888864</v>
      </c>
      <c r="V140" s="253">
        <v>22</v>
      </c>
      <c r="W140" s="247">
        <f t="shared" si="92"/>
        <v>74.000000000000057</v>
      </c>
      <c r="X140" s="53">
        <v>0.7583333333333333</v>
      </c>
      <c r="Y140" s="53">
        <v>0.7680555555555556</v>
      </c>
      <c r="Z140" s="54"/>
      <c r="AA140" s="54"/>
      <c r="AB140" s="588"/>
      <c r="AC140" s="588"/>
      <c r="AD140" s="420"/>
      <c r="AE140" s="420"/>
      <c r="AF140" s="48">
        <f t="shared" si="61"/>
        <v>-180.81081081081174</v>
      </c>
      <c r="AG140" s="125">
        <f t="shared" si="62"/>
        <v>0.87443693693693625</v>
      </c>
      <c r="AH140" s="611"/>
    </row>
    <row r="141" spans="1:34" ht="19.2" customHeight="1">
      <c r="A141" s="64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947</v>
      </c>
      <c r="H141" s="84">
        <f t="shared" si="89"/>
        <v>50058.42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1262.6666666666667</v>
      </c>
      <c r="O141" s="86">
        <f t="shared" si="91"/>
        <v>70.148148148148152</v>
      </c>
      <c r="P141" s="54">
        <f t="shared" si="86"/>
        <v>0</v>
      </c>
      <c r="Q141" s="88">
        <f t="shared" si="87"/>
        <v>-9.8518518518518476</v>
      </c>
      <c r="R141" s="421">
        <f t="shared" si="88"/>
        <v>0.87685185185185188</v>
      </c>
      <c r="S141" s="645"/>
      <c r="T141" s="63">
        <v>0.82499999999999973</v>
      </c>
      <c r="U141" s="252">
        <v>0.85624999999999973</v>
      </c>
      <c r="V141" s="55">
        <v>7</v>
      </c>
      <c r="W141" s="247">
        <f t="shared" si="92"/>
        <v>45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-177.33333333333326</v>
      </c>
      <c r="AG141" s="125">
        <f t="shared" si="62"/>
        <v>0.87685185185185188</v>
      </c>
      <c r="AH141" s="611"/>
    </row>
    <row r="142" spans="1:34" ht="19.2" customHeight="1">
      <c r="A142" s="64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820</v>
      </c>
      <c r="H142" s="84">
        <f t="shared" si="89"/>
        <v>41549.4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1261.538461538461</v>
      </c>
      <c r="O142" s="86">
        <f t="shared" si="91"/>
        <v>74.208144796380054</v>
      </c>
      <c r="P142" s="54">
        <f t="shared" si="86"/>
        <v>0</v>
      </c>
      <c r="Q142" s="88">
        <f t="shared" si="87"/>
        <v>-10.49773755656112</v>
      </c>
      <c r="R142" s="421">
        <f t="shared" si="88"/>
        <v>0.87606837606837562</v>
      </c>
      <c r="S142" s="645"/>
      <c r="T142" s="63">
        <v>0.86041666666666639</v>
      </c>
      <c r="U142" s="252">
        <v>0.88749999999999973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-178.46153846153902</v>
      </c>
      <c r="AG142" s="125">
        <f t="shared" si="62"/>
        <v>0.87606837606837573</v>
      </c>
      <c r="AH142" s="611"/>
    </row>
    <row r="143" spans="1:34" ht="19.2" customHeight="1">
      <c r="A143" s="64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1083</v>
      </c>
      <c r="H143" s="84">
        <f t="shared" si="89"/>
        <v>54680.670000000006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1299.6000000000004</v>
      </c>
      <c r="O143" s="86">
        <f t="shared" si="91"/>
        <v>92.82857142857145</v>
      </c>
      <c r="P143" s="54">
        <f t="shared" si="86"/>
        <v>0</v>
      </c>
      <c r="Q143" s="88">
        <f t="shared" si="87"/>
        <v>-10.028571428571411</v>
      </c>
      <c r="R143" s="421">
        <f t="shared" si="88"/>
        <v>0.90250000000000019</v>
      </c>
      <c r="S143" s="645"/>
      <c r="T143" s="63">
        <v>0.89236111111111083</v>
      </c>
      <c r="U143" s="252">
        <v>0.92708333333333304</v>
      </c>
      <c r="V143" s="55">
        <v>7</v>
      </c>
      <c r="W143" s="247">
        <f t="shared" si="92"/>
        <v>49.999999999999986</v>
      </c>
      <c r="X143" s="53"/>
      <c r="Y143" s="53"/>
      <c r="Z143" s="54"/>
      <c r="AA143" s="54"/>
      <c r="AB143" s="588"/>
      <c r="AC143" s="588"/>
      <c r="AD143" s="420">
        <v>1</v>
      </c>
      <c r="AE143" s="420"/>
      <c r="AF143" s="48">
        <f t="shared" si="61"/>
        <v>-140.39999999999964</v>
      </c>
      <c r="AG143" s="125">
        <f t="shared" si="62"/>
        <v>0.9025000000000003</v>
      </c>
      <c r="AH143" s="611"/>
    </row>
    <row r="144" spans="1:34" ht="19.2" customHeight="1">
      <c r="A144" s="64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2" customHeight="1">
      <c r="A145" s="64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2" customHeight="1">
      <c r="A146" s="64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2" customHeight="1">
      <c r="A147" s="644"/>
      <c r="B147" s="257">
        <v>0</v>
      </c>
      <c r="C147" s="100" t="s">
        <v>412</v>
      </c>
      <c r="D147" s="617" t="s">
        <v>370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17.222222222222221</v>
      </c>
      <c r="N147" s="242">
        <f t="shared" si="93"/>
        <v>1295.6601896986226</v>
      </c>
      <c r="O147" s="243">
        <f t="shared" si="93"/>
        <v>76.056089494953667</v>
      </c>
      <c r="P147" s="51">
        <f t="shared" ref="P147:P151" si="94">M147-J147</f>
        <v>0</v>
      </c>
      <c r="Q147" s="139">
        <f t="shared" ref="Q147:Q151" si="95">O147-L147</f>
        <v>-10.442091210076896</v>
      </c>
      <c r="R147" s="258">
        <f t="shared" ref="R147:R151" si="96">O147/L147</f>
        <v>0.87927964351428722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2</v>
      </c>
      <c r="AE147" s="107">
        <f>SUM(AE135:AE146)</f>
        <v>0</v>
      </c>
      <c r="AF147" s="204">
        <f t="shared" si="61"/>
        <v>-178.2286991902663</v>
      </c>
      <c r="AG147" s="259">
        <f t="shared" si="62"/>
        <v>0.8790758919930346</v>
      </c>
      <c r="AH147" s="611"/>
    </row>
    <row r="148" spans="1:34" ht="19.2" customHeight="1">
      <c r="A148" s="648" t="s">
        <v>414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4341</v>
      </c>
      <c r="H148" s="84">
        <f t="shared" ref="H148:H172" si="97">F148*G148</f>
        <v>123588.26999999999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1" si="98">G148/W148*60</f>
        <v>1471.5254237288141</v>
      </c>
      <c r="O148" s="47">
        <f t="shared" ref="O148:O151" si="99">N148/M148</f>
        <v>210.21791767554487</v>
      </c>
      <c r="P148" s="48">
        <f t="shared" si="94"/>
        <v>0</v>
      </c>
      <c r="Q148" s="49">
        <f t="shared" si="95"/>
        <v>-4.0677966101694096</v>
      </c>
      <c r="R148" s="424">
        <f t="shared" si="96"/>
        <v>0.98101694915254278</v>
      </c>
      <c r="S148" s="649">
        <f>R160</f>
        <v>0.90363130269207237</v>
      </c>
      <c r="T148" s="246">
        <v>0.45833333333333331</v>
      </c>
      <c r="U148" s="50">
        <v>0.58124999999999993</v>
      </c>
      <c r="V148" s="422">
        <v>5</v>
      </c>
      <c r="W148" s="433">
        <f>(U148-T148)*24*60</f>
        <v>176.99999999999994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-28.474576271185924</v>
      </c>
      <c r="AG148" s="125">
        <f t="shared" si="62"/>
        <v>0.98101694915254267</v>
      </c>
      <c r="AH148" s="611">
        <f>AG160</f>
        <v>0.89360612759875946</v>
      </c>
    </row>
    <row r="149" spans="1:34" ht="19.2" customHeight="1">
      <c r="A149" s="648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2829</v>
      </c>
      <c r="H149" s="84">
        <f t="shared" si="97"/>
        <v>104446.68000000001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1571.6666666666674</v>
      </c>
      <c r="O149" s="47">
        <f t="shared" si="99"/>
        <v>130.97222222222229</v>
      </c>
      <c r="P149" s="48">
        <f t="shared" si="94"/>
        <v>0</v>
      </c>
      <c r="Q149" s="49">
        <f t="shared" si="95"/>
        <v>-35.694444444444372</v>
      </c>
      <c r="R149" s="424">
        <f t="shared" si="96"/>
        <v>0.78583333333333372</v>
      </c>
      <c r="S149" s="650"/>
      <c r="T149" s="246">
        <v>0.59652777777777766</v>
      </c>
      <c r="U149" s="50">
        <v>0.67152777777777761</v>
      </c>
      <c r="V149" s="422">
        <v>22</v>
      </c>
      <c r="W149" s="433">
        <f t="shared" ref="W149:W159" si="100">(U149-T149)*24*60</f>
        <v>107.99999999999994</v>
      </c>
      <c r="X149" s="53">
        <v>0.58472222222222225</v>
      </c>
      <c r="Y149" s="53">
        <v>0.59444444444444444</v>
      </c>
      <c r="Z149" s="54"/>
      <c r="AA149" s="54"/>
      <c r="AB149" s="588"/>
      <c r="AC149" s="588"/>
      <c r="AD149" s="420"/>
      <c r="AE149" s="420"/>
      <c r="AF149" s="48">
        <f t="shared" si="61"/>
        <v>-428.33333333333258</v>
      </c>
      <c r="AG149" s="125">
        <f t="shared" si="62"/>
        <v>0.78583333333333372</v>
      </c>
      <c r="AH149" s="652"/>
    </row>
    <row r="150" spans="1:34" ht="19.2" customHeight="1">
      <c r="A150" s="648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995</v>
      </c>
      <c r="H150" s="84">
        <f t="shared" si="97"/>
        <v>50804.700000000004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1326.6666666666667</v>
      </c>
      <c r="O150" s="47">
        <f t="shared" si="99"/>
        <v>82.916666666666671</v>
      </c>
      <c r="P150" s="48">
        <f t="shared" si="94"/>
        <v>0</v>
      </c>
      <c r="Q150" s="49">
        <f t="shared" si="95"/>
        <v>-7.0833333333333286</v>
      </c>
      <c r="R150" s="424">
        <f t="shared" si="96"/>
        <v>0.92129629629629639</v>
      </c>
      <c r="S150" s="650"/>
      <c r="T150" s="246">
        <v>0.8125</v>
      </c>
      <c r="U150" s="50">
        <v>0.84375</v>
      </c>
      <c r="V150" s="422">
        <v>8</v>
      </c>
      <c r="W150" s="433">
        <f t="shared" si="100"/>
        <v>45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-113.33333333333326</v>
      </c>
      <c r="AG150" s="125">
        <f t="shared" si="62"/>
        <v>0.92129629629629639</v>
      </c>
      <c r="AH150" s="652"/>
    </row>
    <row r="151" spans="1:34" s="218" customFormat="1" ht="19.2" customHeight="1">
      <c r="A151" s="648"/>
      <c r="B151" s="420" t="s">
        <v>128</v>
      </c>
      <c r="C151" s="221"/>
      <c r="D151" s="59" t="s">
        <v>82</v>
      </c>
      <c r="E151" s="60"/>
      <c r="F151" s="362">
        <v>59.52</v>
      </c>
      <c r="G151" s="57">
        <v>427.40000000000003</v>
      </c>
      <c r="H151" s="84">
        <f t="shared" si="97"/>
        <v>25438.848000000002</v>
      </c>
      <c r="I151" s="260">
        <v>1</v>
      </c>
      <c r="J151" s="87">
        <v>21</v>
      </c>
      <c r="K151" s="57">
        <v>1385</v>
      </c>
      <c r="L151" s="86">
        <v>65.952380952380949</v>
      </c>
      <c r="M151" s="228">
        <v>21</v>
      </c>
      <c r="N151" s="44">
        <f t="shared" si="98"/>
        <v>1282.2000000000048</v>
      </c>
      <c r="O151" s="47">
        <f t="shared" si="99"/>
        <v>61.057142857143084</v>
      </c>
      <c r="P151" s="48">
        <f t="shared" si="94"/>
        <v>0</v>
      </c>
      <c r="Q151" s="49">
        <f t="shared" si="95"/>
        <v>-4.8952380952378647</v>
      </c>
      <c r="R151" s="424">
        <f t="shared" si="96"/>
        <v>0.92577617328520201</v>
      </c>
      <c r="S151" s="650"/>
      <c r="T151" s="246">
        <v>0.84722222222222221</v>
      </c>
      <c r="U151" s="50">
        <v>0.86111111111111105</v>
      </c>
      <c r="V151" s="422">
        <v>5</v>
      </c>
      <c r="W151" s="433">
        <f t="shared" si="100"/>
        <v>19.999999999999929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-102.79999999999518</v>
      </c>
      <c r="AG151" s="125">
        <f t="shared" si="62"/>
        <v>0.92577617328520201</v>
      </c>
      <c r="AH151" s="652"/>
    </row>
    <row r="152" spans="1:34" s="218" customFormat="1" ht="19.2" customHeight="1">
      <c r="A152" s="648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650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0</v>
      </c>
      <c r="AG152" s="125" t="e">
        <f t="shared" si="62"/>
        <v>#DIV/0!</v>
      </c>
      <c r="AH152" s="652"/>
    </row>
    <row r="153" spans="1:34" s="218" customFormat="1" ht="19.2" customHeight="1">
      <c r="A153" s="648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2" customHeight="1">
      <c r="A154" s="648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2" customHeight="1">
      <c r="A155" s="648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2" customHeight="1">
      <c r="A156" s="648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2" customHeight="1">
      <c r="A157" s="648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2" customHeight="1">
      <c r="A158" s="648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2" customHeight="1">
      <c r="A159" s="648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2" customHeight="1">
      <c r="A160" s="648"/>
      <c r="B160" s="267">
        <v>0</v>
      </c>
      <c r="C160" s="268" t="s">
        <v>416</v>
      </c>
      <c r="D160" s="647" t="s">
        <v>370</v>
      </c>
      <c r="E160" s="608"/>
      <c r="F160" s="356"/>
      <c r="G160" s="202"/>
      <c r="H160" s="201"/>
      <c r="I160" s="72"/>
      <c r="J160" s="269">
        <v>14</v>
      </c>
      <c r="K160" s="269">
        <v>1581.25</v>
      </c>
      <c r="L160" s="270">
        <v>134.22619047619048</v>
      </c>
      <c r="M160" s="269">
        <f t="shared" ref="M160:O160" si="101">AVERAGE(M148:M159)</f>
        <v>14</v>
      </c>
      <c r="N160" s="269">
        <f t="shared" si="101"/>
        <v>1413.0146892655384</v>
      </c>
      <c r="O160" s="270">
        <f t="shared" si="101"/>
        <v>121.29098735539424</v>
      </c>
      <c r="P160" s="65">
        <f t="shared" ref="P160:P163" si="102">M160-J160</f>
        <v>0</v>
      </c>
      <c r="Q160" s="74">
        <f t="shared" ref="Q160:Q163" si="103">O160-L160</f>
        <v>-12.935203120796245</v>
      </c>
      <c r="R160" s="271">
        <f>O160/L160</f>
        <v>0.90363130269207237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-168.23531073446156</v>
      </c>
      <c r="AG160" s="129">
        <f t="shared" si="62"/>
        <v>0.89360612759875946</v>
      </c>
      <c r="AH160" s="652"/>
    </row>
    <row r="161" spans="1:36" ht="19.2" customHeight="1">
      <c r="A161" s="610" t="s">
        <v>418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3352</v>
      </c>
      <c r="H161" s="84">
        <f t="shared" ref="H161:H170" si="104">F161*G161</f>
        <v>114738.95999999999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2162.5806451612898</v>
      </c>
      <c r="O161" s="86">
        <f t="shared" ref="O161:O166" si="106">N161/M161</f>
        <v>166.3523573200992</v>
      </c>
      <c r="P161" s="54">
        <f t="shared" si="102"/>
        <v>0</v>
      </c>
      <c r="Q161" s="88">
        <f t="shared" si="103"/>
        <v>-6.7245657568238641</v>
      </c>
      <c r="R161" s="421">
        <f t="shared" ref="R161:R163" si="107">O161/L161</f>
        <v>0.96114695340501766</v>
      </c>
      <c r="S161" s="611">
        <f>R173</f>
        <v>0.92755841986959209</v>
      </c>
      <c r="T161" s="89">
        <v>0.16666666666666666</v>
      </c>
      <c r="U161" s="89">
        <v>0.23125000000000001</v>
      </c>
      <c r="V161" s="420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-87.419354838710206</v>
      </c>
      <c r="AG161" s="421">
        <f t="shared" si="62"/>
        <v>0.96114695340501766</v>
      </c>
      <c r="AH161" s="611">
        <f>AG173</f>
        <v>0.93139580789722221</v>
      </c>
    </row>
    <row r="162" spans="1:36" ht="19.2" customHeight="1">
      <c r="A162" s="610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3387</v>
      </c>
      <c r="H162" s="84">
        <f t="shared" si="104"/>
        <v>115937.01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2185.16129032258</v>
      </c>
      <c r="O162" s="86">
        <f t="shared" si="106"/>
        <v>168.08933002481385</v>
      </c>
      <c r="P162" s="54">
        <f t="shared" si="102"/>
        <v>0</v>
      </c>
      <c r="Q162" s="88">
        <f t="shared" si="103"/>
        <v>-4.9875930521092187</v>
      </c>
      <c r="R162" s="421">
        <f t="shared" si="107"/>
        <v>0.97118279569892452</v>
      </c>
      <c r="S162" s="611"/>
      <c r="T162" s="89">
        <v>0.23611111111111113</v>
      </c>
      <c r="U162" s="89">
        <v>0.30069444444444449</v>
      </c>
      <c r="V162" s="420">
        <v>7</v>
      </c>
      <c r="W162" s="90">
        <f t="shared" si="108"/>
        <v>93.000000000000028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-64.838709677419956</v>
      </c>
      <c r="AG162" s="421">
        <f t="shared" si="62"/>
        <v>0.97118279569892452</v>
      </c>
      <c r="AH162" s="611"/>
    </row>
    <row r="163" spans="1:36" ht="19.2" customHeight="1">
      <c r="A163" s="610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3374.7</v>
      </c>
      <c r="H163" s="84">
        <f t="shared" si="104"/>
        <v>120915.50099999999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2177.2258064516132</v>
      </c>
      <c r="O163" s="86">
        <f t="shared" si="106"/>
        <v>197.92961876832848</v>
      </c>
      <c r="P163" s="54">
        <f t="shared" si="102"/>
        <v>0</v>
      </c>
      <c r="Q163" s="88">
        <f t="shared" si="103"/>
        <v>-6.6158357771260512</v>
      </c>
      <c r="R163" s="421">
        <f t="shared" si="107"/>
        <v>0.96765591397849482</v>
      </c>
      <c r="S163" s="611"/>
      <c r="T163" s="89">
        <v>0.31666666666666671</v>
      </c>
      <c r="U163" s="89">
        <v>0.38125000000000003</v>
      </c>
      <c r="V163" s="420">
        <v>23</v>
      </c>
      <c r="W163" s="90">
        <f t="shared" si="108"/>
        <v>92.999999999999986</v>
      </c>
      <c r="X163" s="96">
        <v>0.30555555555555552</v>
      </c>
      <c r="Y163" s="96">
        <v>0.31597222222222221</v>
      </c>
      <c r="Z163" s="54"/>
      <c r="AA163" s="54"/>
      <c r="AB163" s="588"/>
      <c r="AC163" s="588"/>
      <c r="AD163" s="420">
        <v>1</v>
      </c>
      <c r="AE163" s="420"/>
      <c r="AF163" s="54">
        <f t="shared" si="61"/>
        <v>-72.774193548386847</v>
      </c>
      <c r="AG163" s="421">
        <f t="shared" si="62"/>
        <v>0.96765591397849471</v>
      </c>
      <c r="AH163" s="611"/>
    </row>
    <row r="164" spans="1:36" ht="19.2" customHeight="1">
      <c r="A164" s="610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4553.3999999999996</v>
      </c>
      <c r="H164" s="84">
        <f t="shared" si="104"/>
        <v>165789.29399999997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2417.7345132743362</v>
      </c>
      <c r="O164" s="86">
        <f t="shared" si="106"/>
        <v>241.77345132743363</v>
      </c>
      <c r="P164" s="54">
        <f>M164-J164</f>
        <v>0</v>
      </c>
      <c r="Q164" s="88">
        <f>O164-L164</f>
        <v>-35.126548672566344</v>
      </c>
      <c r="R164" s="421">
        <f>O164/L164</f>
        <v>0.87314355842337898</v>
      </c>
      <c r="S164" s="611"/>
      <c r="T164" s="89">
        <v>0.42152777777777778</v>
      </c>
      <c r="U164" s="89">
        <v>0.5</v>
      </c>
      <c r="V164" s="420">
        <v>5</v>
      </c>
      <c r="W164" s="90">
        <f t="shared" si="108"/>
        <v>113</v>
      </c>
      <c r="X164" s="96"/>
      <c r="Y164" s="96"/>
      <c r="Z164" s="54"/>
      <c r="AA164" s="54"/>
      <c r="AB164" s="588"/>
      <c r="AC164" s="588"/>
      <c r="AD164" s="420"/>
      <c r="AE164" s="420">
        <v>1</v>
      </c>
      <c r="AF164" s="54">
        <f>N164-K164</f>
        <v>-351.26548672566378</v>
      </c>
      <c r="AG164" s="421">
        <f>N164/K164</f>
        <v>0.87314355842337887</v>
      </c>
      <c r="AH164" s="611"/>
    </row>
    <row r="165" spans="1:36" ht="19.2" customHeight="1">
      <c r="A165" s="610"/>
      <c r="B165" s="121" t="s">
        <v>131</v>
      </c>
      <c r="C165" s="81"/>
      <c r="D165" s="82" t="s">
        <v>95</v>
      </c>
      <c r="E165" s="83"/>
      <c r="F165" s="358">
        <v>35.83</v>
      </c>
      <c r="G165" s="57">
        <v>1446.3</v>
      </c>
      <c r="H165" s="84">
        <f t="shared" si="104"/>
        <v>51820.928999999996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2169.4499999999989</v>
      </c>
      <c r="O165" s="86">
        <f t="shared" si="106"/>
        <v>197.22272727272718</v>
      </c>
      <c r="P165" s="54">
        <f>M165-J165</f>
        <v>0</v>
      </c>
      <c r="Q165" s="88">
        <f>O165-L165</f>
        <v>-7.3227272727273487</v>
      </c>
      <c r="R165" s="421">
        <f>O165/L165</f>
        <v>0.96419999999999961</v>
      </c>
      <c r="S165" s="611"/>
      <c r="T165" s="89">
        <v>0.51597222222222228</v>
      </c>
      <c r="U165" s="89">
        <v>0.54375000000000007</v>
      </c>
      <c r="V165" s="420">
        <v>23</v>
      </c>
      <c r="W165" s="90">
        <f t="shared" si="108"/>
        <v>40.000000000000014</v>
      </c>
      <c r="X165" s="96">
        <v>0.50416666666666665</v>
      </c>
      <c r="Y165" s="96">
        <v>0.51527777777777783</v>
      </c>
      <c r="Z165" s="54"/>
      <c r="AA165" s="54"/>
      <c r="AB165" s="588"/>
      <c r="AC165" s="588"/>
      <c r="AD165" s="420"/>
      <c r="AE165" s="420"/>
      <c r="AF165" s="54">
        <f>N165-K165</f>
        <v>-80.550000000001091</v>
      </c>
      <c r="AG165" s="421">
        <f>N165/K165</f>
        <v>0.9641999999999995</v>
      </c>
      <c r="AH165" s="611"/>
    </row>
    <row r="166" spans="1:36" ht="19.2" customHeight="1">
      <c r="A166" s="610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3035.6000000000004</v>
      </c>
      <c r="H166" s="84">
        <f t="shared" si="104"/>
        <v>110526.196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2428.4799999999987</v>
      </c>
      <c r="O166" s="86">
        <f t="shared" si="106"/>
        <v>242.84799999999987</v>
      </c>
      <c r="P166" s="54">
        <f>M166-J166</f>
        <v>0</v>
      </c>
      <c r="Q166" s="88">
        <f>O166-L166</f>
        <v>-34.052000000000106</v>
      </c>
      <c r="R166" s="421">
        <f>O166/L166</f>
        <v>0.87702419646081575</v>
      </c>
      <c r="S166" s="611"/>
      <c r="T166" s="89">
        <v>0.5493055555555556</v>
      </c>
      <c r="U166" s="89">
        <v>0.60138888888888897</v>
      </c>
      <c r="V166" s="420">
        <v>8</v>
      </c>
      <c r="W166" s="90">
        <f t="shared" si="108"/>
        <v>75.000000000000057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-340.52000000000135</v>
      </c>
      <c r="AG166" s="421">
        <f>N166/K166</f>
        <v>0.87702419646081564</v>
      </c>
      <c r="AH166" s="611"/>
    </row>
    <row r="167" spans="1:36" ht="19.2" customHeight="1">
      <c r="A167" s="610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2" customHeight="1">
      <c r="A168" s="610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2" customHeight="1">
      <c r="A169" s="610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2" customHeight="1">
      <c r="A170" s="610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2" customHeight="1">
      <c r="A171" s="610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2" customHeight="1">
      <c r="A172" s="610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2" customHeight="1">
      <c r="A173" s="610"/>
      <c r="B173" s="121">
        <v>0</v>
      </c>
      <c r="C173" s="100" t="s">
        <v>420</v>
      </c>
      <c r="D173" s="617" t="s">
        <v>370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2256.7720425349694</v>
      </c>
      <c r="O173" s="104">
        <f t="shared" si="109"/>
        <v>202.36924745223371</v>
      </c>
      <c r="P173" s="54">
        <f>M173-J173</f>
        <v>0</v>
      </c>
      <c r="Q173" s="88">
        <f>O173-L173</f>
        <v>-15.804878421892198</v>
      </c>
      <c r="R173" s="105">
        <f>O173/L173</f>
        <v>0.92755841986959209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1</v>
      </c>
      <c r="AF173" s="54">
        <f t="shared" si="61"/>
        <v>-166.22795746503061</v>
      </c>
      <c r="AG173" s="421">
        <f t="shared" si="62"/>
        <v>0.93139580789722221</v>
      </c>
      <c r="AH173" s="611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422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424</v>
      </c>
    </row>
    <row r="186" spans="23:36">
      <c r="W186" s="33"/>
      <c r="AJ186" s="275" t="s">
        <v>426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13" priority="4" operator="greaterThan">
      <formula>0</formula>
    </cfRule>
  </conditionalFormatting>
  <conditionalFormatting sqref="Q5:Q173">
    <cfRule type="cellIs" dxfId="112" priority="9" operator="lessThan">
      <formula>0</formula>
    </cfRule>
  </conditionalFormatting>
  <conditionalFormatting sqref="R5:R173">
    <cfRule type="cellIs" dxfId="111" priority="5" operator="greaterThan">
      <formula>1</formula>
    </cfRule>
    <cfRule type="cellIs" dxfId="110" priority="6" operator="lessThan">
      <formula>0.8</formula>
    </cfRule>
  </conditionalFormatting>
  <conditionalFormatting sqref="S5:S11">
    <cfRule type="cellIs" dxfId="109" priority="3014" operator="lessThan">
      <formula>0.8</formula>
    </cfRule>
  </conditionalFormatting>
  <conditionalFormatting sqref="S21:S29 AH21:AH29">
    <cfRule type="cellIs" dxfId="108" priority="2944" operator="lessThan">
      <formula>0.8</formula>
    </cfRule>
  </conditionalFormatting>
  <conditionalFormatting sqref="S43:S72">
    <cfRule type="cellIs" dxfId="107" priority="2918" operator="lessThan">
      <formula>0.8</formula>
    </cfRule>
  </conditionalFormatting>
  <conditionalFormatting sqref="S82:S91 AH82:AH91">
    <cfRule type="cellIs" dxfId="106" priority="2938" operator="lessThan">
      <formula>0.8</formula>
    </cfRule>
  </conditionalFormatting>
  <conditionalFormatting sqref="S95:S104">
    <cfRule type="cellIs" dxfId="105" priority="2908" operator="lessThan">
      <formula>0.8</formula>
    </cfRule>
  </conditionalFormatting>
  <conditionalFormatting sqref="S108:S109">
    <cfRule type="cellIs" dxfId="104" priority="2917" operator="lessThan">
      <formula>0.8</formula>
    </cfRule>
  </conditionalFormatting>
  <conditionalFormatting sqref="S122:S135 AH135">
    <cfRule type="cellIs" dxfId="103" priority="3031" operator="lessThan">
      <formula>0.8</formula>
    </cfRule>
  </conditionalFormatting>
  <conditionalFormatting sqref="S137 AH137">
    <cfRule type="cellIs" dxfId="102" priority="2988" operator="lessThan">
      <formula>0.8</formula>
    </cfRule>
  </conditionalFormatting>
  <conditionalFormatting sqref="S139:S146 AH139:AH146">
    <cfRule type="cellIs" dxfId="101" priority="2930" operator="lessThan">
      <formula>0.8</formula>
    </cfRule>
  </conditionalFormatting>
  <conditionalFormatting sqref="S148:S150">
    <cfRule type="cellIs" dxfId="100" priority="2946" operator="lessThan">
      <formula>0.8</formula>
    </cfRule>
  </conditionalFormatting>
  <conditionalFormatting sqref="S161">
    <cfRule type="cellIs" dxfId="99" priority="3099" operator="lessThan">
      <formula>0.8</formula>
    </cfRule>
  </conditionalFormatting>
  <conditionalFormatting sqref="AF5:AF173">
    <cfRule type="cellIs" dxfId="98" priority="3" operator="lessThan">
      <formula>0</formula>
    </cfRule>
  </conditionalFormatting>
  <conditionalFormatting sqref="AG5:AG173">
    <cfRule type="cellIs" dxfId="97" priority="1" operator="greaterThan">
      <formula>1</formula>
    </cfRule>
    <cfRule type="cellIs" dxfId="96" priority="2" operator="lessThan">
      <formula>0.8</formula>
    </cfRule>
  </conditionalFormatting>
  <conditionalFormatting sqref="AH5:AH9 S17:S18 AH17:AH18 AH57 AH95">
    <cfRule type="cellIs" dxfId="95" priority="3105" operator="lessThan">
      <formula>0.8</formula>
    </cfRule>
  </conditionalFormatting>
  <conditionalFormatting sqref="AH31 S31:S32">
    <cfRule type="cellIs" dxfId="94" priority="3035" operator="lessThan">
      <formula>0.8</formula>
    </cfRule>
  </conditionalFormatting>
  <conditionalFormatting sqref="AH70:AH72">
    <cfRule type="cellIs" dxfId="93" priority="3008" operator="lessThan">
      <formula>0.8</formula>
    </cfRule>
  </conditionalFormatting>
  <conditionalFormatting sqref="AH97:AH98">
    <cfRule type="cellIs" dxfId="92" priority="2999" operator="lessThan">
      <formula>0.8</formula>
    </cfRule>
  </conditionalFormatting>
  <conditionalFormatting sqref="AH100:AH107">
    <cfRule type="cellIs" dxfId="91" priority="2961" operator="lessThan">
      <formula>0.8</formula>
    </cfRule>
  </conditionalFormatting>
  <conditionalFormatting sqref="AH109">
    <cfRule type="cellIs" dxfId="90" priority="3054" operator="lessThan">
      <formula>0.8</formula>
    </cfRule>
  </conditionalFormatting>
  <conditionalFormatting sqref="AH148">
    <cfRule type="cellIs" dxfId="89" priority="3047" operator="lessThan">
      <formula>0.8</formula>
    </cfRule>
  </conditionalFormatting>
  <conditionalFormatting sqref="AH150">
    <cfRule type="cellIs" dxfId="88" priority="2947" operator="lessThan">
      <formula>0.8</formula>
    </cfRule>
  </conditionalFormatting>
  <dataValidations count="1">
    <dataValidation type="list" allowBlank="1" showInputMessage="1" showErrorMessage="1" sqref="AB5:AC173" xr:uid="{00000000-0002-0000-08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W38"/>
  <sheetViews>
    <sheetView zoomScale="40" zoomScaleNormal="40" workbookViewId="0">
      <selection activeCell="Q35" sqref="Q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7" t="s">
        <v>0</v>
      </c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  <c r="N1" s="1"/>
      <c r="O1" s="1"/>
    </row>
    <row r="2" spans="2:17" ht="27.75" customHeight="1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9"/>
      <c r="N2" s="1"/>
      <c r="O2" s="1"/>
    </row>
    <row r="3" spans="2:17" ht="46.5" customHeight="1">
      <c r="B3" s="510" t="s">
        <v>1</v>
      </c>
      <c r="C3" s="511"/>
      <c r="D3" s="512" t="s">
        <v>621</v>
      </c>
      <c r="E3" s="513"/>
      <c r="F3" s="510" t="s">
        <v>2</v>
      </c>
      <c r="G3" s="511"/>
      <c r="H3" s="514">
        <v>269751.80000000005</v>
      </c>
      <c r="I3" s="515"/>
      <c r="J3" s="510" t="s">
        <v>3</v>
      </c>
      <c r="K3" s="511"/>
      <c r="L3" s="505">
        <v>8756176.6458184905</v>
      </c>
      <c r="M3" s="506"/>
      <c r="N3" s="372"/>
      <c r="O3" s="372"/>
      <c r="P3" s="372"/>
      <c r="Q3" s="372"/>
    </row>
    <row r="4" spans="2:17" ht="24" customHeight="1">
      <c r="B4" s="510" t="s">
        <v>135</v>
      </c>
      <c r="C4" s="511"/>
      <c r="D4" s="527" t="s">
        <v>135</v>
      </c>
      <c r="E4" s="528"/>
      <c r="F4" s="503" t="s">
        <v>136</v>
      </c>
      <c r="G4" s="504"/>
      <c r="H4" s="503" t="s">
        <v>137</v>
      </c>
      <c r="I4" s="504"/>
      <c r="J4" s="503" t="s">
        <v>138</v>
      </c>
      <c r="K4" s="504"/>
      <c r="L4" s="505" t="s">
        <v>139</v>
      </c>
      <c r="M4" s="506"/>
      <c r="N4" s="519" t="s">
        <v>4</v>
      </c>
      <c r="O4" s="520"/>
      <c r="P4" s="520" t="s">
        <v>5</v>
      </c>
      <c r="Q4" s="520"/>
    </row>
    <row r="5" spans="2:17" ht="24" customHeight="1">
      <c r="B5" s="521" t="s">
        <v>35</v>
      </c>
      <c r="C5" s="522"/>
      <c r="D5" s="527" t="s">
        <v>140</v>
      </c>
      <c r="E5" s="528"/>
      <c r="F5" s="527" t="s">
        <v>6</v>
      </c>
      <c r="G5" s="528"/>
      <c r="H5" s="529" t="s">
        <v>7</v>
      </c>
      <c r="I5" s="530"/>
      <c r="J5" s="531" t="s">
        <v>8</v>
      </c>
      <c r="K5" s="532"/>
      <c r="L5" s="533" t="s">
        <v>9</v>
      </c>
      <c r="M5" s="534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3"/>
      <c r="C6" s="524"/>
      <c r="D6" s="510" t="s">
        <v>10</v>
      </c>
      <c r="E6" s="511"/>
      <c r="F6" s="535">
        <f>AVERAGE(D13:O13,P13:Q13,D30:E30,G30:H30,J30:M30)</f>
        <v>382.76936150858512</v>
      </c>
      <c r="G6" s="536"/>
      <c r="H6" s="548">
        <f>AVERAGE(D13:P13,Q13)</f>
        <v>139.35185379920517</v>
      </c>
      <c r="I6" s="549"/>
      <c r="J6" s="548">
        <f>AVERAGE(D30:E30,G30:H30)</f>
        <v>736.25</v>
      </c>
      <c r="K6" s="549"/>
      <c r="L6" s="550">
        <f>AVERAGE(J30:M30)</f>
        <v>881.25</v>
      </c>
      <c r="M6" s="551"/>
      <c r="N6" s="552">
        <v>0</v>
      </c>
      <c r="O6" s="539">
        <v>0</v>
      </c>
      <c r="P6" s="516">
        <v>8</v>
      </c>
      <c r="Q6" s="539">
        <v>4</v>
      </c>
    </row>
    <row r="7" spans="2:17" s="5" customFormat="1" ht="39.6" customHeight="1">
      <c r="B7" s="523"/>
      <c r="C7" s="524"/>
      <c r="D7" s="540" t="s">
        <v>11</v>
      </c>
      <c r="E7" s="541"/>
      <c r="F7" s="542">
        <f>AVERAGE(D14:O14,P14:Q14,D31:E31,J31:M31,G31:H31)</f>
        <v>359.41813959758542</v>
      </c>
      <c r="G7" s="543"/>
      <c r="H7" s="544">
        <f>AVERAGE(D14:P14,Q14)</f>
        <v>126.50987467037574</v>
      </c>
      <c r="I7" s="545"/>
      <c r="J7" s="544">
        <f>AVERAGE(D31:E31,G31:H31)</f>
        <v>694.64245995178715</v>
      </c>
      <c r="K7" s="545"/>
      <c r="L7" s="546">
        <f>AVERAGE(J31:M31)</f>
        <v>839.37274648861762</v>
      </c>
      <c r="M7" s="547"/>
      <c r="N7" s="552"/>
      <c r="O7" s="539"/>
      <c r="P7" s="516"/>
      <c r="Q7" s="539"/>
    </row>
    <row r="8" spans="2:17" s="5" customFormat="1" ht="39.6" customHeight="1">
      <c r="B8" s="525"/>
      <c r="C8" s="526"/>
      <c r="D8" s="540" t="s">
        <v>12</v>
      </c>
      <c r="E8" s="541"/>
      <c r="F8" s="517">
        <f>AVERAGE(D15:O15,P15:Q15,D32:E32,G32:H32,J32:M32)</f>
        <v>0.90568297340138859</v>
      </c>
      <c r="G8" s="518"/>
      <c r="H8" s="517">
        <f>AVERAGE(D15:O15,P15:Q15)</f>
        <v>0.90204473495792192</v>
      </c>
      <c r="I8" s="518"/>
      <c r="J8" s="517">
        <f>AVERAGE(D32:E32,G32:H32)</f>
        <v>0.86759976000392158</v>
      </c>
      <c r="K8" s="518"/>
      <c r="L8" s="517">
        <f>AVERAGE(J32:M32)</f>
        <v>0.95650002135098933</v>
      </c>
      <c r="M8" s="518"/>
      <c r="N8" s="552"/>
      <c r="O8" s="539"/>
      <c r="P8" s="516"/>
      <c r="Q8" s="539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53" t="s">
        <v>145</v>
      </c>
      <c r="C10" s="554"/>
      <c r="D10" s="555" t="s">
        <v>146</v>
      </c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7"/>
    </row>
    <row r="11" spans="2:17" ht="17.25" customHeight="1">
      <c r="B11" s="558" t="s">
        <v>147</v>
      </c>
      <c r="C11" s="522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559"/>
      <c r="C12" s="526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560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287.20238095238091</v>
      </c>
      <c r="H13" s="19">
        <v>226.19047619047618</v>
      </c>
      <c r="I13" s="19">
        <v>86.273035530001451</v>
      </c>
      <c r="J13" s="19">
        <v>92.686887254901961</v>
      </c>
      <c r="K13" s="19">
        <v>80.567074003090511</v>
      </c>
      <c r="L13" s="19">
        <v>90.371994801819355</v>
      </c>
      <c r="M13" s="19">
        <v>84.82257727652464</v>
      </c>
      <c r="N13" s="19">
        <v>86.498180705030563</v>
      </c>
      <c r="O13" s="19">
        <v>156.98412698412699</v>
      </c>
      <c r="P13" s="19">
        <v>218.17412587412591</v>
      </c>
      <c r="Q13" s="21">
        <v>150</v>
      </c>
    </row>
    <row r="14" spans="2:17" ht="39.9" customHeight="1">
      <c r="B14" s="561"/>
      <c r="C14" s="14" t="s">
        <v>162</v>
      </c>
      <c r="D14" s="19">
        <v>130.09600685741006</v>
      </c>
      <c r="E14" s="19">
        <v>99.683980039949319</v>
      </c>
      <c r="F14" s="19">
        <v>112.37734569619138</v>
      </c>
      <c r="G14" s="19">
        <v>252.3669255584864</v>
      </c>
      <c r="H14" s="19">
        <v>219.26916940608371</v>
      </c>
      <c r="I14" s="19">
        <v>79.66470286371954</v>
      </c>
      <c r="J14" s="19">
        <v>84.311143989641849</v>
      </c>
      <c r="K14" s="19">
        <v>70.617923772678864</v>
      </c>
      <c r="L14" s="19">
        <v>79.281648289458289</v>
      </c>
      <c r="M14" s="19">
        <v>73.620562077895073</v>
      </c>
      <c r="N14" s="19">
        <v>76.909466439875743</v>
      </c>
      <c r="O14" s="19">
        <v>143.03901282365044</v>
      </c>
      <c r="P14" s="19">
        <v>206.09117671839147</v>
      </c>
      <c r="Q14" s="9">
        <v>143.80918085182788</v>
      </c>
    </row>
    <row r="15" spans="2:17" ht="39.9" customHeight="1">
      <c r="B15" s="562"/>
      <c r="C15" s="373" t="s">
        <v>163</v>
      </c>
      <c r="D15" s="10">
        <f t="shared" ref="D15:Q15" si="0">D14/D13</f>
        <v>0.91085064616778566</v>
      </c>
      <c r="E15" s="10">
        <f t="shared" si="0"/>
        <v>0.87558264133111663</v>
      </c>
      <c r="F15" s="10">
        <f t="shared" si="0"/>
        <v>0.835660817749171</v>
      </c>
      <c r="G15" s="10">
        <f t="shared" si="0"/>
        <v>0.87870763717773515</v>
      </c>
      <c r="H15" s="10">
        <f t="shared" si="0"/>
        <v>0.96940053842689644</v>
      </c>
      <c r="I15" s="10">
        <f t="shared" si="0"/>
        <v>0.92340210790445798</v>
      </c>
      <c r="J15" s="10">
        <f t="shared" si="0"/>
        <v>0.90963399987502391</v>
      </c>
      <c r="K15" s="10">
        <f t="shared" si="0"/>
        <v>0.87651096488833635</v>
      </c>
      <c r="L15" s="10">
        <f t="shared" si="0"/>
        <v>0.87728115843097676</v>
      </c>
      <c r="M15" s="10">
        <f t="shared" si="0"/>
        <v>0.86793592510033502</v>
      </c>
      <c r="N15" s="10">
        <f t="shared" si="0"/>
        <v>0.88914548043670982</v>
      </c>
      <c r="O15" s="10">
        <f t="shared" si="0"/>
        <v>0.91116863578260643</v>
      </c>
      <c r="P15" s="375">
        <f t="shared" si="0"/>
        <v>0.94461786379423551</v>
      </c>
      <c r="Q15" s="11">
        <f t="shared" si="0"/>
        <v>0.95872787234551915</v>
      </c>
    </row>
    <row r="16" spans="2:17" ht="22.8" customHeight="1">
      <c r="B16" s="563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564"/>
      <c r="C17" s="373" t="s">
        <v>36</v>
      </c>
      <c r="D17" s="12">
        <v>0.72986111111111107</v>
      </c>
      <c r="E17" s="12">
        <v>0.67430555555555538</v>
      </c>
      <c r="F17" s="12">
        <v>0.66319444444444442</v>
      </c>
      <c r="G17" s="12">
        <v>0.6909722222222221</v>
      </c>
      <c r="H17" s="12">
        <v>0.68402777777777768</v>
      </c>
      <c r="I17" s="12">
        <v>0.70624999999999993</v>
      </c>
      <c r="J17" s="12">
        <v>0.75902777777777763</v>
      </c>
      <c r="K17" s="12">
        <v>0.74861111111111112</v>
      </c>
      <c r="L17" s="12">
        <v>0.87638888888888855</v>
      </c>
      <c r="M17" s="12">
        <v>0.96874999999999967</v>
      </c>
      <c r="N17" s="12">
        <v>0.89097222222222194</v>
      </c>
      <c r="O17" s="22">
        <v>0.83888888888888891</v>
      </c>
      <c r="P17" s="12">
        <v>0.53819444444444442</v>
      </c>
      <c r="Q17" s="376">
        <v>0.60069444444444442</v>
      </c>
    </row>
    <row r="18" spans="2:23" ht="22.8" customHeight="1">
      <c r="B18" s="537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538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537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>
        <v>1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538"/>
      <c r="C21" s="377" t="s">
        <v>168</v>
      </c>
      <c r="D21" s="378" t="s">
        <v>15</v>
      </c>
      <c r="E21" s="378" t="s">
        <v>15</v>
      </c>
      <c r="F21" s="378">
        <v>1</v>
      </c>
      <c r="G21" s="378" t="s">
        <v>15</v>
      </c>
      <c r="H21" s="378" t="s">
        <v>15</v>
      </c>
      <c r="I21" s="378">
        <v>1</v>
      </c>
      <c r="J21" s="378">
        <v>1</v>
      </c>
      <c r="K21" s="378" t="s">
        <v>15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565" t="s">
        <v>169</v>
      </c>
      <c r="C22" s="511"/>
      <c r="D22" s="380">
        <v>18.428571428571427</v>
      </c>
      <c r="E22" s="380">
        <v>17.285714285714285</v>
      </c>
      <c r="F22" s="380">
        <v>15.142857142857142</v>
      </c>
      <c r="G22" s="380">
        <v>7.375</v>
      </c>
      <c r="H22" s="380">
        <v>6.666666666666667</v>
      </c>
      <c r="I22" s="380">
        <v>17</v>
      </c>
      <c r="J22" s="380">
        <v>18</v>
      </c>
      <c r="K22" s="380">
        <v>17.777777777777779</v>
      </c>
      <c r="L22" s="380">
        <v>16.888888888888889</v>
      </c>
      <c r="M22" s="380">
        <v>18</v>
      </c>
      <c r="N22" s="380">
        <v>17.333333333333332</v>
      </c>
      <c r="O22" s="380">
        <v>11.666666666666666</v>
      </c>
      <c r="P22" s="380">
        <v>11.333333333333334</v>
      </c>
      <c r="Q22" s="381">
        <v>11.5</v>
      </c>
    </row>
    <row r="23" spans="2:23" ht="22.8" customHeight="1">
      <c r="B23" s="565" t="s">
        <v>170</v>
      </c>
      <c r="C23" s="511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5" t="s">
        <v>171</v>
      </c>
      <c r="C24" s="51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6" t="s">
        <v>172</v>
      </c>
      <c r="C25" s="56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53"/>
      <c r="C27" s="578"/>
      <c r="D27" s="570" t="s">
        <v>173</v>
      </c>
      <c r="E27" s="571"/>
      <c r="F27" s="571"/>
      <c r="G27" s="571"/>
      <c r="H27" s="572"/>
      <c r="I27" s="573" t="s">
        <v>174</v>
      </c>
      <c r="J27" s="574"/>
      <c r="K27" s="574"/>
      <c r="L27" s="574"/>
      <c r="M27" s="575"/>
      <c r="N27" s="372"/>
      <c r="O27" s="372"/>
      <c r="P27" s="372"/>
      <c r="Q27" s="372"/>
    </row>
    <row r="28" spans="2:23" ht="17.25" customHeight="1">
      <c r="B28" s="558" t="s">
        <v>147</v>
      </c>
      <c r="C28" s="57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9"/>
      <c r="C29" s="577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560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561"/>
      <c r="C31" s="386" t="s">
        <v>162</v>
      </c>
      <c r="D31" s="388">
        <v>150.80000000000013</v>
      </c>
      <c r="E31" s="8">
        <v>786.10725827665249</v>
      </c>
      <c r="F31" s="8">
        <v>0</v>
      </c>
      <c r="G31" s="8">
        <v>854.76769005847837</v>
      </c>
      <c r="H31" s="389">
        <v>986.89489147201778</v>
      </c>
      <c r="I31" s="388">
        <v>0</v>
      </c>
      <c r="J31" s="8">
        <v>944.99999999999579</v>
      </c>
      <c r="K31" s="8">
        <v>640.99999999999932</v>
      </c>
      <c r="L31" s="8">
        <v>884.28109243833808</v>
      </c>
      <c r="M31" s="389">
        <v>887.20989351613741</v>
      </c>
      <c r="N31" s="372"/>
      <c r="O31" s="372"/>
      <c r="P31" s="372"/>
      <c r="Q31" s="372"/>
    </row>
    <row r="32" spans="2:23" ht="39.9" customHeight="1">
      <c r="B32" s="562"/>
      <c r="C32" s="407" t="s">
        <v>163</v>
      </c>
      <c r="D32" s="390">
        <f t="shared" ref="D32:M32" si="1">D31/D30</f>
        <v>0.47125000000000039</v>
      </c>
      <c r="E32" s="10">
        <f t="shared" si="1"/>
        <v>0.95285728275957882</v>
      </c>
      <c r="F32" s="10">
        <f t="shared" si="1"/>
        <v>0</v>
      </c>
      <c r="G32" s="10">
        <f t="shared" si="1"/>
        <v>0.94974187784275377</v>
      </c>
      <c r="H32" s="10">
        <f t="shared" si="1"/>
        <v>1.096549879413353</v>
      </c>
      <c r="I32" s="388">
        <f t="shared" si="1"/>
        <v>0</v>
      </c>
      <c r="J32" s="10">
        <f t="shared" si="1"/>
        <v>1.1454545454545404</v>
      </c>
      <c r="K32" s="10">
        <f t="shared" si="1"/>
        <v>0.71222222222222142</v>
      </c>
      <c r="L32" s="10">
        <f t="shared" si="1"/>
        <v>0.98253454715370903</v>
      </c>
      <c r="M32" s="11">
        <f t="shared" si="1"/>
        <v>0.98578877057348602</v>
      </c>
      <c r="N32" s="372"/>
      <c r="O32" s="372"/>
      <c r="P32" s="372"/>
      <c r="Q32" s="372"/>
    </row>
    <row r="33" spans="2:17" ht="25.8" customHeight="1">
      <c r="B33" s="563" t="s">
        <v>164</v>
      </c>
      <c r="C33" s="407" t="s">
        <v>165</v>
      </c>
      <c r="D33" s="391">
        <v>0.36805555555555558</v>
      </c>
      <c r="E33" s="12">
        <v>0.18055555555555555</v>
      </c>
      <c r="F33" s="12">
        <v>0</v>
      </c>
      <c r="G33" s="12">
        <v>2889.6000000000008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564"/>
      <c r="C34" s="407" t="s">
        <v>36</v>
      </c>
      <c r="D34" s="391">
        <v>0.3888888888888889</v>
      </c>
      <c r="E34" s="12">
        <v>0.36388888888888887</v>
      </c>
      <c r="F34" s="12">
        <v>0</v>
      </c>
      <c r="G34" s="12">
        <v>1064.166666666667</v>
      </c>
      <c r="H34" s="376">
        <v>0.52708333333333335</v>
      </c>
      <c r="I34" s="23">
        <v>0</v>
      </c>
      <c r="J34" s="12">
        <v>0.73611111111111116</v>
      </c>
      <c r="K34" s="12">
        <v>0.78472222222222221</v>
      </c>
      <c r="L34" s="12">
        <v>46178.045138888891</v>
      </c>
      <c r="M34" s="13">
        <v>46178.03125</v>
      </c>
      <c r="N34" s="372"/>
      <c r="O34" s="372"/>
      <c r="P34" s="372"/>
      <c r="Q34" s="372"/>
    </row>
    <row r="35" spans="2:17" ht="25.8" customHeight="1">
      <c r="B35" s="565" t="s">
        <v>169</v>
      </c>
      <c r="C35" s="5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565" t="s">
        <v>170</v>
      </c>
      <c r="C36" s="5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565" t="s">
        <v>171</v>
      </c>
      <c r="C37" s="5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566" t="s">
        <v>172</v>
      </c>
      <c r="C38" s="569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9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7" priority="1" operator="lessThan">
      <formula>0.8</formula>
    </cfRule>
  </conditionalFormatting>
  <conditionalFormatting sqref="D15:Q15">
    <cfRule type="cellIs" dxfId="86" priority="4" operator="lessThan">
      <formula>0.8</formula>
    </cfRule>
  </conditionalFormatting>
  <conditionalFormatting sqref="J32:M32">
    <cfRule type="cellIs" dxfId="8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79998168889431442"/>
    <pageSetUpPr fitToPage="1"/>
  </sheetPr>
  <dimension ref="A1:R126"/>
  <sheetViews>
    <sheetView zoomScale="85" zoomScaleNormal="85" workbookViewId="0">
      <selection activeCell="G33" sqref="G3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511</v>
      </c>
      <c r="B1" s="277"/>
      <c r="C1" s="278"/>
      <c r="D1" s="279" t="s">
        <v>512</v>
      </c>
      <c r="E1" s="280">
        <f>SUM(G5:G124)</f>
        <v>89328</v>
      </c>
      <c r="F1" s="281" t="s">
        <v>3</v>
      </c>
      <c r="G1" s="282">
        <f>SUM(H5:H124)</f>
        <v>1708110.4256502918</v>
      </c>
      <c r="H1" s="283" t="s">
        <v>513</v>
      </c>
      <c r="I1" s="284">
        <f>+J16+J64+J24+J38+J51+J81+J100+J91+J57+J124+J111</f>
        <v>44.995238095238093</v>
      </c>
      <c r="J1" s="487" t="s">
        <v>514</v>
      </c>
      <c r="K1" s="488"/>
      <c r="L1" s="489"/>
      <c r="M1" s="487" t="s">
        <v>515</v>
      </c>
      <c r="N1" s="488"/>
      <c r="O1" s="488"/>
      <c r="P1" s="488"/>
      <c r="Q1" s="488"/>
      <c r="R1" s="489"/>
    </row>
    <row r="2" spans="1:18" ht="26.25" customHeight="1" thickBot="1">
      <c r="A2" s="493" t="s">
        <v>516</v>
      </c>
      <c r="B2" s="494"/>
      <c r="C2" s="286"/>
      <c r="D2" s="414" t="s">
        <v>517</v>
      </c>
      <c r="E2" s="287">
        <f>AVERAGE(L16,L24,L38,L51,L100,L111,L91)</f>
        <v>591.83292192780232</v>
      </c>
      <c r="F2" s="288" t="s">
        <v>40</v>
      </c>
      <c r="G2" s="289">
        <f>G1/E1</f>
        <v>19.121780691947563</v>
      </c>
      <c r="H2" s="290" t="s">
        <v>518</v>
      </c>
      <c r="I2" s="291">
        <f>COUNT(I5:I124)</f>
        <v>0</v>
      </c>
      <c r="J2" s="490"/>
      <c r="K2" s="491"/>
      <c r="L2" s="492"/>
      <c r="M2" s="490"/>
      <c r="N2" s="491"/>
      <c r="O2" s="491"/>
      <c r="P2" s="491"/>
      <c r="Q2" s="491"/>
      <c r="R2" s="492"/>
    </row>
    <row r="3" spans="1:18" ht="23.25" customHeight="1">
      <c r="A3" s="495" t="s">
        <v>519</v>
      </c>
      <c r="B3" s="497" t="s">
        <v>520</v>
      </c>
      <c r="C3" s="416"/>
      <c r="D3" s="498" t="s">
        <v>521</v>
      </c>
      <c r="E3" s="498"/>
      <c r="F3" s="499" t="s">
        <v>43</v>
      </c>
      <c r="G3" s="500" t="s">
        <v>522</v>
      </c>
      <c r="H3" s="498" t="s">
        <v>523</v>
      </c>
      <c r="I3" s="501" t="s">
        <v>524</v>
      </c>
      <c r="J3" s="468" t="s">
        <v>525</v>
      </c>
      <c r="K3" s="480" t="s">
        <v>526</v>
      </c>
      <c r="L3" s="482" t="s">
        <v>517</v>
      </c>
      <c r="M3" s="484" t="s">
        <v>48</v>
      </c>
      <c r="N3" s="484"/>
      <c r="O3" s="468" t="s">
        <v>106</v>
      </c>
      <c r="P3" s="485" t="s">
        <v>527</v>
      </c>
      <c r="Q3" s="468" t="s">
        <v>528</v>
      </c>
      <c r="R3" s="468"/>
    </row>
    <row r="4" spans="1:18" ht="15.75" customHeight="1">
      <c r="A4" s="496"/>
      <c r="B4" s="497"/>
      <c r="C4" s="416"/>
      <c r="D4" s="498"/>
      <c r="E4" s="498"/>
      <c r="F4" s="499"/>
      <c r="G4" s="500"/>
      <c r="H4" s="498"/>
      <c r="I4" s="502"/>
      <c r="J4" s="479"/>
      <c r="K4" s="481"/>
      <c r="L4" s="483"/>
      <c r="M4" s="419" t="s">
        <v>50</v>
      </c>
      <c r="N4" s="419" t="s">
        <v>51</v>
      </c>
      <c r="O4" s="479"/>
      <c r="P4" s="486"/>
      <c r="Q4" s="292" t="s">
        <v>529</v>
      </c>
      <c r="R4" s="292" t="s">
        <v>530</v>
      </c>
    </row>
    <row r="5" spans="1:18">
      <c r="A5" s="469" t="s">
        <v>531</v>
      </c>
      <c r="B5" s="293" t="s">
        <v>131</v>
      </c>
      <c r="C5" s="293"/>
      <c r="D5" s="294" t="s">
        <v>532</v>
      </c>
      <c r="E5" s="294"/>
      <c r="F5" s="295">
        <v>29.965493443754308</v>
      </c>
      <c r="G5" s="416">
        <v>1848</v>
      </c>
      <c r="H5" s="296">
        <f>F5*G5</f>
        <v>55376.231884057961</v>
      </c>
      <c r="I5" s="417"/>
      <c r="J5" s="297">
        <v>13</v>
      </c>
      <c r="K5" s="298">
        <f t="shared" ref="K5:K10" si="0">G5/P5*60</f>
        <v>1232</v>
      </c>
      <c r="L5" s="299">
        <f t="shared" ref="L5:L10" si="1">K5/J5</f>
        <v>94.769230769230774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469"/>
      <c r="B6" s="293">
        <v>0</v>
      </c>
      <c r="C6" s="293"/>
      <c r="D6" s="294" t="s">
        <v>192</v>
      </c>
      <c r="E6" s="294"/>
      <c r="F6" s="295" t="s">
        <v>133</v>
      </c>
      <c r="G6" s="416">
        <v>2366</v>
      </c>
      <c r="H6" s="296">
        <f t="shared" ref="H6:H15" si="3">F6*G6</f>
        <v>0</v>
      </c>
      <c r="I6" s="417"/>
      <c r="J6" s="297">
        <v>8</v>
      </c>
      <c r="K6" s="298">
        <f t="shared" si="0"/>
        <v>1577.3333333333342</v>
      </c>
      <c r="L6" s="299">
        <f t="shared" si="1"/>
        <v>197.16666666666677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469"/>
      <c r="B7" s="293">
        <v>0</v>
      </c>
      <c r="C7" s="293"/>
      <c r="D7" s="294" t="s">
        <v>193</v>
      </c>
      <c r="E7" s="294"/>
      <c r="F7" s="295" t="s">
        <v>133</v>
      </c>
      <c r="G7" s="416">
        <v>2228</v>
      </c>
      <c r="H7" s="296">
        <f t="shared" si="3"/>
        <v>0</v>
      </c>
      <c r="I7" s="417"/>
      <c r="J7" s="297">
        <v>8</v>
      </c>
      <c r="K7" s="298">
        <f t="shared" si="0"/>
        <v>1572.705882352941</v>
      </c>
      <c r="L7" s="299">
        <f t="shared" si="1"/>
        <v>196.58823529411762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9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1804</v>
      </c>
      <c r="H8" s="296">
        <f t="shared" si="3"/>
        <v>65755.8</v>
      </c>
      <c r="I8" s="417"/>
      <c r="J8" s="297">
        <v>12</v>
      </c>
      <c r="K8" s="298">
        <f t="shared" si="0"/>
        <v>1443.2000000000005</v>
      </c>
      <c r="L8" s="299">
        <f t="shared" si="1"/>
        <v>120.26666666666671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469"/>
      <c r="B9" s="293" t="s">
        <v>134</v>
      </c>
      <c r="C9" s="293"/>
      <c r="D9" s="294" t="s">
        <v>195</v>
      </c>
      <c r="E9" s="294"/>
      <c r="F9" s="295">
        <v>29.85</v>
      </c>
      <c r="G9" s="302">
        <v>2366</v>
      </c>
      <c r="H9" s="296">
        <f t="shared" si="3"/>
        <v>70625.100000000006</v>
      </c>
      <c r="I9" s="417"/>
      <c r="J9" s="297">
        <v>14</v>
      </c>
      <c r="K9" s="298">
        <f t="shared" si="0"/>
        <v>1774.4999999999975</v>
      </c>
      <c r="L9" s="299">
        <f t="shared" si="1"/>
        <v>126.74999999999982</v>
      </c>
      <c r="M9" s="300">
        <v>0.48958333333333331</v>
      </c>
      <c r="N9" s="300">
        <v>0.54513888888888895</v>
      </c>
      <c r="O9" s="292">
        <v>5</v>
      </c>
      <c r="P9" s="411">
        <f t="shared" si="2"/>
        <v>80.000000000000114</v>
      </c>
      <c r="Q9" s="301"/>
      <c r="R9" s="301"/>
    </row>
    <row r="10" spans="1:18">
      <c r="A10" s="469"/>
      <c r="B10" s="293" t="s">
        <v>134</v>
      </c>
      <c r="C10" s="293"/>
      <c r="D10" s="294" t="s">
        <v>196</v>
      </c>
      <c r="E10" s="294"/>
      <c r="F10" s="295">
        <v>29.52</v>
      </c>
      <c r="G10" s="302">
        <v>2228</v>
      </c>
      <c r="H10" s="296">
        <f t="shared" si="3"/>
        <v>65770.559999999998</v>
      </c>
      <c r="I10" s="417"/>
      <c r="J10" s="297">
        <v>14</v>
      </c>
      <c r="K10" s="298">
        <f t="shared" si="0"/>
        <v>1782.3999999999987</v>
      </c>
      <c r="L10" s="299">
        <f t="shared" si="1"/>
        <v>127.31428571428562</v>
      </c>
      <c r="M10" s="300">
        <v>0.54861111111111105</v>
      </c>
      <c r="N10" s="300">
        <v>0.60069444444444442</v>
      </c>
      <c r="O10" s="292">
        <v>5</v>
      </c>
      <c r="P10" s="411">
        <f t="shared" si="2"/>
        <v>75.000000000000057</v>
      </c>
      <c r="Q10" s="301"/>
      <c r="R10" s="301"/>
    </row>
    <row r="11" spans="1:18">
      <c r="A11" s="469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70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70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70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70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71"/>
      <c r="B16" s="293">
        <v>0</v>
      </c>
      <c r="C16" s="293" t="s">
        <v>533</v>
      </c>
      <c r="D16" s="455" t="s">
        <v>534</v>
      </c>
      <c r="E16" s="455"/>
      <c r="F16" s="304"/>
      <c r="G16" s="305"/>
      <c r="H16" s="306"/>
      <c r="I16" s="307"/>
      <c r="J16" s="308">
        <f>AVERAGE(J5:J15)</f>
        <v>11.5</v>
      </c>
      <c r="K16" s="308">
        <f>AVERAGE(K5:K15)</f>
        <v>1563.6898692810453</v>
      </c>
      <c r="L16" s="309">
        <f>AVERAGE(L5:L15)</f>
        <v>143.80918085182788</v>
      </c>
      <c r="M16" s="300"/>
      <c r="N16" s="300"/>
      <c r="O16" s="298"/>
      <c r="P16" s="298"/>
      <c r="Q16" s="299"/>
      <c r="R16" s="299"/>
    </row>
    <row r="17" spans="1:18" ht="15.75" customHeight="1">
      <c r="A17" s="472" t="s">
        <v>535</v>
      </c>
      <c r="B17" s="293" t="s">
        <v>134</v>
      </c>
      <c r="C17" s="416"/>
      <c r="D17" s="475" t="s">
        <v>180</v>
      </c>
      <c r="E17" s="476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472"/>
      <c r="B18" s="293">
        <v>0</v>
      </c>
      <c r="C18" s="416"/>
      <c r="D18" s="477"/>
      <c r="E18" s="478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2"/>
      <c r="B19" s="293">
        <v>0</v>
      </c>
      <c r="C19" s="416"/>
      <c r="D19" s="477"/>
      <c r="E19" s="478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3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3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3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3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474"/>
      <c r="B24" s="293">
        <v>0</v>
      </c>
      <c r="C24" s="6" t="s">
        <v>536</v>
      </c>
      <c r="D24" s="455" t="s">
        <v>534</v>
      </c>
      <c r="E24" s="455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459" t="s">
        <v>537</v>
      </c>
      <c r="B25" s="293" t="s">
        <v>131</v>
      </c>
      <c r="C25" s="314"/>
      <c r="D25" s="316" t="s">
        <v>538</v>
      </c>
      <c r="E25" s="315"/>
      <c r="F25" s="295">
        <v>15.03</v>
      </c>
      <c r="G25" s="416">
        <v>1177</v>
      </c>
      <c r="H25" s="296">
        <f t="shared" ref="H25:H37" si="6">F25*G25</f>
        <v>17690.309999999998</v>
      </c>
      <c r="I25" s="417"/>
      <c r="J25" s="297">
        <v>4</v>
      </c>
      <c r="K25" s="298">
        <f t="shared" ref="K25:K28" si="7">G25/P25*60</f>
        <v>2716.1538461538476</v>
      </c>
      <c r="L25" s="299">
        <f t="shared" ref="L25:L28" si="8">K25/J25</f>
        <v>679.03846153846189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459"/>
      <c r="B26" s="293" t="s">
        <v>131</v>
      </c>
      <c r="C26" s="314"/>
      <c r="D26" s="312" t="s">
        <v>107</v>
      </c>
      <c r="E26" s="317"/>
      <c r="F26" s="295">
        <v>18.18</v>
      </c>
      <c r="G26" s="416">
        <v>3192</v>
      </c>
      <c r="H26" s="296">
        <f t="shared" si="6"/>
        <v>58030.559999999998</v>
      </c>
      <c r="I26" s="417"/>
      <c r="J26" s="297">
        <v>4</v>
      </c>
      <c r="K26" s="298">
        <f t="shared" si="7"/>
        <v>2151.9101123595497</v>
      </c>
      <c r="L26" s="299">
        <f t="shared" si="8"/>
        <v>537.97752808988741</v>
      </c>
      <c r="M26" s="300">
        <v>0.1986111111111111</v>
      </c>
      <c r="N26" s="300">
        <v>0.26041666666666669</v>
      </c>
      <c r="O26" s="292">
        <v>20</v>
      </c>
      <c r="P26" s="411">
        <f t="shared" si="9"/>
        <v>89.000000000000043</v>
      </c>
      <c r="Q26" s="301"/>
      <c r="R26" s="301"/>
    </row>
    <row r="27" spans="1:18">
      <c r="A27" s="459"/>
      <c r="B27" s="293" t="s">
        <v>131</v>
      </c>
      <c r="C27" s="314"/>
      <c r="D27" s="316" t="s">
        <v>109</v>
      </c>
      <c r="E27" s="317"/>
      <c r="F27" s="295">
        <v>18.53</v>
      </c>
      <c r="G27" s="416">
        <v>1867</v>
      </c>
      <c r="H27" s="296">
        <f t="shared" si="6"/>
        <v>34595.51</v>
      </c>
      <c r="I27" s="417"/>
      <c r="J27" s="297">
        <v>3</v>
      </c>
      <c r="K27" s="298">
        <f t="shared" si="7"/>
        <v>2800.4999999999991</v>
      </c>
      <c r="L27" s="299">
        <f t="shared" si="8"/>
        <v>933.49999999999966</v>
      </c>
      <c r="M27" s="300">
        <v>0.27430555555555552</v>
      </c>
      <c r="N27" s="300">
        <v>0.30208333333333331</v>
      </c>
      <c r="O27" s="292">
        <v>20</v>
      </c>
      <c r="P27" s="411">
        <f t="shared" si="9"/>
        <v>40.000000000000014</v>
      </c>
      <c r="Q27" s="301"/>
      <c r="R27" s="301"/>
    </row>
    <row r="28" spans="1:18">
      <c r="A28" s="459"/>
      <c r="B28" s="293" t="s">
        <v>131</v>
      </c>
      <c r="C28" s="416"/>
      <c r="D28" s="312" t="s">
        <v>539</v>
      </c>
      <c r="E28" s="317"/>
      <c r="F28" s="295">
        <v>24.93</v>
      </c>
      <c r="G28" s="416">
        <v>3429</v>
      </c>
      <c r="H28" s="296">
        <f t="shared" si="6"/>
        <v>85484.97</v>
      </c>
      <c r="I28" s="417"/>
      <c r="J28" s="297">
        <v>3</v>
      </c>
      <c r="K28" s="298">
        <f t="shared" si="7"/>
        <v>2981.739130434783</v>
      </c>
      <c r="L28" s="299">
        <f t="shared" si="8"/>
        <v>993.91304347826099</v>
      </c>
      <c r="M28" s="300">
        <v>0.31597222222222221</v>
      </c>
      <c r="N28" s="300">
        <v>0.36388888888888887</v>
      </c>
      <c r="O28" s="292">
        <v>20</v>
      </c>
      <c r="P28" s="411">
        <f t="shared" si="9"/>
        <v>69</v>
      </c>
      <c r="Q28" s="301"/>
      <c r="R28" s="301"/>
    </row>
    <row r="29" spans="1:18">
      <c r="A29" s="459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59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59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59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59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59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59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59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59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460"/>
      <c r="B38" s="293">
        <v>0</v>
      </c>
      <c r="C38" s="6" t="s">
        <v>27</v>
      </c>
      <c r="D38" s="450" t="s">
        <v>108</v>
      </c>
      <c r="E38" s="450"/>
      <c r="F38" s="304"/>
      <c r="G38" s="320"/>
      <c r="H38" s="306"/>
      <c r="I38" s="307"/>
      <c r="J38" s="308">
        <f>AVERAGE(J25:J37)</f>
        <v>3.5</v>
      </c>
      <c r="K38" s="308">
        <f>AVERAGE(K25:K37)</f>
        <v>2662.5757722370449</v>
      </c>
      <c r="L38" s="309">
        <f>AVERAGE(L25:L37)</f>
        <v>786.10725827665249</v>
      </c>
      <c r="M38" s="300"/>
      <c r="N38" s="300"/>
      <c r="O38" s="298"/>
      <c r="P38" s="298"/>
      <c r="Q38" s="299"/>
      <c r="R38" s="299"/>
    </row>
    <row r="39" spans="1:18" ht="16.2" customHeight="1">
      <c r="A39" s="461" t="s">
        <v>540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62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62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62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62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62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62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62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62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63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63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63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64"/>
      <c r="B51" s="293">
        <v>0</v>
      </c>
      <c r="C51" s="6" t="s">
        <v>28</v>
      </c>
      <c r="D51" s="455" t="s">
        <v>534</v>
      </c>
      <c r="E51" s="455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5" t="s">
        <v>541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981</v>
      </c>
      <c r="H52" s="296">
        <f>F52*G52</f>
        <v>17834.579999999998</v>
      </c>
      <c r="I52" s="417"/>
      <c r="J52" s="297">
        <v>3</v>
      </c>
      <c r="K52" s="298">
        <f>G52/P52*60</f>
        <v>3097.89473684209</v>
      </c>
      <c r="L52" s="299">
        <f>K52/J52</f>
        <v>1032.6315789473633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466"/>
      <c r="B53" s="293" t="s">
        <v>131</v>
      </c>
      <c r="C53" s="416"/>
      <c r="D53" s="315" t="s">
        <v>110</v>
      </c>
      <c r="E53" s="331"/>
      <c r="F53" s="295">
        <v>25.03</v>
      </c>
      <c r="G53" s="302">
        <v>714</v>
      </c>
      <c r="H53" s="296">
        <f t="shared" ref="H53:H116" si="11">F53*G53</f>
        <v>17871.420000000002</v>
      </c>
      <c r="I53" s="417"/>
      <c r="J53" s="297">
        <v>4</v>
      </c>
      <c r="K53" s="298">
        <f t="shared" ref="K53:K57" si="12">G53/P53*60</f>
        <v>3059.9999999999936</v>
      </c>
      <c r="L53" s="299">
        <f t="shared" ref="L53:L57" si="13">K53/J53</f>
        <v>764.99999999999841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466"/>
      <c r="B54" s="293" t="s">
        <v>131</v>
      </c>
      <c r="C54" s="416"/>
      <c r="D54" s="315" t="s">
        <v>111</v>
      </c>
      <c r="E54" s="413"/>
      <c r="F54" s="295">
        <v>24.82</v>
      </c>
      <c r="G54" s="302">
        <v>973</v>
      </c>
      <c r="H54" s="296">
        <f t="shared" si="11"/>
        <v>24149.86</v>
      </c>
      <c r="I54" s="417"/>
      <c r="J54" s="297">
        <v>4</v>
      </c>
      <c r="K54" s="298">
        <f t="shared" si="12"/>
        <v>3072.6315789473661</v>
      </c>
      <c r="L54" s="299">
        <f t="shared" si="13"/>
        <v>768.15789473684151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466"/>
      <c r="B55" s="293" t="s">
        <v>131</v>
      </c>
      <c r="C55" s="416"/>
      <c r="D55" s="315" t="s">
        <v>112</v>
      </c>
      <c r="E55" s="317"/>
      <c r="F55" s="295">
        <v>30</v>
      </c>
      <c r="G55" s="302">
        <v>1449</v>
      </c>
      <c r="H55" s="296">
        <f t="shared" si="11"/>
        <v>43470</v>
      </c>
      <c r="I55" s="417"/>
      <c r="J55" s="297">
        <v>4</v>
      </c>
      <c r="K55" s="298">
        <f t="shared" si="12"/>
        <v>3105.0000000000027</v>
      </c>
      <c r="L55" s="299">
        <f t="shared" si="13"/>
        <v>776.25000000000068</v>
      </c>
      <c r="M55" s="300">
        <v>0.3833333333333333</v>
      </c>
      <c r="N55" s="300">
        <v>0.40277777777777773</v>
      </c>
      <c r="O55" s="298">
        <v>20</v>
      </c>
      <c r="P55" s="411">
        <f t="shared" si="14"/>
        <v>27.999999999999979</v>
      </c>
      <c r="Q55" s="301">
        <v>0.40277777777777773</v>
      </c>
      <c r="R55" s="301">
        <v>0.44444444444444442</v>
      </c>
    </row>
    <row r="56" spans="1:18" ht="15.6" customHeight="1">
      <c r="A56" s="466"/>
      <c r="B56" s="293" t="s">
        <v>131</v>
      </c>
      <c r="C56" s="416"/>
      <c r="D56" s="316" t="s">
        <v>542</v>
      </c>
      <c r="E56" s="317"/>
      <c r="F56" s="295">
        <v>23.72</v>
      </c>
      <c r="G56" s="302">
        <v>1204</v>
      </c>
      <c r="H56" s="296">
        <f t="shared" si="11"/>
        <v>28558.879999999997</v>
      </c>
      <c r="I56" s="417"/>
      <c r="J56" s="297">
        <v>4</v>
      </c>
      <c r="K56" s="298">
        <f t="shared" si="12"/>
        <v>2889.6000000000008</v>
      </c>
      <c r="L56" s="299">
        <f t="shared" si="13"/>
        <v>722.4000000000002</v>
      </c>
      <c r="M56" s="300">
        <v>0.46180555555555558</v>
      </c>
      <c r="N56" s="300">
        <v>0.47916666666666669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466"/>
      <c r="B57" s="293" t="s">
        <v>131</v>
      </c>
      <c r="C57" s="6" t="s">
        <v>31</v>
      </c>
      <c r="D57" s="315" t="s">
        <v>543</v>
      </c>
      <c r="E57" s="317"/>
      <c r="F57" s="295">
        <v>17.07</v>
      </c>
      <c r="G57" s="302">
        <v>2554</v>
      </c>
      <c r="H57" s="296">
        <f t="shared" si="11"/>
        <v>43596.78</v>
      </c>
      <c r="I57" s="417"/>
      <c r="J57" s="297">
        <v>3</v>
      </c>
      <c r="K57" s="298">
        <f t="shared" si="12"/>
        <v>3192.5000000000009</v>
      </c>
      <c r="L57" s="299">
        <f t="shared" si="13"/>
        <v>1064.166666666667</v>
      </c>
      <c r="M57" s="300">
        <v>0.49305555555555558</v>
      </c>
      <c r="N57" s="300">
        <v>0.52638888888888891</v>
      </c>
      <c r="O57" s="298">
        <v>20</v>
      </c>
      <c r="P57" s="411">
        <f t="shared" si="14"/>
        <v>47.999999999999986</v>
      </c>
      <c r="Q57" s="301"/>
      <c r="R57" s="301"/>
    </row>
    <row r="58" spans="1:18" ht="15.6" customHeight="1">
      <c r="A58" s="46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7"/>
      <c r="B64" s="293">
        <v>0</v>
      </c>
      <c r="C64" s="6" t="s">
        <v>544</v>
      </c>
      <c r="D64" s="455" t="s">
        <v>534</v>
      </c>
      <c r="E64" s="455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3069.6043859649089</v>
      </c>
      <c r="L64" s="309">
        <f>AVERAGE(L52:L63)</f>
        <v>854.76769005847837</v>
      </c>
      <c r="M64" s="300"/>
      <c r="N64" s="300"/>
      <c r="O64" s="292"/>
      <c r="P64" s="292"/>
      <c r="Q64" s="292"/>
      <c r="R64" s="292"/>
    </row>
    <row r="65" spans="1:18" ht="15.6" customHeight="1">
      <c r="A65" s="452" t="s">
        <v>545</v>
      </c>
      <c r="B65" s="293" t="s">
        <v>131</v>
      </c>
      <c r="C65" s="416"/>
      <c r="D65" s="316" t="s">
        <v>546</v>
      </c>
      <c r="E65" s="330"/>
      <c r="F65" s="295">
        <v>22.281818181818181</v>
      </c>
      <c r="G65" s="416">
        <v>673</v>
      </c>
      <c r="H65" s="296">
        <f>F65*G65</f>
        <v>14995.663636363635</v>
      </c>
      <c r="I65" s="417"/>
      <c r="J65" s="297">
        <v>4</v>
      </c>
      <c r="K65" s="298">
        <f t="shared" ref="K65:K72" si="15">G65/P65*60</f>
        <v>3106.1538461538476</v>
      </c>
      <c r="L65" s="299">
        <f t="shared" ref="L65:L72" si="16">K65/J65</f>
        <v>776.53846153846189</v>
      </c>
      <c r="M65" s="300">
        <v>0.18055555555555555</v>
      </c>
      <c r="N65" s="300">
        <v>0.18958333333333333</v>
      </c>
      <c r="O65" s="298">
        <v>20</v>
      </c>
      <c r="P65" s="411">
        <f>(N65-M65)*24*60</f>
        <v>12.999999999999993</v>
      </c>
      <c r="Q65" s="301"/>
      <c r="R65" s="301"/>
    </row>
    <row r="66" spans="1:18" ht="15.6" customHeight="1">
      <c r="A66" s="453"/>
      <c r="B66" s="293" t="s">
        <v>131</v>
      </c>
      <c r="C66" s="416"/>
      <c r="D66" s="316" t="s">
        <v>115</v>
      </c>
      <c r="E66" s="331"/>
      <c r="F66" s="295">
        <v>18.18</v>
      </c>
      <c r="G66" s="302">
        <v>1590</v>
      </c>
      <c r="H66" s="296">
        <f t="shared" ref="H66:H74" si="17">F66*G66</f>
        <v>28906.2</v>
      </c>
      <c r="I66" s="417"/>
      <c r="J66" s="297">
        <v>3</v>
      </c>
      <c r="K66" s="298">
        <f t="shared" si="15"/>
        <v>3179.9999999999945</v>
      </c>
      <c r="L66" s="299">
        <f t="shared" si="16"/>
        <v>1059.9999999999982</v>
      </c>
      <c r="M66" s="300">
        <v>0.20347222222222219</v>
      </c>
      <c r="N66" s="300">
        <v>0.22430555555555556</v>
      </c>
      <c r="O66" s="298">
        <v>20</v>
      </c>
      <c r="P66" s="411">
        <f t="shared" ref="P66:P72" si="18">(N66-M66)*24*60</f>
        <v>30.000000000000053</v>
      </c>
      <c r="Q66" s="301"/>
      <c r="R66" s="301"/>
    </row>
    <row r="67" spans="1:18" ht="15.6" customHeight="1">
      <c r="A67" s="453"/>
      <c r="B67" s="293" t="s">
        <v>131</v>
      </c>
      <c r="C67" s="416"/>
      <c r="D67" s="332" t="s">
        <v>547</v>
      </c>
      <c r="E67" s="317"/>
      <c r="F67" s="295">
        <v>17.890909090909091</v>
      </c>
      <c r="G67" s="302">
        <v>1733</v>
      </c>
      <c r="H67" s="296">
        <f t="shared" si="17"/>
        <v>31004.945454545454</v>
      </c>
      <c r="I67" s="417"/>
      <c r="J67" s="297">
        <v>3</v>
      </c>
      <c r="K67" s="298">
        <f t="shared" si="15"/>
        <v>3150.909090909091</v>
      </c>
      <c r="L67" s="299">
        <f t="shared" si="16"/>
        <v>1050.3030303030303</v>
      </c>
      <c r="M67" s="300">
        <v>0.23819444444444446</v>
      </c>
      <c r="N67" s="300">
        <v>0.26111111111111113</v>
      </c>
      <c r="O67" s="298">
        <v>20</v>
      </c>
      <c r="P67" s="411">
        <f t="shared" si="18"/>
        <v>33</v>
      </c>
      <c r="Q67" s="301">
        <v>0.26111111111111113</v>
      </c>
      <c r="R67" s="301">
        <v>0.30277777777777776</v>
      </c>
    </row>
    <row r="68" spans="1:18" ht="15.6" customHeight="1">
      <c r="A68" s="453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4742</v>
      </c>
      <c r="H68" s="296">
        <f t="shared" si="17"/>
        <v>67742.85714285713</v>
      </c>
      <c r="I68" s="417"/>
      <c r="J68" s="297">
        <v>3</v>
      </c>
      <c r="K68" s="298">
        <f t="shared" si="15"/>
        <v>3196.8539325842721</v>
      </c>
      <c r="L68" s="299">
        <f t="shared" si="16"/>
        <v>1065.6179775280907</v>
      </c>
      <c r="M68" s="300">
        <v>0.32013888888888892</v>
      </c>
      <c r="N68" s="300">
        <v>0.38194444444444442</v>
      </c>
      <c r="O68" s="298">
        <v>20</v>
      </c>
      <c r="P68" s="411">
        <f t="shared" si="18"/>
        <v>88.999999999999929</v>
      </c>
      <c r="Q68" s="301"/>
      <c r="R68" s="301"/>
    </row>
    <row r="69" spans="1:18" ht="15.6" customHeight="1">
      <c r="A69" s="453"/>
      <c r="B69" s="293" t="s">
        <v>131</v>
      </c>
      <c r="C69" s="416"/>
      <c r="D69" s="316" t="s">
        <v>548</v>
      </c>
      <c r="E69" s="317"/>
      <c r="F69" s="295">
        <v>16.66</v>
      </c>
      <c r="G69" s="302">
        <v>3071</v>
      </c>
      <c r="H69" s="296">
        <f t="shared" si="17"/>
        <v>51162.86</v>
      </c>
      <c r="I69" s="417"/>
      <c r="J69" s="297">
        <v>4</v>
      </c>
      <c r="K69" s="298">
        <f t="shared" si="15"/>
        <v>3176.8965517241359</v>
      </c>
      <c r="L69" s="299">
        <f t="shared" si="16"/>
        <v>794.22413793103397</v>
      </c>
      <c r="M69" s="300">
        <v>0.39583333333333331</v>
      </c>
      <c r="N69" s="300">
        <v>0.43611111111111112</v>
      </c>
      <c r="O69" s="298">
        <v>20</v>
      </c>
      <c r="P69" s="411">
        <f t="shared" si="18"/>
        <v>58.000000000000036</v>
      </c>
      <c r="Q69" s="301"/>
      <c r="R69" s="301"/>
    </row>
    <row r="70" spans="1:18" ht="15.75" customHeight="1">
      <c r="A70" s="453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2896</v>
      </c>
      <c r="H70" s="296">
        <f t="shared" si="17"/>
        <v>40630.879999999997</v>
      </c>
      <c r="I70" s="417"/>
      <c r="J70" s="297">
        <v>3</v>
      </c>
      <c r="K70" s="298">
        <f t="shared" si="15"/>
        <v>3159.2727272727293</v>
      </c>
      <c r="L70" s="299">
        <f t="shared" si="16"/>
        <v>1053.0909090909097</v>
      </c>
      <c r="M70" s="300">
        <v>0.45</v>
      </c>
      <c r="N70" s="300">
        <v>0.48819444444444443</v>
      </c>
      <c r="O70" s="298">
        <v>20</v>
      </c>
      <c r="P70" s="411">
        <f t="shared" si="18"/>
        <v>54.999999999999964</v>
      </c>
      <c r="Q70" s="301"/>
      <c r="R70" s="301"/>
    </row>
    <row r="71" spans="1:18" ht="15.6" customHeight="1">
      <c r="A71" s="453"/>
      <c r="B71" s="293" t="s">
        <v>131</v>
      </c>
      <c r="C71" s="314"/>
      <c r="D71" s="332" t="s">
        <v>549</v>
      </c>
      <c r="E71" s="317"/>
      <c r="F71" s="295">
        <v>25.2</v>
      </c>
      <c r="G71" s="334">
        <v>1236</v>
      </c>
      <c r="H71" s="296">
        <f t="shared" si="17"/>
        <v>31147.200000000001</v>
      </c>
      <c r="I71" s="417"/>
      <c r="J71" s="297">
        <v>3</v>
      </c>
      <c r="K71" s="298">
        <f t="shared" si="15"/>
        <v>3090.0000000000109</v>
      </c>
      <c r="L71" s="299">
        <f t="shared" si="16"/>
        <v>1030.0000000000036</v>
      </c>
      <c r="M71" s="300">
        <v>0.50208333333333333</v>
      </c>
      <c r="N71" s="300">
        <v>0.51874999999999993</v>
      </c>
      <c r="O71" s="298">
        <v>20</v>
      </c>
      <c r="P71" s="411">
        <f t="shared" si="18"/>
        <v>23.999999999999915</v>
      </c>
      <c r="Q71" s="301"/>
      <c r="R71" s="301"/>
    </row>
    <row r="72" spans="1:18" ht="15.6" customHeight="1">
      <c r="A72" s="453"/>
      <c r="B72" s="293" t="s">
        <v>131</v>
      </c>
      <c r="C72" s="416"/>
      <c r="D72" s="332" t="s">
        <v>550</v>
      </c>
      <c r="E72" s="317"/>
      <c r="F72" s="295">
        <v>20.72</v>
      </c>
      <c r="G72" s="302">
        <v>2770</v>
      </c>
      <c r="H72" s="296">
        <f t="shared" si="17"/>
        <v>57394.399999999994</v>
      </c>
      <c r="I72" s="417"/>
      <c r="J72" s="297">
        <v>3</v>
      </c>
      <c r="K72" s="298">
        <f t="shared" si="15"/>
        <v>3196.1538461538426</v>
      </c>
      <c r="L72" s="299">
        <f t="shared" si="16"/>
        <v>1065.3846153846141</v>
      </c>
      <c r="M72" s="300">
        <v>0.4909722222222222</v>
      </c>
      <c r="N72" s="300">
        <v>0.52708333333333335</v>
      </c>
      <c r="O72" s="298">
        <v>20</v>
      </c>
      <c r="P72" s="411">
        <f t="shared" si="18"/>
        <v>52.000000000000057</v>
      </c>
      <c r="Q72" s="301"/>
      <c r="R72" s="301"/>
    </row>
    <row r="73" spans="1:18" ht="15.6" customHeight="1">
      <c r="A73" s="453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53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54"/>
      <c r="B75" s="293">
        <v>0</v>
      </c>
      <c r="C75" s="6" t="s">
        <v>551</v>
      </c>
      <c r="D75" s="455" t="s">
        <v>534</v>
      </c>
      <c r="E75" s="455"/>
      <c r="F75" s="304"/>
      <c r="G75" s="309"/>
      <c r="H75" s="327"/>
      <c r="I75" s="328"/>
      <c r="J75" s="308">
        <f>AVERAGE(J65:J74)</f>
        <v>3.25</v>
      </c>
      <c r="K75" s="308">
        <f>AVERAGE(K65:K74)</f>
        <v>3157.0299993497406</v>
      </c>
      <c r="L75" s="309">
        <f>AVERAGE(L65:L74)</f>
        <v>986.89489147201778</v>
      </c>
      <c r="M75" s="300"/>
      <c r="N75" s="300"/>
      <c r="O75" s="292"/>
      <c r="P75" s="292"/>
      <c r="Q75" s="292"/>
      <c r="R75" s="292"/>
    </row>
    <row r="76" spans="1:18" ht="16.2" customHeight="1">
      <c r="A76" s="456" t="s">
        <v>117</v>
      </c>
      <c r="B76" s="293">
        <v>0</v>
      </c>
      <c r="C76" s="293"/>
      <c r="D76" s="457"/>
      <c r="E76" s="458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56"/>
      <c r="B77" s="293">
        <v>0</v>
      </c>
      <c r="C77" s="293"/>
      <c r="D77" s="457"/>
      <c r="E77" s="458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56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56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56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56"/>
      <c r="B81" s="293">
        <v>0</v>
      </c>
      <c r="C81" s="6" t="s">
        <v>31</v>
      </c>
      <c r="D81" s="450" t="s">
        <v>534</v>
      </c>
      <c r="E81" s="450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41" t="s">
        <v>552</v>
      </c>
      <c r="B82" s="293" t="s">
        <v>131</v>
      </c>
      <c r="C82" s="314"/>
      <c r="D82" s="315" t="s">
        <v>553</v>
      </c>
      <c r="E82" s="340"/>
      <c r="F82" s="295">
        <v>17.22</v>
      </c>
      <c r="G82" s="319">
        <v>945</v>
      </c>
      <c r="H82" s="341">
        <f t="shared" ref="H82:H90" si="19">F82*G82</f>
        <v>16272.9</v>
      </c>
      <c r="I82" s="417"/>
      <c r="J82" s="297">
        <v>3</v>
      </c>
      <c r="K82" s="298">
        <f t="shared" ref="K82" si="20">G82/P82*60</f>
        <v>2834.9999999999873</v>
      </c>
      <c r="L82" s="299">
        <f t="shared" ref="L82" si="21">K82/J82</f>
        <v>944.99999999999579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42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42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42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42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42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42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42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42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442"/>
      <c r="B91" s="293">
        <v>0</v>
      </c>
      <c r="C91" s="6" t="s">
        <v>537</v>
      </c>
      <c r="D91" s="443" t="s">
        <v>534</v>
      </c>
      <c r="E91" s="443"/>
      <c r="F91" s="304"/>
      <c r="G91" s="344"/>
      <c r="H91" s="345"/>
      <c r="I91" s="307"/>
      <c r="J91" s="308">
        <f>AVERAGE(J82:J90)</f>
        <v>3</v>
      </c>
      <c r="K91" s="308">
        <f>AVERAGE(K82:K90)</f>
        <v>2834.9999999999873</v>
      </c>
      <c r="L91" s="309">
        <f>AVERAGE(L82:L90)</f>
        <v>944.99999999999579</v>
      </c>
      <c r="M91" s="300"/>
      <c r="N91" s="300"/>
      <c r="O91" s="298"/>
      <c r="P91" s="298"/>
      <c r="Q91" s="299"/>
      <c r="R91" s="299"/>
    </row>
    <row r="92" spans="1:18" ht="16.2" customHeight="1">
      <c r="A92" s="444" t="s">
        <v>554</v>
      </c>
      <c r="B92" s="293" t="s">
        <v>131</v>
      </c>
      <c r="C92" s="293"/>
      <c r="D92" s="346" t="s">
        <v>555</v>
      </c>
      <c r="E92" s="340"/>
      <c r="F92" s="295">
        <v>24.54</v>
      </c>
      <c r="G92" s="416">
        <v>1441</v>
      </c>
      <c r="H92" s="296">
        <f t="shared" ref="H92:H99" si="23">F92*G92</f>
        <v>35362.14</v>
      </c>
      <c r="I92" s="417"/>
      <c r="J92" s="297">
        <v>3</v>
      </c>
      <c r="K92" s="298">
        <f>G92/P92*60</f>
        <v>2161.4999999999991</v>
      </c>
      <c r="L92" s="299">
        <f t="shared" ref="L92:L93" si="24">K92/J92</f>
        <v>720.49999999999966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5"/>
      <c r="B93" s="293" t="s">
        <v>131</v>
      </c>
      <c r="C93" s="293"/>
      <c r="D93" s="315" t="s">
        <v>556</v>
      </c>
      <c r="E93" s="335"/>
      <c r="F93" s="295">
        <v>23.27</v>
      </c>
      <c r="G93" s="302">
        <v>1123</v>
      </c>
      <c r="H93" s="296">
        <f t="shared" si="23"/>
        <v>26132.21</v>
      </c>
      <c r="I93" s="417"/>
      <c r="J93" s="297">
        <v>4</v>
      </c>
      <c r="K93" s="298">
        <f t="shared" ref="K93" si="25">G93/P93*60</f>
        <v>2245.9999999999959</v>
      </c>
      <c r="L93" s="299">
        <f t="shared" si="24"/>
        <v>561.49999999999898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5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6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6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6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6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6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6"/>
      <c r="B100" s="293">
        <v>0</v>
      </c>
      <c r="C100" s="6" t="s">
        <v>557</v>
      </c>
      <c r="D100" s="447" t="s">
        <v>534</v>
      </c>
      <c r="E100" s="448"/>
      <c r="F100" s="304"/>
      <c r="G100" s="305"/>
      <c r="H100" s="347"/>
      <c r="I100" s="307"/>
      <c r="J100" s="308">
        <f>AVERAGE(J92:J99)</f>
        <v>3.5</v>
      </c>
      <c r="K100" s="308">
        <f>AVERAGE(K92:K99)</f>
        <v>2203.7499999999973</v>
      </c>
      <c r="L100" s="309">
        <f>AVERAGE(L92:L99)</f>
        <v>640.99999999999932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449" t="s">
        <v>558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1061</v>
      </c>
      <c r="H101" s="296">
        <f t="shared" ref="H101:H110" si="26">F101*G101</f>
        <v>26556.83</v>
      </c>
      <c r="I101" s="417"/>
      <c r="J101" s="297">
        <v>4</v>
      </c>
      <c r="K101" s="298">
        <f>G101/P101*60</f>
        <v>3182.9999999999859</v>
      </c>
      <c r="L101" s="299">
        <f t="shared" ref="L101:L105" si="27">K101/J101</f>
        <v>795.74999999999648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449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1670</v>
      </c>
      <c r="H102" s="296">
        <f t="shared" si="26"/>
        <v>41449.4</v>
      </c>
      <c r="I102" s="417"/>
      <c r="J102" s="297">
        <v>4</v>
      </c>
      <c r="K102" s="298">
        <f t="shared" ref="K102:K105" si="29">G102/P102*60</f>
        <v>2862.8571428571531</v>
      </c>
      <c r="L102" s="299">
        <f t="shared" si="27"/>
        <v>715.71428571428828</v>
      </c>
      <c r="M102" s="300">
        <v>0.75</v>
      </c>
      <c r="N102" s="300">
        <v>0.77430555555555547</v>
      </c>
      <c r="O102" s="292">
        <v>20</v>
      </c>
      <c r="P102" s="298">
        <f t="shared" si="28"/>
        <v>34.999999999999872</v>
      </c>
      <c r="Q102" s="301"/>
      <c r="R102" s="301"/>
    </row>
    <row r="103" spans="1:18">
      <c r="A103" s="449"/>
      <c r="B103" s="293" t="s">
        <v>131</v>
      </c>
      <c r="C103" s="6"/>
      <c r="D103" s="315" t="s">
        <v>559</v>
      </c>
      <c r="E103" s="315"/>
      <c r="F103" s="295">
        <v>30</v>
      </c>
      <c r="G103" s="416">
        <v>1900</v>
      </c>
      <c r="H103" s="296">
        <f t="shared" si="26"/>
        <v>57000</v>
      </c>
      <c r="I103" s="417"/>
      <c r="J103" s="297">
        <v>3</v>
      </c>
      <c r="K103" s="298">
        <f t="shared" si="29"/>
        <v>2850.00000000001</v>
      </c>
      <c r="L103" s="299">
        <f t="shared" si="27"/>
        <v>950.0000000000033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28"/>
        <v>39.999999999999858</v>
      </c>
      <c r="Q103" s="301"/>
      <c r="R103" s="301"/>
    </row>
    <row r="104" spans="1:18">
      <c r="A104" s="449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2895</v>
      </c>
      <c r="H104" s="296">
        <f t="shared" si="26"/>
        <v>82710.149999999994</v>
      </c>
      <c r="I104" s="417"/>
      <c r="J104" s="297">
        <v>3</v>
      </c>
      <c r="K104" s="298">
        <f t="shared" si="29"/>
        <v>2895.0000000000027</v>
      </c>
      <c r="L104" s="299">
        <f t="shared" si="27"/>
        <v>965.00000000000091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449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8457</v>
      </c>
      <c r="H105" s="296">
        <f t="shared" si="26"/>
        <v>120814.2857142857</v>
      </c>
      <c r="I105" s="417"/>
      <c r="J105" s="297">
        <v>3</v>
      </c>
      <c r="K105" s="298">
        <f t="shared" si="29"/>
        <v>2984.8235294322049</v>
      </c>
      <c r="L105" s="299">
        <f t="shared" si="27"/>
        <v>994.94117647740165</v>
      </c>
      <c r="M105" s="300">
        <v>46177.927083333336</v>
      </c>
      <c r="N105" s="300">
        <v>46178.045138888891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449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9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9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9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9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9"/>
      <c r="B111" s="293">
        <v>0</v>
      </c>
      <c r="C111" s="6" t="s">
        <v>544</v>
      </c>
      <c r="D111" s="450" t="s">
        <v>534</v>
      </c>
      <c r="E111" s="451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2955.1361344578713</v>
      </c>
      <c r="L111" s="309">
        <f>AVERAGE(L101:L110)</f>
        <v>884.28109243833808</v>
      </c>
      <c r="M111" s="300"/>
      <c r="N111" s="300"/>
      <c r="O111" s="298"/>
      <c r="P111" s="298"/>
      <c r="Q111" s="299"/>
      <c r="R111" s="292"/>
    </row>
    <row r="112" spans="1:18" ht="16.2" customHeight="1">
      <c r="A112" s="439" t="s">
        <v>560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1646</v>
      </c>
      <c r="H112" s="341">
        <f t="shared" si="11"/>
        <v>27488.199999999997</v>
      </c>
      <c r="I112" s="417"/>
      <c r="J112" s="297">
        <v>3</v>
      </c>
      <c r="K112" s="298">
        <f t="shared" ref="K112:K118" si="30">G112/P112*60</f>
        <v>2821.7142857142831</v>
      </c>
      <c r="L112" s="299">
        <f t="shared" ref="L112:L118" si="31">K112/J112</f>
        <v>940.57142857142765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439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971</v>
      </c>
      <c r="H113" s="341">
        <f t="shared" si="11"/>
        <v>17652.78</v>
      </c>
      <c r="I113" s="417"/>
      <c r="J113" s="297">
        <v>4</v>
      </c>
      <c r="K113" s="298">
        <f t="shared" si="30"/>
        <v>2913.0000000000105</v>
      </c>
      <c r="L113" s="299">
        <f t="shared" si="31"/>
        <v>728.25000000000261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439"/>
      <c r="B114" s="293" t="s">
        <v>131</v>
      </c>
      <c r="C114" s="314"/>
      <c r="D114" s="410" t="s">
        <v>561</v>
      </c>
      <c r="E114" s="315"/>
      <c r="F114" s="295">
        <v>18.18</v>
      </c>
      <c r="G114" s="416">
        <v>1075</v>
      </c>
      <c r="H114" s="341">
        <f t="shared" si="11"/>
        <v>19543.5</v>
      </c>
      <c r="I114" s="417"/>
      <c r="J114" s="297">
        <v>3</v>
      </c>
      <c r="K114" s="298">
        <f t="shared" si="30"/>
        <v>3225.0000000000114</v>
      </c>
      <c r="L114" s="299">
        <f t="shared" si="31"/>
        <v>1075.0000000000039</v>
      </c>
      <c r="M114" s="300">
        <v>0.78819444444444453</v>
      </c>
      <c r="N114" s="300">
        <v>0.80208333333333337</v>
      </c>
      <c r="O114" s="292">
        <v>20</v>
      </c>
      <c r="P114" s="411">
        <f t="shared" si="32"/>
        <v>19.999999999999929</v>
      </c>
      <c r="Q114" s="301"/>
      <c r="R114" s="301"/>
    </row>
    <row r="115" spans="1:18">
      <c r="A115" s="439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5653</v>
      </c>
      <c r="H115" s="341">
        <f t="shared" si="11"/>
        <v>94178.98</v>
      </c>
      <c r="I115" s="417"/>
      <c r="J115" s="297">
        <v>4</v>
      </c>
      <c r="K115" s="298">
        <f t="shared" si="30"/>
        <v>2949.3913043478242</v>
      </c>
      <c r="L115" s="299">
        <f t="shared" si="31"/>
        <v>737.34782608695605</v>
      </c>
      <c r="M115" s="300">
        <v>0.81597222222222221</v>
      </c>
      <c r="N115" s="300">
        <v>0.89583333333333337</v>
      </c>
      <c r="O115" s="292">
        <v>20</v>
      </c>
      <c r="P115" s="411">
        <f t="shared" si="32"/>
        <v>115.00000000000007</v>
      </c>
      <c r="Q115" s="301"/>
      <c r="R115" s="301"/>
    </row>
    <row r="116" spans="1:18">
      <c r="A116" s="439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1010</v>
      </c>
      <c r="H116" s="341">
        <f t="shared" si="11"/>
        <v>22504.636363636364</v>
      </c>
      <c r="I116" s="417"/>
      <c r="J116" s="297">
        <v>4</v>
      </c>
      <c r="K116" s="298">
        <f t="shared" si="30"/>
        <v>3029.9999999999864</v>
      </c>
      <c r="L116" s="299">
        <f t="shared" si="31"/>
        <v>757.49999999999659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439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3658</v>
      </c>
      <c r="H117" s="341">
        <f t="shared" ref="H117:H123" si="33">F117*G117</f>
        <v>65444.94545454545</v>
      </c>
      <c r="I117" s="417"/>
      <c r="J117" s="297">
        <v>3</v>
      </c>
      <c r="K117" s="298">
        <f t="shared" si="30"/>
        <v>2926.3999998637287</v>
      </c>
      <c r="L117" s="299">
        <f t="shared" si="31"/>
        <v>975.46666662124289</v>
      </c>
      <c r="M117" s="300">
        <v>46177.979166666664</v>
      </c>
      <c r="N117" s="300">
        <v>46178.03125</v>
      </c>
      <c r="O117" s="298">
        <v>20</v>
      </c>
      <c r="P117" s="411">
        <f t="shared" si="32"/>
        <v>75.00000000349246</v>
      </c>
      <c r="Q117" s="301"/>
      <c r="R117" s="301"/>
    </row>
    <row r="118" spans="1:18">
      <c r="A118" s="439"/>
      <c r="B118" s="293" t="s">
        <v>131</v>
      </c>
      <c r="C118" s="314"/>
      <c r="D118" s="315" t="s">
        <v>562</v>
      </c>
      <c r="E118" s="331"/>
      <c r="F118" s="295">
        <v>14.03</v>
      </c>
      <c r="G118" s="416">
        <v>5978</v>
      </c>
      <c r="H118" s="341">
        <f t="shared" si="33"/>
        <v>83871.34</v>
      </c>
      <c r="I118" s="417"/>
      <c r="J118" s="297">
        <v>3</v>
      </c>
      <c r="K118" s="298">
        <f t="shared" si="30"/>
        <v>2989</v>
      </c>
      <c r="L118" s="299">
        <f t="shared" si="31"/>
        <v>996.33333333333337</v>
      </c>
      <c r="M118" s="300">
        <v>4.5138888888888888E-2</v>
      </c>
      <c r="N118" s="300">
        <v>0.12847222222222224</v>
      </c>
      <c r="O118" s="298">
        <v>20</v>
      </c>
      <c r="P118" s="411">
        <f t="shared" si="32"/>
        <v>120</v>
      </c>
      <c r="Q118" s="301"/>
      <c r="R118" s="301"/>
    </row>
    <row r="119" spans="1:18">
      <c r="A119" s="439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39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39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39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39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439"/>
      <c r="B124" s="293">
        <v>0</v>
      </c>
      <c r="C124" s="6" t="s">
        <v>551</v>
      </c>
      <c r="D124" s="440" t="s">
        <v>534</v>
      </c>
      <c r="E124" s="440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2979.2150842751207</v>
      </c>
      <c r="L124" s="309">
        <f>AVERAGE(L112:L123)</f>
        <v>887.20989351613741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E8" sqref="AE8"/>
      <selection pane="bottomLeft" activeCell="M36" sqref="M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563</v>
      </c>
      <c r="B1" s="28"/>
      <c r="C1" s="28"/>
      <c r="D1" s="438" t="s">
        <v>564</v>
      </c>
      <c r="E1" s="29">
        <f>SUM(G5:G173)</f>
        <v>180423.80000000005</v>
      </c>
      <c r="F1" s="422" t="s">
        <v>3</v>
      </c>
      <c r="G1" s="30">
        <f>SUM(H5:H173)</f>
        <v>7048066.2201681985</v>
      </c>
      <c r="H1" s="437" t="s">
        <v>37</v>
      </c>
      <c r="I1" s="31">
        <f>M17+M30+M43+M56+M69+M82+M95+M108+M121+M134+M147+M160+M173</f>
        <v>192.89880952380952</v>
      </c>
      <c r="J1" s="579" t="s">
        <v>38</v>
      </c>
      <c r="K1" s="579"/>
      <c r="L1" s="579"/>
      <c r="M1" s="579" t="s">
        <v>39</v>
      </c>
      <c r="N1" s="579"/>
      <c r="O1" s="579"/>
      <c r="P1" s="579" t="s">
        <v>565</v>
      </c>
      <c r="Q1" s="579"/>
      <c r="R1" s="579"/>
      <c r="S1" s="579"/>
      <c r="T1" s="579" t="s">
        <v>566</v>
      </c>
      <c r="U1" s="579"/>
      <c r="V1" s="579"/>
      <c r="W1" s="579"/>
      <c r="X1" s="579"/>
      <c r="Y1" s="579"/>
      <c r="Z1" s="32" t="s">
        <v>567</v>
      </c>
      <c r="AA1" s="32" t="s">
        <v>568</v>
      </c>
      <c r="AB1" s="595" t="s">
        <v>569</v>
      </c>
      <c r="AC1" s="596"/>
      <c r="AD1" s="32" t="s">
        <v>567</v>
      </c>
      <c r="AE1" s="32" t="s">
        <v>570</v>
      </c>
      <c r="AF1" s="579" t="s">
        <v>571</v>
      </c>
      <c r="AG1" s="580"/>
      <c r="AH1" s="580"/>
    </row>
    <row r="2" spans="1:34" ht="26.25" customHeight="1">
      <c r="A2" s="587" t="s">
        <v>572</v>
      </c>
      <c r="B2" s="587"/>
      <c r="C2" s="438"/>
      <c r="D2" s="438" t="s">
        <v>573</v>
      </c>
      <c r="E2" s="34">
        <f>AVERAGE(O17,O30,O43,O56,O69,O82,O95,O108,O121,O134,O147,O160,O173)</f>
        <v>125.17915881026403</v>
      </c>
      <c r="F2" s="35" t="s">
        <v>40</v>
      </c>
      <c r="G2" s="36">
        <f>G1/E1</f>
        <v>39.063949546391314</v>
      </c>
      <c r="H2" s="437" t="s">
        <v>41</v>
      </c>
      <c r="I2" s="437">
        <f>COUNT(I5:I173)</f>
        <v>16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8</v>
      </c>
      <c r="AE2" s="38">
        <f>AE17+AE30+AE43+AE56+AE69+AE82+AE95+AE108+AE121+AE134+AE147+AE160+AE173</f>
        <v>4</v>
      </c>
      <c r="AF2" s="580"/>
      <c r="AG2" s="580"/>
      <c r="AH2" s="580"/>
    </row>
    <row r="3" spans="1:34" ht="30.6" customHeight="1">
      <c r="A3" s="588" t="s">
        <v>574</v>
      </c>
      <c r="B3" s="588" t="s">
        <v>42</v>
      </c>
      <c r="C3" s="589"/>
      <c r="D3" s="588" t="s">
        <v>575</v>
      </c>
      <c r="E3" s="588"/>
      <c r="F3" s="589" t="s">
        <v>43</v>
      </c>
      <c r="G3" s="604" t="s">
        <v>44</v>
      </c>
      <c r="H3" s="589" t="s">
        <v>45</v>
      </c>
      <c r="I3" s="581" t="s">
        <v>576</v>
      </c>
      <c r="J3" s="582" t="s">
        <v>46</v>
      </c>
      <c r="K3" s="583" t="s">
        <v>47</v>
      </c>
      <c r="L3" s="584" t="s">
        <v>35</v>
      </c>
      <c r="M3" s="604" t="s">
        <v>46</v>
      </c>
      <c r="N3" s="583" t="s">
        <v>577</v>
      </c>
      <c r="O3" s="584" t="s">
        <v>573</v>
      </c>
      <c r="P3" s="582" t="s">
        <v>578</v>
      </c>
      <c r="Q3" s="584" t="s">
        <v>573</v>
      </c>
      <c r="R3" s="585" t="s">
        <v>579</v>
      </c>
      <c r="S3" s="586" t="s">
        <v>580</v>
      </c>
      <c r="T3" s="604" t="s">
        <v>48</v>
      </c>
      <c r="U3" s="604"/>
      <c r="V3" s="605" t="s">
        <v>49</v>
      </c>
      <c r="W3" s="581" t="s">
        <v>581</v>
      </c>
      <c r="X3" s="604" t="s">
        <v>582</v>
      </c>
      <c r="Y3" s="604"/>
      <c r="Z3" s="606" t="s">
        <v>583</v>
      </c>
      <c r="AA3" s="607"/>
      <c r="AB3" s="591" t="s">
        <v>584</v>
      </c>
      <c r="AC3" s="592"/>
      <c r="AD3" s="593" t="s">
        <v>585</v>
      </c>
      <c r="AE3" s="594"/>
      <c r="AF3" s="583" t="s">
        <v>577</v>
      </c>
      <c r="AG3" s="585" t="s">
        <v>579</v>
      </c>
      <c r="AH3" s="586" t="s">
        <v>580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50</v>
      </c>
      <c r="U4" s="432" t="s">
        <v>51</v>
      </c>
      <c r="V4" s="604"/>
      <c r="W4" s="581"/>
      <c r="X4" s="422" t="s">
        <v>586</v>
      </c>
      <c r="Y4" s="422" t="s">
        <v>36</v>
      </c>
      <c r="Z4" s="432" t="s">
        <v>587</v>
      </c>
      <c r="AA4" s="432" t="s">
        <v>588</v>
      </c>
      <c r="AB4" s="592"/>
      <c r="AC4" s="592"/>
      <c r="AD4" s="432" t="s">
        <v>589</v>
      </c>
      <c r="AE4" s="39" t="s">
        <v>590</v>
      </c>
      <c r="AF4" s="583"/>
      <c r="AG4" s="585"/>
      <c r="AH4" s="586"/>
    </row>
    <row r="5" spans="1:34" ht="18.75" customHeight="1">
      <c r="A5" s="599" t="s">
        <v>591</v>
      </c>
      <c r="B5" s="40" t="s">
        <v>127</v>
      </c>
      <c r="C5" s="41"/>
      <c r="D5" s="42" t="s">
        <v>52</v>
      </c>
      <c r="E5" s="43"/>
      <c r="F5" s="355">
        <v>37.83</v>
      </c>
      <c r="G5" s="44">
        <v>6361.55</v>
      </c>
      <c r="H5" s="45">
        <f t="shared" ref="H5:H16" si="0">F5*G5</f>
        <v>240657.43649999998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2341.6748466257673</v>
      </c>
      <c r="O5" s="47">
        <f t="shared" ref="O5:O11" si="2">N5/M5</f>
        <v>117.08374233128836</v>
      </c>
      <c r="P5" s="48">
        <f t="shared" ref="P5:P11" si="3">M5-J5</f>
        <v>0</v>
      </c>
      <c r="Q5" s="49">
        <f t="shared" ref="Q5:Q11" si="4">O5-L5</f>
        <v>-2.9162576687116371</v>
      </c>
      <c r="R5" s="424">
        <f t="shared" ref="R5:R11" si="5">O5/L5</f>
        <v>0.97569785276073639</v>
      </c>
      <c r="S5" s="602">
        <f>R17</f>
        <v>0.91085064616778566</v>
      </c>
      <c r="T5" s="89">
        <v>0.25</v>
      </c>
      <c r="U5" s="89">
        <v>0.36319444444444443</v>
      </c>
      <c r="V5" s="422">
        <v>5</v>
      </c>
      <c r="W5" s="433">
        <f>(U5-T5)*24*60</f>
        <v>162.99999999999997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-58.325153374232741</v>
      </c>
      <c r="AG5" s="424">
        <f t="shared" ref="AG5:AG70" si="7">N5/K5</f>
        <v>0.97569785276073639</v>
      </c>
      <c r="AH5" s="602">
        <f>AG17</f>
        <v>0.92863362220176426</v>
      </c>
    </row>
    <row r="6" spans="1:34" ht="19.2" customHeight="1">
      <c r="A6" s="600"/>
      <c r="B6" s="40" t="s">
        <v>127</v>
      </c>
      <c r="C6" s="41"/>
      <c r="D6" s="42" t="s">
        <v>188</v>
      </c>
      <c r="E6" s="43"/>
      <c r="F6" s="355">
        <v>38.99</v>
      </c>
      <c r="G6" s="44">
        <v>1969</v>
      </c>
      <c r="H6" s="45">
        <f t="shared" si="0"/>
        <v>76771.31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2411.0204081632664</v>
      </c>
      <c r="O6" s="47">
        <f t="shared" si="2"/>
        <v>141.82472989195685</v>
      </c>
      <c r="P6" s="48">
        <f t="shared" si="3"/>
        <v>0</v>
      </c>
      <c r="Q6" s="49">
        <f t="shared" si="4"/>
        <v>-16.998799519807847</v>
      </c>
      <c r="R6" s="424">
        <f t="shared" si="5"/>
        <v>0.89297052154195056</v>
      </c>
      <c r="S6" s="602"/>
      <c r="T6" s="89">
        <v>0.37916666666666665</v>
      </c>
      <c r="U6" s="89">
        <v>0.41319444444444442</v>
      </c>
      <c r="V6" s="422">
        <v>23</v>
      </c>
      <c r="W6" s="433">
        <f t="shared" ref="W6:W17" si="8">(U6-T6)*24*60</f>
        <v>48.999999999999986</v>
      </c>
      <c r="X6" s="53">
        <v>0.36805555555555558</v>
      </c>
      <c r="Y6" s="53">
        <v>0.37847222222222227</v>
      </c>
      <c r="Z6" s="54"/>
      <c r="AA6" s="54"/>
      <c r="AB6" s="588"/>
      <c r="AC6" s="588"/>
      <c r="AD6" s="420"/>
      <c r="AE6" s="420"/>
      <c r="AF6" s="48">
        <f t="shared" si="6"/>
        <v>-288.97959183673356</v>
      </c>
      <c r="AG6" s="424">
        <f t="shared" si="7"/>
        <v>0.89297052154195056</v>
      </c>
      <c r="AH6" s="602"/>
    </row>
    <row r="7" spans="1:34" ht="19.2" customHeight="1">
      <c r="A7" s="600"/>
      <c r="B7" s="40" t="s">
        <v>127</v>
      </c>
      <c r="C7" s="41"/>
      <c r="D7" s="42" t="s">
        <v>184</v>
      </c>
      <c r="E7" s="43"/>
      <c r="F7" s="355">
        <v>28.86</v>
      </c>
      <c r="G7" s="44">
        <v>2467</v>
      </c>
      <c r="H7" s="45">
        <f t="shared" si="0"/>
        <v>71197.62</v>
      </c>
      <c r="I7" s="433"/>
      <c r="J7" s="46">
        <v>17</v>
      </c>
      <c r="K7" s="44">
        <v>2700</v>
      </c>
      <c r="L7" s="47">
        <v>158.8235294117647</v>
      </c>
      <c r="M7" s="434">
        <v>18</v>
      </c>
      <c r="N7" s="44">
        <f t="shared" si="1"/>
        <v>2426.5573770491796</v>
      </c>
      <c r="O7" s="47">
        <f t="shared" si="2"/>
        <v>134.80874316939887</v>
      </c>
      <c r="P7" s="48">
        <f t="shared" si="3"/>
        <v>1</v>
      </c>
      <c r="Q7" s="49">
        <f t="shared" si="4"/>
        <v>-24.01478624236583</v>
      </c>
      <c r="R7" s="424">
        <f t="shared" si="5"/>
        <v>0.84879579032584473</v>
      </c>
      <c r="S7" s="602"/>
      <c r="T7" s="89">
        <v>0.41805555555555551</v>
      </c>
      <c r="U7" s="89">
        <v>0.46041666666666664</v>
      </c>
      <c r="V7" s="422">
        <v>7</v>
      </c>
      <c r="W7" s="433">
        <f t="shared" si="8"/>
        <v>61.000000000000021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-273.44262295082035</v>
      </c>
      <c r="AG7" s="424">
        <f t="shared" si="7"/>
        <v>0.8987249544626591</v>
      </c>
      <c r="AH7" s="602"/>
    </row>
    <row r="8" spans="1:34" ht="19.2" customHeight="1">
      <c r="A8" s="600"/>
      <c r="B8" s="40" t="s">
        <v>127</v>
      </c>
      <c r="C8" s="41"/>
      <c r="D8" s="42" t="s">
        <v>53</v>
      </c>
      <c r="E8" s="43"/>
      <c r="F8" s="355">
        <v>31.11</v>
      </c>
      <c r="G8" s="44">
        <v>3746</v>
      </c>
      <c r="H8" s="45">
        <f t="shared" si="0"/>
        <v>116538.06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2613.4883720930256</v>
      </c>
      <c r="O8" s="47">
        <f t="shared" si="2"/>
        <v>137.55201958384345</v>
      </c>
      <c r="P8" s="48">
        <f t="shared" si="3"/>
        <v>1</v>
      </c>
      <c r="Q8" s="49">
        <f t="shared" si="4"/>
        <v>-12.447980416156554</v>
      </c>
      <c r="R8" s="424">
        <f t="shared" si="5"/>
        <v>0.91701346389228966</v>
      </c>
      <c r="S8" s="602"/>
      <c r="T8" s="89">
        <v>0.46527777777777773</v>
      </c>
      <c r="U8" s="89">
        <v>0.52499999999999991</v>
      </c>
      <c r="V8" s="422">
        <v>7</v>
      </c>
      <c r="W8" s="433">
        <f t="shared" si="8"/>
        <v>85.999999999999929</v>
      </c>
      <c r="X8" s="53"/>
      <c r="Y8" s="53"/>
      <c r="Z8" s="54"/>
      <c r="AA8" s="54"/>
      <c r="AB8" s="588"/>
      <c r="AC8" s="588"/>
      <c r="AD8" s="420">
        <v>1</v>
      </c>
      <c r="AE8" s="420"/>
      <c r="AF8" s="48">
        <f t="shared" si="6"/>
        <v>-86.511627906974354</v>
      </c>
      <c r="AG8" s="424">
        <f t="shared" si="7"/>
        <v>0.96795865633075029</v>
      </c>
      <c r="AH8" s="602"/>
    </row>
    <row r="9" spans="1:34" ht="19.2" customHeight="1">
      <c r="A9" s="600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602"/>
      <c r="T9" s="89">
        <v>0.56527777777777766</v>
      </c>
      <c r="U9" s="89">
        <v>0.61458333333333326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602"/>
    </row>
    <row r="10" spans="1:34" ht="19.2" customHeight="1">
      <c r="A10" s="601"/>
      <c r="B10" s="40" t="s">
        <v>127</v>
      </c>
      <c r="C10" s="41"/>
      <c r="D10" s="42" t="s">
        <v>205</v>
      </c>
      <c r="E10" s="43"/>
      <c r="F10" s="355">
        <v>46.93</v>
      </c>
      <c r="G10" s="44">
        <v>2162</v>
      </c>
      <c r="H10" s="45">
        <f t="shared" si="0"/>
        <v>101462.66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2162.0000000000018</v>
      </c>
      <c r="O10" s="47">
        <f t="shared" si="2"/>
        <v>120.11111111111121</v>
      </c>
      <c r="P10" s="48">
        <f t="shared" si="3"/>
        <v>0</v>
      </c>
      <c r="Q10" s="49">
        <f t="shared" si="4"/>
        <v>-13.222222222222129</v>
      </c>
      <c r="R10" s="424">
        <f t="shared" si="5"/>
        <v>0.90083333333333404</v>
      </c>
      <c r="S10" s="603"/>
      <c r="T10" s="89">
        <v>0.61944444444444435</v>
      </c>
      <c r="U10" s="89">
        <v>0.66111111111111098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-237.99999999999818</v>
      </c>
      <c r="AG10" s="424">
        <f t="shared" si="7"/>
        <v>0.90083333333333404</v>
      </c>
      <c r="AH10" s="603"/>
    </row>
    <row r="11" spans="1:34" ht="19.2" customHeight="1">
      <c r="A11" s="601"/>
      <c r="B11" s="40" t="s">
        <v>127</v>
      </c>
      <c r="C11" s="41"/>
      <c r="D11" s="42" t="s">
        <v>367</v>
      </c>
      <c r="E11" s="43"/>
      <c r="F11" s="355">
        <v>43.96</v>
      </c>
      <c r="G11" s="44">
        <v>2978.4</v>
      </c>
      <c r="H11" s="45">
        <f t="shared" si="0"/>
        <v>130930.46400000001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2351.3684210526299</v>
      </c>
      <c r="O11" s="47">
        <f t="shared" si="2"/>
        <v>117.56842105263149</v>
      </c>
      <c r="P11" s="48">
        <f t="shared" si="3"/>
        <v>0</v>
      </c>
      <c r="Q11" s="49">
        <f t="shared" si="4"/>
        <v>-2.4315789473685072</v>
      </c>
      <c r="R11" s="424">
        <f t="shared" si="5"/>
        <v>0.97973684210526246</v>
      </c>
      <c r="S11" s="603"/>
      <c r="T11" s="89">
        <v>0.67708333333333326</v>
      </c>
      <c r="U11" s="89">
        <v>0.72986111111111107</v>
      </c>
      <c r="V11" s="422">
        <v>23</v>
      </c>
      <c r="W11" s="433">
        <f t="shared" si="8"/>
        <v>76.000000000000057</v>
      </c>
      <c r="X11" s="53">
        <v>0.66527777777777775</v>
      </c>
      <c r="Y11" s="53">
        <v>0.67638888888888893</v>
      </c>
      <c r="Z11" s="54"/>
      <c r="AA11" s="54"/>
      <c r="AB11" s="588"/>
      <c r="AC11" s="588"/>
      <c r="AD11" s="420"/>
      <c r="AE11" s="420"/>
      <c r="AF11" s="48">
        <f t="shared" si="6"/>
        <v>-48.631578947370144</v>
      </c>
      <c r="AG11" s="424">
        <f t="shared" si="7"/>
        <v>0.97973684210526246</v>
      </c>
      <c r="AH11" s="603"/>
    </row>
    <row r="12" spans="1:34" ht="19.2" customHeight="1">
      <c r="A12" s="601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2" customHeight="1">
      <c r="A13" s="601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2" customHeight="1">
      <c r="A14" s="601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2" customHeight="1">
      <c r="A15" s="601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2" customHeight="1">
      <c r="A16" s="601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2" customHeight="1">
      <c r="A17" s="601"/>
      <c r="B17" s="69">
        <v>0</v>
      </c>
      <c r="C17" s="69" t="s">
        <v>592</v>
      </c>
      <c r="D17" s="608" t="s">
        <v>593</v>
      </c>
      <c r="E17" s="608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18.428571428571427</v>
      </c>
      <c r="N17" s="70">
        <f t="shared" si="9"/>
        <v>2387.9150285188225</v>
      </c>
      <c r="O17" s="73">
        <f t="shared" si="9"/>
        <v>130.09600685741006</v>
      </c>
      <c r="P17" s="65">
        <f t="shared" ref="P17:P28" si="10">M17-J17</f>
        <v>0.2857142857142847</v>
      </c>
      <c r="Q17" s="74">
        <f t="shared" ref="Q17:Q24" si="11">O17-L17</f>
        <v>-12.733124795251001</v>
      </c>
      <c r="R17" s="75">
        <f>O17/L17</f>
        <v>0.91085064616778566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-183.51354290974905</v>
      </c>
      <c r="AG17" s="425">
        <f t="shared" si="7"/>
        <v>0.92863362220176426</v>
      </c>
      <c r="AH17" s="603"/>
    </row>
    <row r="18" spans="1:34" ht="19.2" customHeight="1">
      <c r="A18" s="610" t="s">
        <v>594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4615.6500000000005</v>
      </c>
      <c r="H18" s="84">
        <f t="shared" ref="H18:H29" si="12">F18*G18</f>
        <v>170132.85900000003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2146.8139534883726</v>
      </c>
      <c r="O18" s="86">
        <f t="shared" ref="O18:O24" si="14">N18/M18</f>
        <v>119.26744186046514</v>
      </c>
      <c r="P18" s="54">
        <f t="shared" si="10"/>
        <v>1</v>
      </c>
      <c r="Q18" s="88">
        <f t="shared" si="11"/>
        <v>-13.085499316005439</v>
      </c>
      <c r="R18" s="421">
        <f t="shared" ref="R18:R24" si="15">O18/L18</f>
        <v>0.9011317829457367</v>
      </c>
      <c r="S18" s="611">
        <f>R30</f>
        <v>0.87558264133111663</v>
      </c>
      <c r="T18" s="89">
        <v>0.16666666666666666</v>
      </c>
      <c r="U18" s="89">
        <v>0.25624999999999998</v>
      </c>
      <c r="V18" s="420">
        <v>5</v>
      </c>
      <c r="W18" s="90">
        <f>(U18-T18)*24*60</f>
        <v>128.99999999999997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-103.18604651162741</v>
      </c>
      <c r="AG18" s="92">
        <f t="shared" si="7"/>
        <v>0.95413953488372116</v>
      </c>
      <c r="AH18" s="612">
        <f>AG30</f>
        <v>0.90803641136722368</v>
      </c>
    </row>
    <row r="19" spans="1:34" ht="19.2" customHeight="1">
      <c r="A19" s="610"/>
      <c r="B19" s="430" t="s">
        <v>129</v>
      </c>
      <c r="C19" s="429"/>
      <c r="D19" s="82" t="s">
        <v>62</v>
      </c>
      <c r="E19" s="83"/>
      <c r="F19" s="355">
        <v>38.39</v>
      </c>
      <c r="G19" s="57">
        <v>1460.55</v>
      </c>
      <c r="H19" s="84">
        <f t="shared" si="12"/>
        <v>56070.514499999997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1369.2656249999998</v>
      </c>
      <c r="O19" s="95">
        <f t="shared" si="14"/>
        <v>80.54503676470587</v>
      </c>
      <c r="P19" s="54">
        <f t="shared" si="10"/>
        <v>1</v>
      </c>
      <c r="Q19" s="88">
        <f t="shared" si="11"/>
        <v>-21.70496323529413</v>
      </c>
      <c r="R19" s="421">
        <f t="shared" si="15"/>
        <v>0.78772652092621875</v>
      </c>
      <c r="S19" s="611"/>
      <c r="T19" s="89">
        <v>0.2722222222222222</v>
      </c>
      <c r="U19" s="89">
        <v>0.31666666666666665</v>
      </c>
      <c r="V19" s="420">
        <v>23</v>
      </c>
      <c r="W19" s="90">
        <f>(U19-T19)*24*60</f>
        <v>64.000000000000014</v>
      </c>
      <c r="X19" s="96">
        <v>0.26041666666666669</v>
      </c>
      <c r="Y19" s="96">
        <v>0.27083333333333331</v>
      </c>
      <c r="Z19" s="54"/>
      <c r="AA19" s="54"/>
      <c r="AB19" s="588"/>
      <c r="AC19" s="588"/>
      <c r="AD19" s="420"/>
      <c r="AE19" s="420"/>
      <c r="AF19" s="48">
        <f t="shared" si="6"/>
        <v>-266.73437500000023</v>
      </c>
      <c r="AG19" s="424">
        <f t="shared" si="7"/>
        <v>0.83695942848410743</v>
      </c>
      <c r="AH19" s="613"/>
    </row>
    <row r="20" spans="1:34" ht="19.2" customHeight="1">
      <c r="A20" s="610"/>
      <c r="B20" s="430" t="s">
        <v>129</v>
      </c>
      <c r="C20" s="55"/>
      <c r="D20" s="42" t="s">
        <v>186</v>
      </c>
      <c r="E20" s="83"/>
      <c r="F20" s="355">
        <v>56.43</v>
      </c>
      <c r="G20" s="57">
        <v>1239.55</v>
      </c>
      <c r="H20" s="84">
        <f t="shared" si="12"/>
        <v>69947.806499999992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1377.2777777777783</v>
      </c>
      <c r="O20" s="95">
        <f t="shared" si="14"/>
        <v>86.079861111111143</v>
      </c>
      <c r="P20" s="54">
        <f t="shared" si="10"/>
        <v>0</v>
      </c>
      <c r="Q20" s="88">
        <f t="shared" si="11"/>
        <v>-7.6701388888888573</v>
      </c>
      <c r="R20" s="421">
        <f t="shared" si="15"/>
        <v>0.91818518518518555</v>
      </c>
      <c r="S20" s="611"/>
      <c r="T20" s="89">
        <v>0.32152777777777775</v>
      </c>
      <c r="U20" s="89">
        <v>0.35902777777777772</v>
      </c>
      <c r="V20" s="420">
        <v>7</v>
      </c>
      <c r="W20" s="90">
        <f t="shared" ref="W20:W29" si="16">(U20-T20)*24*60</f>
        <v>53.999999999999972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-122.72222222222172</v>
      </c>
      <c r="AG20" s="92">
        <f t="shared" si="7"/>
        <v>0.91818518518518555</v>
      </c>
      <c r="AH20" s="613"/>
    </row>
    <row r="21" spans="1:34" ht="19.2" customHeight="1">
      <c r="A21" s="610"/>
      <c r="B21" s="430" t="s">
        <v>130</v>
      </c>
      <c r="C21" s="97"/>
      <c r="D21" s="98" t="s">
        <v>61</v>
      </c>
      <c r="E21" s="43"/>
      <c r="F21" s="355">
        <v>43.14</v>
      </c>
      <c r="G21" s="44">
        <v>1119.3</v>
      </c>
      <c r="H21" s="84">
        <f t="shared" si="12"/>
        <v>48286.601999999999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1370.5714285714289</v>
      </c>
      <c r="O21" s="95">
        <f t="shared" si="14"/>
        <v>85.660714285714306</v>
      </c>
      <c r="P21" s="54">
        <f t="shared" si="10"/>
        <v>0</v>
      </c>
      <c r="Q21" s="88">
        <f t="shared" si="11"/>
        <v>-4.339285714285694</v>
      </c>
      <c r="R21" s="421">
        <f t="shared" si="15"/>
        <v>0.95178571428571446</v>
      </c>
      <c r="S21" s="611"/>
      <c r="T21" s="89">
        <v>0.36458333333333326</v>
      </c>
      <c r="U21" s="89">
        <v>0.39861111111111103</v>
      </c>
      <c r="V21" s="420">
        <v>8</v>
      </c>
      <c r="W21" s="90">
        <f t="shared" si="16"/>
        <v>48.999999999999986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-69.428571428571104</v>
      </c>
      <c r="AG21" s="424">
        <f t="shared" si="7"/>
        <v>0.95178571428571446</v>
      </c>
      <c r="AH21" s="614"/>
    </row>
    <row r="22" spans="1:34" ht="19.2" customHeight="1">
      <c r="A22" s="610"/>
      <c r="B22" s="430" t="s">
        <v>129</v>
      </c>
      <c r="C22" s="97"/>
      <c r="D22" s="42" t="s">
        <v>210</v>
      </c>
      <c r="E22" s="43"/>
      <c r="F22" s="355">
        <v>44.3</v>
      </c>
      <c r="G22" s="44">
        <v>2695.55</v>
      </c>
      <c r="H22" s="84">
        <f t="shared" si="12"/>
        <v>119412.86500000001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1406.3739130434785</v>
      </c>
      <c r="O22" s="95">
        <f t="shared" si="14"/>
        <v>82.727877237851672</v>
      </c>
      <c r="P22" s="54">
        <f t="shared" si="10"/>
        <v>0</v>
      </c>
      <c r="Q22" s="88">
        <f t="shared" si="11"/>
        <v>-13.507416879795386</v>
      </c>
      <c r="R22" s="421">
        <f t="shared" si="15"/>
        <v>0.85964175613904548</v>
      </c>
      <c r="S22" s="611"/>
      <c r="T22" s="89">
        <v>0.41458333333333325</v>
      </c>
      <c r="U22" s="89">
        <v>0.49444444444444435</v>
      </c>
      <c r="V22" s="420">
        <v>23</v>
      </c>
      <c r="W22" s="90">
        <f t="shared" si="16"/>
        <v>114.99999999999999</v>
      </c>
      <c r="X22" s="96">
        <v>0.40277777777777773</v>
      </c>
      <c r="Y22" s="96">
        <v>0.41319444444444442</v>
      </c>
      <c r="Z22" s="54"/>
      <c r="AA22" s="54"/>
      <c r="AB22" s="588"/>
      <c r="AC22" s="588"/>
      <c r="AD22" s="420"/>
      <c r="AE22" s="420"/>
      <c r="AF22" s="91">
        <f t="shared" si="6"/>
        <v>-229.62608695652148</v>
      </c>
      <c r="AG22" s="92">
        <f t="shared" si="7"/>
        <v>0.85964175613904559</v>
      </c>
      <c r="AH22" s="614"/>
    </row>
    <row r="23" spans="1:34" ht="19.2" customHeight="1">
      <c r="A23" s="610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4320</v>
      </c>
      <c r="H23" s="84">
        <f t="shared" si="12"/>
        <v>166233.59999999998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2377.9816513761484</v>
      </c>
      <c r="O23" s="95">
        <f t="shared" si="14"/>
        <v>125.15692901979729</v>
      </c>
      <c r="P23" s="54">
        <f t="shared" si="10"/>
        <v>1</v>
      </c>
      <c r="Q23" s="88">
        <f t="shared" si="11"/>
        <v>-24.843070980202711</v>
      </c>
      <c r="R23" s="421">
        <f t="shared" si="15"/>
        <v>0.83437952679864857</v>
      </c>
      <c r="S23" s="611"/>
      <c r="T23" s="89">
        <v>0.5347222222222221</v>
      </c>
      <c r="U23" s="89">
        <v>0.6104166666666665</v>
      </c>
      <c r="V23" s="420">
        <v>5</v>
      </c>
      <c r="W23" s="90">
        <f t="shared" si="16"/>
        <v>108.99999999999993</v>
      </c>
      <c r="X23" s="96"/>
      <c r="Y23" s="96"/>
      <c r="Z23" s="54"/>
      <c r="AA23" s="54"/>
      <c r="AB23" s="588"/>
      <c r="AC23" s="588"/>
      <c r="AD23" s="420">
        <v>1</v>
      </c>
      <c r="AE23" s="420"/>
      <c r="AF23" s="48">
        <f t="shared" si="6"/>
        <v>-322.01834862385158</v>
      </c>
      <c r="AG23" s="424">
        <f t="shared" si="7"/>
        <v>0.88073394495412904</v>
      </c>
      <c r="AH23" s="614"/>
    </row>
    <row r="24" spans="1:34" ht="19.2" customHeight="1">
      <c r="A24" s="610"/>
      <c r="B24" s="430" t="s">
        <v>127</v>
      </c>
      <c r="C24" s="81"/>
      <c r="D24" s="82" t="s">
        <v>60</v>
      </c>
      <c r="E24" s="83"/>
      <c r="F24" s="355">
        <v>36.86</v>
      </c>
      <c r="G24" s="57">
        <v>2485.35</v>
      </c>
      <c r="H24" s="84">
        <f t="shared" si="12"/>
        <v>91610.000999999989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2130.2999999999975</v>
      </c>
      <c r="O24" s="95">
        <f t="shared" si="14"/>
        <v>118.34999999999985</v>
      </c>
      <c r="P24" s="54">
        <f t="shared" si="10"/>
        <v>1</v>
      </c>
      <c r="Q24" s="88">
        <f t="shared" si="11"/>
        <v>-14.002941176470728</v>
      </c>
      <c r="R24" s="421">
        <f t="shared" si="15"/>
        <v>0.89419999999999888</v>
      </c>
      <c r="S24" s="611"/>
      <c r="T24" s="89">
        <v>0.62569444444444422</v>
      </c>
      <c r="U24" s="89">
        <v>0.67430555555555538</v>
      </c>
      <c r="V24" s="420">
        <v>22</v>
      </c>
      <c r="W24" s="90">
        <f t="shared" si="16"/>
        <v>70.000000000000071</v>
      </c>
      <c r="X24" s="96">
        <v>0.61458333333333337</v>
      </c>
      <c r="Y24" s="96">
        <v>0.625</v>
      </c>
      <c r="Z24" s="54"/>
      <c r="AA24" s="54"/>
      <c r="AB24" s="588"/>
      <c r="AC24" s="588"/>
      <c r="AD24" s="420"/>
      <c r="AE24" s="420"/>
      <c r="AF24" s="91">
        <f t="shared" si="6"/>
        <v>-119.70000000000255</v>
      </c>
      <c r="AG24" s="92">
        <f t="shared" si="7"/>
        <v>0.94679999999999886</v>
      </c>
      <c r="AH24" s="614"/>
    </row>
    <row r="25" spans="1:34" ht="19.2" customHeight="1">
      <c r="A25" s="610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2" customHeight="1">
      <c r="A26" s="610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2" customHeight="1">
      <c r="A27" s="610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2" customHeight="1">
      <c r="A28" s="610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2" customHeight="1">
      <c r="A29" s="610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2" customHeight="1">
      <c r="A30" s="610"/>
      <c r="B30" s="99">
        <v>0</v>
      </c>
      <c r="C30" s="100" t="s">
        <v>595</v>
      </c>
      <c r="D30" s="609" t="s">
        <v>593</v>
      </c>
      <c r="E30" s="609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1739.7977641796006</v>
      </c>
      <c r="O30" s="104">
        <f t="shared" si="17"/>
        <v>99.683980039949319</v>
      </c>
      <c r="P30" s="54">
        <f t="shared" ref="P30:P37" si="18">M30-J30</f>
        <v>0.5714285714285694</v>
      </c>
      <c r="Q30" s="88">
        <f t="shared" ref="Q30:Q37" si="19">O30-L30</f>
        <v>-14.164759455849008</v>
      </c>
      <c r="R30" s="105">
        <f t="shared" ref="R30:R37" si="20">O30/L30</f>
        <v>0.87558264133111663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-176.20223582039944</v>
      </c>
      <c r="AG30" s="109">
        <f t="shared" ref="AG30" si="21">N30/K30</f>
        <v>0.90803641136722368</v>
      </c>
      <c r="AH30" s="615"/>
    </row>
    <row r="31" spans="1:34" ht="19.2" customHeight="1">
      <c r="A31" s="618" t="s">
        <v>596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1893.45</v>
      </c>
      <c r="H31" s="112">
        <f t="shared" ref="H31:H40" si="22">F31*G31</f>
        <v>50176.425000000003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1438.0632911392406</v>
      </c>
      <c r="O31" s="115">
        <f t="shared" ref="O31:O37" si="24">N31/M31</f>
        <v>119.83860759493672</v>
      </c>
      <c r="P31" s="116">
        <f t="shared" si="18"/>
        <v>0</v>
      </c>
      <c r="Q31" s="117">
        <f t="shared" si="19"/>
        <v>-46.828059071729939</v>
      </c>
      <c r="R31" s="423">
        <f t="shared" si="20"/>
        <v>0.7190316455696204</v>
      </c>
      <c r="S31" s="620">
        <f>R43</f>
        <v>0.835660817749171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-561.93670886075938</v>
      </c>
      <c r="AG31" s="120">
        <f t="shared" si="7"/>
        <v>0.71903164556962029</v>
      </c>
      <c r="AH31" s="616">
        <f>AG43</f>
        <v>0.84273932780908334</v>
      </c>
    </row>
    <row r="32" spans="1:34" ht="19.2" customHeight="1">
      <c r="A32" s="619"/>
      <c r="B32" s="121" t="s">
        <v>131</v>
      </c>
      <c r="C32" s="122"/>
      <c r="D32" s="42" t="s">
        <v>63</v>
      </c>
      <c r="E32" s="43"/>
      <c r="F32" s="355">
        <v>35.33</v>
      </c>
      <c r="G32" s="134">
        <v>2039</v>
      </c>
      <c r="H32" s="84">
        <f t="shared" si="22"/>
        <v>72037.87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1882.1538461538457</v>
      </c>
      <c r="O32" s="47">
        <f t="shared" si="24"/>
        <v>156.84615384615381</v>
      </c>
      <c r="P32" s="116">
        <f t="shared" si="18"/>
        <v>0</v>
      </c>
      <c r="Q32" s="49">
        <f t="shared" si="19"/>
        <v>-19.653846153846189</v>
      </c>
      <c r="R32" s="424">
        <f t="shared" si="20"/>
        <v>0.8886467640008715</v>
      </c>
      <c r="S32" s="611"/>
      <c r="T32" s="89">
        <v>0.18541666666666667</v>
      </c>
      <c r="U32" s="89">
        <v>0.23055555555555557</v>
      </c>
      <c r="V32" s="142">
        <v>8</v>
      </c>
      <c r="W32" s="90">
        <f t="shared" si="25"/>
        <v>65.000000000000014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-235.84615384615427</v>
      </c>
      <c r="AG32" s="424">
        <f t="shared" si="7"/>
        <v>0.8886467640008715</v>
      </c>
      <c r="AH32" s="602"/>
    </row>
    <row r="33" spans="1:34" ht="19.2" customHeight="1">
      <c r="A33" s="61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1640</v>
      </c>
      <c r="H33" s="84">
        <f t="shared" si="22"/>
        <v>56137.2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1892.3076923076917</v>
      </c>
      <c r="O33" s="47">
        <f t="shared" si="24"/>
        <v>157.69230769230765</v>
      </c>
      <c r="P33" s="116">
        <f t="shared" si="18"/>
        <v>0</v>
      </c>
      <c r="Q33" s="49">
        <f t="shared" si="19"/>
        <v>-18.807692307692349</v>
      </c>
      <c r="R33" s="424">
        <f t="shared" si="20"/>
        <v>0.89344083678361275</v>
      </c>
      <c r="S33" s="611"/>
      <c r="T33" s="89">
        <v>0.23611111111111113</v>
      </c>
      <c r="U33" s="89">
        <v>0.27222222222222225</v>
      </c>
      <c r="V33" s="142">
        <v>8</v>
      </c>
      <c r="W33" s="90">
        <f t="shared" si="25"/>
        <v>52.000000000000014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-225.6923076923083</v>
      </c>
      <c r="AG33" s="125">
        <f t="shared" si="7"/>
        <v>0.89344083678361275</v>
      </c>
      <c r="AH33" s="602"/>
    </row>
    <row r="34" spans="1:34" ht="19.2" customHeight="1">
      <c r="A34" s="619"/>
      <c r="B34" s="121" t="s">
        <v>132</v>
      </c>
      <c r="C34" s="126"/>
      <c r="D34" s="147" t="s">
        <v>144</v>
      </c>
      <c r="E34" s="83"/>
      <c r="F34" s="355">
        <v>54.09</v>
      </c>
      <c r="G34" s="137">
        <v>490</v>
      </c>
      <c r="H34" s="84">
        <f t="shared" si="22"/>
        <v>26504.100000000002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1278.2608695652175</v>
      </c>
      <c r="O34" s="47">
        <f t="shared" si="24"/>
        <v>71.014492753623188</v>
      </c>
      <c r="P34" s="116">
        <f t="shared" si="18"/>
        <v>0</v>
      </c>
      <c r="Q34" s="49">
        <f t="shared" si="19"/>
        <v>-12.318840579710141</v>
      </c>
      <c r="R34" s="424">
        <f t="shared" si="20"/>
        <v>0.85217391304347834</v>
      </c>
      <c r="S34" s="611"/>
      <c r="T34" s="89">
        <v>0.28888888888888892</v>
      </c>
      <c r="U34" s="89">
        <v>0.30486111111111114</v>
      </c>
      <c r="V34" s="137">
        <v>24</v>
      </c>
      <c r="W34" s="90">
        <f t="shared" si="25"/>
        <v>23</v>
      </c>
      <c r="X34" s="123">
        <v>0.27638888888888885</v>
      </c>
      <c r="Y34" s="123">
        <v>0.28819444444444448</v>
      </c>
      <c r="Z34" s="124"/>
      <c r="AA34" s="124"/>
      <c r="AB34" s="588"/>
      <c r="AC34" s="588"/>
      <c r="AD34" s="420">
        <v>1</v>
      </c>
      <c r="AE34" s="420"/>
      <c r="AF34" s="48">
        <f t="shared" si="6"/>
        <v>-221.73913043478251</v>
      </c>
      <c r="AG34" s="125">
        <f t="shared" si="7"/>
        <v>0.85217391304347834</v>
      </c>
      <c r="AH34" s="602"/>
    </row>
    <row r="35" spans="1:34" ht="19.2" customHeight="1">
      <c r="A35" s="619"/>
      <c r="B35" s="121" t="s">
        <v>129</v>
      </c>
      <c r="C35" s="41"/>
      <c r="D35" s="150" t="s">
        <v>189</v>
      </c>
      <c r="E35" s="43"/>
      <c r="F35" s="355">
        <v>56.43</v>
      </c>
      <c r="G35" s="137">
        <v>1838</v>
      </c>
      <c r="H35" s="84">
        <f t="shared" si="22"/>
        <v>103718.34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1297.4117647058822</v>
      </c>
      <c r="O35" s="47">
        <f t="shared" si="24"/>
        <v>76.318339100346009</v>
      </c>
      <c r="P35" s="116">
        <f t="shared" si="18"/>
        <v>0</v>
      </c>
      <c r="Q35" s="49">
        <f t="shared" si="19"/>
        <v>-19.916955017301049</v>
      </c>
      <c r="R35" s="424">
        <f t="shared" si="20"/>
        <v>0.79303897598159057</v>
      </c>
      <c r="S35" s="611"/>
      <c r="T35" s="89">
        <v>0.30972222222222223</v>
      </c>
      <c r="U35" s="89">
        <v>0.36875000000000002</v>
      </c>
      <c r="V35" s="134">
        <v>7</v>
      </c>
      <c r="W35" s="90">
        <f t="shared" si="25"/>
        <v>85.000000000000014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-338.58823529411779</v>
      </c>
      <c r="AG35" s="120">
        <f t="shared" si="7"/>
        <v>0.79303897598159057</v>
      </c>
      <c r="AH35" s="603"/>
    </row>
    <row r="36" spans="1:34" ht="19.2" customHeight="1">
      <c r="A36" s="619"/>
      <c r="B36" s="121" t="s">
        <v>129</v>
      </c>
      <c r="C36" s="128"/>
      <c r="D36" s="150" t="s">
        <v>179</v>
      </c>
      <c r="E36" s="83"/>
      <c r="F36" s="355">
        <v>49.91</v>
      </c>
      <c r="G36" s="134">
        <v>3669</v>
      </c>
      <c r="H36" s="84">
        <f t="shared" si="22"/>
        <v>183119.78999999998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1302.6035502958582</v>
      </c>
      <c r="O36" s="47">
        <f t="shared" si="24"/>
        <v>81.412721893491138</v>
      </c>
      <c r="P36" s="116">
        <f t="shared" si="18"/>
        <v>1</v>
      </c>
      <c r="Q36" s="49">
        <f t="shared" si="19"/>
        <v>-18.587278106508862</v>
      </c>
      <c r="R36" s="424">
        <f t="shared" si="20"/>
        <v>0.81412721893491136</v>
      </c>
      <c r="S36" s="611"/>
      <c r="T36" s="89">
        <v>0.3840277777777778</v>
      </c>
      <c r="U36" s="89">
        <v>0.50138888888888888</v>
      </c>
      <c r="V36" s="134">
        <v>22</v>
      </c>
      <c r="W36" s="90">
        <f t="shared" si="25"/>
        <v>168.99999999999997</v>
      </c>
      <c r="X36" s="123">
        <v>0.37361111111111112</v>
      </c>
      <c r="Y36" s="123">
        <v>0.3833333333333333</v>
      </c>
      <c r="Z36" s="124"/>
      <c r="AA36" s="124"/>
      <c r="AB36" s="588"/>
      <c r="AC36" s="588"/>
      <c r="AD36" s="420"/>
      <c r="AE36" s="420"/>
      <c r="AF36" s="48">
        <f t="shared" si="6"/>
        <v>-197.39644970414179</v>
      </c>
      <c r="AG36" s="424">
        <f t="shared" si="7"/>
        <v>0.86840236686390548</v>
      </c>
      <c r="AH36" s="603"/>
    </row>
    <row r="37" spans="1:34" ht="19.2" customHeight="1">
      <c r="A37" s="61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6845</v>
      </c>
      <c r="H37" s="84">
        <f t="shared" si="22"/>
        <v>258740.99999999997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2346.8571428571422</v>
      </c>
      <c r="O37" s="47">
        <f t="shared" si="24"/>
        <v>123.51879699248117</v>
      </c>
      <c r="P37" s="116">
        <f t="shared" si="18"/>
        <v>0</v>
      </c>
      <c r="Q37" s="49">
        <f t="shared" si="19"/>
        <v>-18.586466165413569</v>
      </c>
      <c r="R37" s="424">
        <f t="shared" si="20"/>
        <v>0.86920634920634898</v>
      </c>
      <c r="S37" s="611"/>
      <c r="T37" s="89">
        <v>0.54166666666666663</v>
      </c>
      <c r="U37" s="89">
        <v>0.66319444444444442</v>
      </c>
      <c r="V37" s="134">
        <v>5</v>
      </c>
      <c r="W37" s="90">
        <f t="shared" si="25"/>
        <v>175.00000000000003</v>
      </c>
      <c r="X37" s="123"/>
      <c r="Y37" s="123"/>
      <c r="Z37" s="124"/>
      <c r="AA37" s="124"/>
      <c r="AB37" s="588"/>
      <c r="AC37" s="588"/>
      <c r="AD37" s="420">
        <v>1</v>
      </c>
      <c r="AE37" s="420">
        <v>1</v>
      </c>
      <c r="AF37" s="48">
        <f t="shared" si="6"/>
        <v>-353.14285714285779</v>
      </c>
      <c r="AG37" s="125">
        <f t="shared" si="7"/>
        <v>0.86920634920634898</v>
      </c>
      <c r="AH37" s="603"/>
    </row>
    <row r="38" spans="1:34" ht="19.2" customHeight="1">
      <c r="A38" s="61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2" customHeight="1">
      <c r="A39" s="61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2" customHeight="1">
      <c r="A40" s="61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2" customHeight="1">
      <c r="A41" s="61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2" customHeight="1">
      <c r="A42" s="61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2" customHeight="1">
      <c r="A43" s="619"/>
      <c r="B43" s="121">
        <v>0</v>
      </c>
      <c r="C43" s="100" t="s">
        <v>597</v>
      </c>
      <c r="D43" s="617" t="s">
        <v>593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1633.9511652892684</v>
      </c>
      <c r="O43" s="104">
        <f t="shared" si="26"/>
        <v>112.37734569619138</v>
      </c>
      <c r="P43" s="54">
        <f>M43-J43</f>
        <v>0.14285714285714235</v>
      </c>
      <c r="Q43" s="88">
        <f>N43-K43</f>
        <v>-304.90597756787452</v>
      </c>
      <c r="R43" s="105">
        <f t="shared" ref="R43:R51" si="27">O43/L43</f>
        <v>0.835660817749171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2</v>
      </c>
      <c r="AE43" s="107">
        <f>SUM(AE31:AE42)</f>
        <v>1</v>
      </c>
      <c r="AF43" s="48">
        <f t="shared" ref="AF43:AF54" si="28">N43-K43</f>
        <v>-304.90597756787452</v>
      </c>
      <c r="AG43" s="425">
        <f t="shared" si="7"/>
        <v>0.84273932780908334</v>
      </c>
      <c r="AH43" s="603"/>
    </row>
    <row r="44" spans="1:34" s="145" customFormat="1" ht="19.2" customHeight="1">
      <c r="A44" s="622" t="s">
        <v>598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1555</v>
      </c>
      <c r="H44" s="45">
        <f>F44*G44</f>
        <v>42762.5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1529.5081967213109</v>
      </c>
      <c r="O44" s="138">
        <f t="shared" ref="O44:O51" si="30">N44/M44</f>
        <v>127.45901639344258</v>
      </c>
      <c r="P44" s="51">
        <f t="shared" ref="P44:P51" si="31">M44-J44</f>
        <v>0</v>
      </c>
      <c r="Q44" s="139">
        <f t="shared" ref="Q44:Q51" si="32">O44-L44</f>
        <v>-39.207650273224075</v>
      </c>
      <c r="R44" s="140">
        <f t="shared" si="27"/>
        <v>0.76475409836065555</v>
      </c>
      <c r="S44" s="602">
        <f>R56</f>
        <v>0.87870763717773515</v>
      </c>
      <c r="T44" s="118">
        <v>0.125</v>
      </c>
      <c r="U44" s="118">
        <v>0.16736111111111113</v>
      </c>
      <c r="V44" s="142">
        <v>5</v>
      </c>
      <c r="W44" s="143">
        <f t="shared" ref="W44:W56" si="33">(U44-T44)*24*60</f>
        <v>61.000000000000021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-470.49180327868908</v>
      </c>
      <c r="AG44" s="428">
        <f t="shared" si="7"/>
        <v>0.76475409836065544</v>
      </c>
      <c r="AH44" s="625">
        <f>AG56</f>
        <v>0.93033223617317717</v>
      </c>
    </row>
    <row r="45" spans="1:34" s="145" customFormat="1" ht="19.2" customHeight="1">
      <c r="A45" s="623"/>
      <c r="B45" s="97" t="s">
        <v>131</v>
      </c>
      <c r="C45" s="133"/>
      <c r="D45" s="42" t="s">
        <v>76</v>
      </c>
      <c r="E45" s="43"/>
      <c r="F45" s="362">
        <v>24.73</v>
      </c>
      <c r="G45" s="134">
        <v>1851</v>
      </c>
      <c r="H45" s="45">
        <f>F45*G45</f>
        <v>45775.23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2095.4716981132069</v>
      </c>
      <c r="O45" s="138">
        <f t="shared" si="30"/>
        <v>419.09433962264137</v>
      </c>
      <c r="P45" s="51">
        <f t="shared" si="31"/>
        <v>1</v>
      </c>
      <c r="Q45" s="139">
        <f t="shared" si="32"/>
        <v>-80.905660377358629</v>
      </c>
      <c r="R45" s="140">
        <f t="shared" si="27"/>
        <v>0.83818867924528273</v>
      </c>
      <c r="S45" s="602"/>
      <c r="T45" s="89">
        <v>0.17083333333333334</v>
      </c>
      <c r="U45" s="89">
        <v>0.2076388888888889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95.471698113206912</v>
      </c>
      <c r="AG45" s="428">
        <f t="shared" si="7"/>
        <v>1.0477358490566036</v>
      </c>
      <c r="AH45" s="625"/>
    </row>
    <row r="46" spans="1:34" s="145" customFormat="1" ht="19.2" customHeight="1">
      <c r="A46" s="623"/>
      <c r="B46" s="97" t="s">
        <v>131</v>
      </c>
      <c r="C46" s="133"/>
      <c r="D46" s="42" t="s">
        <v>77</v>
      </c>
      <c r="E46" s="43"/>
      <c r="F46" s="362">
        <v>24.73</v>
      </c>
      <c r="G46" s="134">
        <v>1839</v>
      </c>
      <c r="H46" s="45">
        <f t="shared" ref="H46:H51" si="34">F46*G46</f>
        <v>45478.47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2121.9230769230762</v>
      </c>
      <c r="O46" s="138">
        <f t="shared" si="30"/>
        <v>424.38461538461524</v>
      </c>
      <c r="P46" s="51">
        <f t="shared" si="31"/>
        <v>1</v>
      </c>
      <c r="Q46" s="139">
        <f t="shared" si="32"/>
        <v>-75.615384615384755</v>
      </c>
      <c r="R46" s="140">
        <f t="shared" si="27"/>
        <v>0.8487692307692305</v>
      </c>
      <c r="S46" s="602"/>
      <c r="T46" s="89">
        <v>0.21111111111111111</v>
      </c>
      <c r="U46" s="89">
        <v>0.24722222222222223</v>
      </c>
      <c r="V46" s="142">
        <v>5</v>
      </c>
      <c r="W46" s="143">
        <f t="shared" si="33"/>
        <v>52.000000000000014</v>
      </c>
      <c r="X46" s="123"/>
      <c r="Y46" s="123"/>
      <c r="Z46" s="124"/>
      <c r="AA46" s="124"/>
      <c r="AB46" s="588"/>
      <c r="AC46" s="588"/>
      <c r="AD46" s="420">
        <v>1</v>
      </c>
      <c r="AE46" s="420"/>
      <c r="AF46" s="144">
        <f t="shared" si="28"/>
        <v>121.92307692307622</v>
      </c>
      <c r="AG46" s="428">
        <f t="shared" si="7"/>
        <v>1.0609615384615381</v>
      </c>
      <c r="AH46" s="625"/>
    </row>
    <row r="47" spans="1:34" s="145" customFormat="1" ht="19.2" customHeight="1">
      <c r="A47" s="623"/>
      <c r="B47" s="97" t="s">
        <v>130</v>
      </c>
      <c r="C47" s="133"/>
      <c r="D47" s="42" t="s">
        <v>67</v>
      </c>
      <c r="E47" s="148"/>
      <c r="F47" s="362">
        <v>31.43</v>
      </c>
      <c r="G47" s="137">
        <v>1870</v>
      </c>
      <c r="H47" s="45">
        <f t="shared" si="34"/>
        <v>58774.1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1438.4615384615392</v>
      </c>
      <c r="O47" s="138">
        <f t="shared" si="30"/>
        <v>205.4945054945056</v>
      </c>
      <c r="P47" s="51">
        <f t="shared" si="31"/>
        <v>0</v>
      </c>
      <c r="Q47" s="139">
        <f t="shared" si="32"/>
        <v>-8.7912087912086747</v>
      </c>
      <c r="R47" s="140">
        <f t="shared" si="27"/>
        <v>0.95897435897435956</v>
      </c>
      <c r="S47" s="602"/>
      <c r="T47" s="89">
        <v>0.26458333333333334</v>
      </c>
      <c r="U47" s="89">
        <v>0.31874999999999998</v>
      </c>
      <c r="V47" s="137">
        <v>25</v>
      </c>
      <c r="W47" s="143">
        <f t="shared" si="33"/>
        <v>77.999999999999957</v>
      </c>
      <c r="X47" s="123">
        <v>0.25138888888888888</v>
      </c>
      <c r="Y47" s="123">
        <v>0.2638888888888889</v>
      </c>
      <c r="Z47" s="124"/>
      <c r="AA47" s="124"/>
      <c r="AB47" s="588"/>
      <c r="AC47" s="588"/>
      <c r="AD47" s="420"/>
      <c r="AE47" s="420"/>
      <c r="AF47" s="144">
        <f t="shared" si="28"/>
        <v>-61.538461538460751</v>
      </c>
      <c r="AG47" s="428">
        <f t="shared" si="7"/>
        <v>0.95897435897435945</v>
      </c>
      <c r="AH47" s="625"/>
    </row>
    <row r="48" spans="1:34" s="145" customFormat="1" ht="19.2" customHeight="1">
      <c r="A48" s="623"/>
      <c r="B48" s="97" t="s">
        <v>130</v>
      </c>
      <c r="C48" s="133"/>
      <c r="D48" s="42" t="s">
        <v>178</v>
      </c>
      <c r="E48" s="148"/>
      <c r="F48" s="362">
        <v>11.86</v>
      </c>
      <c r="G48" s="137">
        <v>1745</v>
      </c>
      <c r="H48" s="45">
        <f t="shared" si="34"/>
        <v>20695.7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1434.246575342466</v>
      </c>
      <c r="O48" s="138">
        <f t="shared" si="30"/>
        <v>239.04109589041101</v>
      </c>
      <c r="P48" s="51">
        <f t="shared" si="31"/>
        <v>0</v>
      </c>
      <c r="Q48" s="139">
        <f t="shared" si="32"/>
        <v>-10.958904109588985</v>
      </c>
      <c r="R48" s="140">
        <f t="shared" si="27"/>
        <v>0.95616438356164402</v>
      </c>
      <c r="S48" s="602"/>
      <c r="T48" s="89">
        <v>0.3256944444444444</v>
      </c>
      <c r="U48" s="89">
        <v>0.37638888888888883</v>
      </c>
      <c r="V48" s="134">
        <v>10</v>
      </c>
      <c r="W48" s="143">
        <f t="shared" si="33"/>
        <v>72.999999999999986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-65.753424657533969</v>
      </c>
      <c r="AG48" s="428">
        <f t="shared" si="7"/>
        <v>0.95616438356164402</v>
      </c>
      <c r="AH48" s="625"/>
    </row>
    <row r="49" spans="1:34" s="145" customFormat="1" ht="19.2" customHeight="1">
      <c r="A49" s="623"/>
      <c r="B49" s="97" t="s">
        <v>132</v>
      </c>
      <c r="C49" s="133"/>
      <c r="D49" s="42" t="s">
        <v>66</v>
      </c>
      <c r="E49" s="148"/>
      <c r="F49" s="362">
        <v>10.09</v>
      </c>
      <c r="G49" s="134">
        <v>4095.9</v>
      </c>
      <c r="H49" s="45">
        <f t="shared" si="34"/>
        <v>41327.631000000001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1412.3793103448281</v>
      </c>
      <c r="O49" s="138">
        <f t="shared" si="30"/>
        <v>235.39655172413802</v>
      </c>
      <c r="P49" s="51">
        <f t="shared" si="31"/>
        <v>0</v>
      </c>
      <c r="Q49" s="139">
        <f t="shared" si="32"/>
        <v>-14.603448275861979</v>
      </c>
      <c r="R49" s="140">
        <f t="shared" si="27"/>
        <v>0.94158620689655204</v>
      </c>
      <c r="S49" s="602"/>
      <c r="T49" s="89">
        <v>0.41666666666666657</v>
      </c>
      <c r="U49" s="89">
        <v>0.53749999999999987</v>
      </c>
      <c r="V49" s="134">
        <v>5</v>
      </c>
      <c r="W49" s="143">
        <f t="shared" si="33"/>
        <v>173.99999999999994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-87.620689655171873</v>
      </c>
      <c r="AG49" s="428">
        <f t="shared" si="7"/>
        <v>0.94158620689655204</v>
      </c>
      <c r="AH49" s="625"/>
    </row>
    <row r="50" spans="1:34" s="145" customFormat="1" ht="19.2" customHeight="1">
      <c r="A50" s="623"/>
      <c r="B50" s="97" t="s">
        <v>132</v>
      </c>
      <c r="C50" s="133"/>
      <c r="D50" s="42" t="s">
        <v>66</v>
      </c>
      <c r="E50" s="148"/>
      <c r="F50" s="362">
        <v>10.09</v>
      </c>
      <c r="G50" s="134">
        <v>3489.1000000000004</v>
      </c>
      <c r="H50" s="45">
        <f t="shared" si="34"/>
        <v>35205.019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1424.1224489795925</v>
      </c>
      <c r="O50" s="138">
        <f t="shared" si="30"/>
        <v>237.35374149659876</v>
      </c>
      <c r="P50" s="51">
        <f t="shared" si="31"/>
        <v>0</v>
      </c>
      <c r="Q50" s="139">
        <f t="shared" si="32"/>
        <v>-12.646258503401242</v>
      </c>
      <c r="R50" s="140">
        <f t="shared" si="27"/>
        <v>0.94941496598639508</v>
      </c>
      <c r="S50" s="602"/>
      <c r="T50" s="89">
        <v>0.55486111111111103</v>
      </c>
      <c r="U50" s="89">
        <v>0.65694444444444433</v>
      </c>
      <c r="V50" s="134">
        <v>25</v>
      </c>
      <c r="W50" s="143">
        <f t="shared" si="33"/>
        <v>146.99999999999994</v>
      </c>
      <c r="X50" s="152">
        <v>0.54166666666666663</v>
      </c>
      <c r="Y50" s="152">
        <v>0.5541666666666667</v>
      </c>
      <c r="Z50" s="153"/>
      <c r="AA50" s="153"/>
      <c r="AB50" s="588"/>
      <c r="AC50" s="588"/>
      <c r="AD50" s="420"/>
      <c r="AE50" s="420"/>
      <c r="AF50" s="144">
        <f t="shared" si="28"/>
        <v>-75.877551020407509</v>
      </c>
      <c r="AG50" s="428">
        <f t="shared" si="7"/>
        <v>0.94941496598639497</v>
      </c>
      <c r="AH50" s="625"/>
    </row>
    <row r="51" spans="1:34" s="145" customFormat="1" ht="19.2" customHeight="1">
      <c r="A51" s="623"/>
      <c r="B51" s="97" t="s">
        <v>130</v>
      </c>
      <c r="C51" s="133"/>
      <c r="D51" s="150" t="s">
        <v>201</v>
      </c>
      <c r="E51" s="148"/>
      <c r="F51" s="362">
        <v>26.5</v>
      </c>
      <c r="G51" s="134">
        <v>1019.55</v>
      </c>
      <c r="H51" s="45">
        <f t="shared" si="34"/>
        <v>27018.074999999997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1568.5384615384608</v>
      </c>
      <c r="O51" s="138">
        <f t="shared" si="30"/>
        <v>130.7115384615384</v>
      </c>
      <c r="P51" s="51">
        <f t="shared" si="31"/>
        <v>0</v>
      </c>
      <c r="Q51" s="139">
        <f t="shared" si="32"/>
        <v>-35.955128205128261</v>
      </c>
      <c r="R51" s="140">
        <f t="shared" si="27"/>
        <v>0.78426923076923039</v>
      </c>
      <c r="S51" s="602"/>
      <c r="T51" s="151">
        <v>0.66388888888888875</v>
      </c>
      <c r="U51" s="151">
        <v>0.6909722222222221</v>
      </c>
      <c r="V51" s="134">
        <v>10</v>
      </c>
      <c r="W51" s="143">
        <f t="shared" si="33"/>
        <v>39.000000000000021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-431.46153846153925</v>
      </c>
      <c r="AG51" s="428">
        <f t="shared" si="7"/>
        <v>0.78426923076923039</v>
      </c>
      <c r="AH51" s="625"/>
    </row>
    <row r="52" spans="1:34" s="145" customFormat="1" ht="19.2" customHeight="1">
      <c r="A52" s="623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2" customHeight="1">
      <c r="A53" s="623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2" customHeight="1">
      <c r="A54" s="623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2" customHeight="1">
      <c r="A55" s="623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2" customHeight="1">
      <c r="A56" s="624"/>
      <c r="B56" s="157">
        <v>0</v>
      </c>
      <c r="C56" s="268" t="s">
        <v>599</v>
      </c>
      <c r="D56" s="621" t="s">
        <v>593</v>
      </c>
      <c r="E56" s="617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1628.0814133030601</v>
      </c>
      <c r="O56" s="104">
        <f t="shared" si="35"/>
        <v>252.3669255584864</v>
      </c>
      <c r="P56" s="158">
        <f>M56-J56</f>
        <v>0.25</v>
      </c>
      <c r="Q56" s="117">
        <f>N56-K56</f>
        <v>-121.91858669693988</v>
      </c>
      <c r="R56" s="159">
        <f t="shared" ref="R56:R62" si="36">O56/L56</f>
        <v>0.87870763717773515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2">
        <f>N56-K56</f>
        <v>-121.91858669693988</v>
      </c>
      <c r="AG56" s="421">
        <f>N56/K56</f>
        <v>0.93033223617317717</v>
      </c>
      <c r="AH56" s="625"/>
    </row>
    <row r="57" spans="1:34" ht="19.2" customHeight="1">
      <c r="A57" s="628" t="s">
        <v>600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1128</v>
      </c>
      <c r="H57" s="84">
        <f t="shared" ref="H57:H66" si="37">F57*G57</f>
        <v>31877.280000000002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1440.0000000000002</v>
      </c>
      <c r="O57" s="86">
        <f t="shared" ref="O57:O62" si="39">N57/M57</f>
        <v>205.71428571428575</v>
      </c>
      <c r="P57" s="165">
        <f t="shared" ref="P57:P62" si="40">M57-J57</f>
        <v>0</v>
      </c>
      <c r="Q57" s="49">
        <f t="shared" ref="Q57:Q62" si="41">O57-L57</f>
        <v>-8.5714285714285268</v>
      </c>
      <c r="R57" s="424">
        <f t="shared" si="36"/>
        <v>0.96000000000000019</v>
      </c>
      <c r="S57" s="602">
        <f>R69</f>
        <v>0.96940053842689644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-59.999999999999773</v>
      </c>
      <c r="AG57" s="423">
        <f t="shared" si="7"/>
        <v>0.96000000000000019</v>
      </c>
      <c r="AH57" s="616">
        <f>AG69</f>
        <v>0.96952477798275793</v>
      </c>
    </row>
    <row r="58" spans="1:34" ht="19.2" customHeight="1">
      <c r="A58" s="619"/>
      <c r="B58" s="121" t="s">
        <v>130</v>
      </c>
      <c r="C58" s="420"/>
      <c r="D58" s="42" t="s">
        <v>69</v>
      </c>
      <c r="E58" s="43"/>
      <c r="F58" s="355">
        <v>27.88</v>
      </c>
      <c r="G58" s="44">
        <v>3053</v>
      </c>
      <c r="H58" s="45">
        <f t="shared" si="37"/>
        <v>85117.64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1465.4400000000003</v>
      </c>
      <c r="O58" s="47">
        <f t="shared" si="39"/>
        <v>209.34857142857146</v>
      </c>
      <c r="P58" s="165">
        <f t="shared" si="40"/>
        <v>0</v>
      </c>
      <c r="Q58" s="49">
        <f t="shared" si="41"/>
        <v>-4.9371428571428169</v>
      </c>
      <c r="R58" s="424">
        <f t="shared" si="36"/>
        <v>0.97696000000000016</v>
      </c>
      <c r="S58" s="602"/>
      <c r="T58" s="50">
        <v>0.16319444444444445</v>
      </c>
      <c r="U58" s="50">
        <v>0.25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-34.559999999999718</v>
      </c>
      <c r="AG58" s="424">
        <f t="shared" si="7"/>
        <v>0.97696000000000016</v>
      </c>
      <c r="AH58" s="602"/>
    </row>
    <row r="59" spans="1:34" ht="19.2" customHeight="1">
      <c r="A59" s="619"/>
      <c r="B59" s="121" t="s">
        <v>130</v>
      </c>
      <c r="C59" s="420"/>
      <c r="D59" s="42" t="s">
        <v>70</v>
      </c>
      <c r="E59" s="43"/>
      <c r="F59" s="355">
        <v>28</v>
      </c>
      <c r="G59" s="44">
        <v>3051</v>
      </c>
      <c r="H59" s="45">
        <f t="shared" si="37"/>
        <v>85428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1476.2903225806456</v>
      </c>
      <c r="O59" s="47">
        <f t="shared" si="39"/>
        <v>210.8986175115208</v>
      </c>
      <c r="P59" s="165">
        <f t="shared" si="40"/>
        <v>0</v>
      </c>
      <c r="Q59" s="49">
        <f t="shared" si="41"/>
        <v>-3.3870967741934805</v>
      </c>
      <c r="R59" s="424">
        <f t="shared" si="36"/>
        <v>0.98419354838709705</v>
      </c>
      <c r="S59" s="602"/>
      <c r="T59" s="50">
        <v>0.2673611111111111</v>
      </c>
      <c r="U59" s="50">
        <v>0.35347222222222219</v>
      </c>
      <c r="V59" s="142">
        <v>25</v>
      </c>
      <c r="W59" s="433">
        <f t="shared" ref="W59:W69" si="42">(U59-T59)*24*60</f>
        <v>123.99999999999996</v>
      </c>
      <c r="X59" s="53">
        <v>0.25416666666666665</v>
      </c>
      <c r="Y59" s="53">
        <v>0.26666666666666666</v>
      </c>
      <c r="Z59" s="54"/>
      <c r="AA59" s="54"/>
      <c r="AB59" s="588"/>
      <c r="AC59" s="588"/>
      <c r="AD59" s="420"/>
      <c r="AE59" s="420"/>
      <c r="AF59" s="48">
        <f t="shared" si="6"/>
        <v>-23.709677419354421</v>
      </c>
      <c r="AG59" s="424">
        <f t="shared" si="7"/>
        <v>0.98419354838709705</v>
      </c>
      <c r="AH59" s="602"/>
    </row>
    <row r="60" spans="1:34" ht="19.2" customHeight="1">
      <c r="A60" s="619"/>
      <c r="B60" s="121" t="s">
        <v>130</v>
      </c>
      <c r="C60" s="420"/>
      <c r="D60" s="42" t="s">
        <v>387</v>
      </c>
      <c r="E60" s="43"/>
      <c r="F60" s="355">
        <v>28.47</v>
      </c>
      <c r="G60" s="44">
        <v>1298.25</v>
      </c>
      <c r="H60" s="45">
        <f t="shared" si="37"/>
        <v>36961.177499999998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1442.5000000000007</v>
      </c>
      <c r="O60" s="47">
        <f t="shared" si="39"/>
        <v>206.07142857142867</v>
      </c>
      <c r="P60" s="165">
        <f t="shared" si="40"/>
        <v>0</v>
      </c>
      <c r="Q60" s="49">
        <f t="shared" si="41"/>
        <v>-8.2142857142856087</v>
      </c>
      <c r="R60" s="424">
        <f t="shared" si="36"/>
        <v>0.96166666666666711</v>
      </c>
      <c r="S60" s="602"/>
      <c r="T60" s="50">
        <v>0.37083333333333329</v>
      </c>
      <c r="U60" s="50">
        <v>0.40833333333333327</v>
      </c>
      <c r="V60" s="142">
        <v>25</v>
      </c>
      <c r="W60" s="433">
        <f t="shared" si="42"/>
        <v>53.999999999999972</v>
      </c>
      <c r="X60" s="53">
        <v>0.3576388888888889</v>
      </c>
      <c r="Y60" s="53">
        <v>0.36944444444444446</v>
      </c>
      <c r="Z60" s="54"/>
      <c r="AA60" s="54"/>
      <c r="AB60" s="588"/>
      <c r="AC60" s="588"/>
      <c r="AD60" s="420"/>
      <c r="AE60" s="420"/>
      <c r="AF60" s="48">
        <f t="shared" si="6"/>
        <v>-57.499999999999318</v>
      </c>
      <c r="AG60" s="423">
        <f t="shared" si="7"/>
        <v>0.96166666666666711</v>
      </c>
      <c r="AH60" s="602"/>
    </row>
    <row r="61" spans="1:34" ht="19.2" customHeight="1">
      <c r="A61" s="619"/>
      <c r="B61" s="121" t="s">
        <v>132</v>
      </c>
      <c r="C61" s="420"/>
      <c r="D61" s="42" t="s">
        <v>66</v>
      </c>
      <c r="E61" s="43"/>
      <c r="F61" s="355">
        <v>10.09</v>
      </c>
      <c r="G61" s="44">
        <v>4399.2999999999993</v>
      </c>
      <c r="H61" s="45">
        <f t="shared" si="37"/>
        <v>44388.936999999991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1442.3934426229514</v>
      </c>
      <c r="O61" s="47">
        <f t="shared" si="39"/>
        <v>240.39890710382522</v>
      </c>
      <c r="P61" s="165">
        <f t="shared" si="40"/>
        <v>0</v>
      </c>
      <c r="Q61" s="49">
        <f t="shared" si="41"/>
        <v>-9.6010928961747766</v>
      </c>
      <c r="R61" s="424">
        <f t="shared" si="36"/>
        <v>0.96159562841530088</v>
      </c>
      <c r="S61" s="602"/>
      <c r="T61" s="50">
        <v>0.44861111111111102</v>
      </c>
      <c r="U61" s="50">
        <v>0.57569444444444429</v>
      </c>
      <c r="V61" s="142">
        <v>5</v>
      </c>
      <c r="W61" s="433">
        <f t="shared" si="42"/>
        <v>182.99999999999991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-57.606557377048603</v>
      </c>
      <c r="AG61" s="424">
        <f t="shared" si="7"/>
        <v>0.96159562841530088</v>
      </c>
      <c r="AH61" s="602"/>
    </row>
    <row r="62" spans="1:34" ht="19.2" customHeight="1">
      <c r="A62" s="619"/>
      <c r="B62" s="121" t="s">
        <v>132</v>
      </c>
      <c r="C62" s="420"/>
      <c r="D62" s="42" t="s">
        <v>66</v>
      </c>
      <c r="E62" s="43"/>
      <c r="F62" s="355">
        <v>10.09</v>
      </c>
      <c r="G62" s="134">
        <v>3185.7</v>
      </c>
      <c r="H62" s="45">
        <f t="shared" si="37"/>
        <v>32143.712999999996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1459.0992366412213</v>
      </c>
      <c r="O62" s="47">
        <f t="shared" si="39"/>
        <v>243.18320610687022</v>
      </c>
      <c r="P62" s="165">
        <f t="shared" si="40"/>
        <v>0</v>
      </c>
      <c r="Q62" s="49">
        <f t="shared" si="41"/>
        <v>-6.816793893129784</v>
      </c>
      <c r="R62" s="424">
        <f t="shared" si="36"/>
        <v>0.97273282442748088</v>
      </c>
      <c r="S62" s="602"/>
      <c r="T62" s="166">
        <v>0.59305555555555545</v>
      </c>
      <c r="U62" s="166">
        <v>0.68402777777777768</v>
      </c>
      <c r="V62" s="142">
        <v>25</v>
      </c>
      <c r="W62" s="433">
        <f t="shared" si="42"/>
        <v>131</v>
      </c>
      <c r="X62" s="53">
        <v>0.57986111111111105</v>
      </c>
      <c r="Y62" s="53">
        <v>0.59166666666666667</v>
      </c>
      <c r="Z62" s="54"/>
      <c r="AA62" s="54"/>
      <c r="AB62" s="588"/>
      <c r="AC62" s="588"/>
      <c r="AD62" s="420"/>
      <c r="AE62" s="420"/>
      <c r="AF62" s="48">
        <f t="shared" si="6"/>
        <v>-40.900763358778704</v>
      </c>
      <c r="AG62" s="424">
        <f t="shared" si="7"/>
        <v>0.97273282442748088</v>
      </c>
      <c r="AH62" s="602"/>
    </row>
    <row r="63" spans="1:34" ht="19.2" customHeight="1">
      <c r="A63" s="61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2" customHeight="1">
      <c r="A64" s="584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2" customHeight="1">
      <c r="A65" s="584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2" customHeight="1">
      <c r="A66" s="584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2" customHeight="1">
      <c r="A67" s="584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2" customHeight="1">
      <c r="A68" s="584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2" customHeight="1">
      <c r="A69" s="584"/>
      <c r="B69" s="168">
        <v>0</v>
      </c>
      <c r="C69" s="6" t="s">
        <v>601</v>
      </c>
      <c r="D69" s="617" t="s">
        <v>593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1454.2871669741369</v>
      </c>
      <c r="O69" s="73">
        <f t="shared" si="43"/>
        <v>219.26916940608371</v>
      </c>
      <c r="P69" s="48">
        <f>M69-J69</f>
        <v>0</v>
      </c>
      <c r="Q69" s="49">
        <f>N69-K69</f>
        <v>-45.712833025863119</v>
      </c>
      <c r="R69" s="172">
        <f t="shared" ref="R69:R75" si="44">O69/L69</f>
        <v>0.96940053842689644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-45.712833025863119</v>
      </c>
      <c r="AG69" s="424">
        <f t="shared" si="7"/>
        <v>0.96952477798275793</v>
      </c>
      <c r="AH69" s="602"/>
    </row>
    <row r="70" spans="1:34" ht="19.2" customHeight="1">
      <c r="A70" s="586" t="s">
        <v>602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1838</v>
      </c>
      <c r="H70" s="45">
        <f>F70*G70</f>
        <v>114194.94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1378.4999999999995</v>
      </c>
      <c r="O70" s="47">
        <f t="shared" ref="O70:O75" si="46">N70/M70</f>
        <v>98.46428571428568</v>
      </c>
      <c r="P70" s="48">
        <f t="shared" ref="P70:P75" si="47">M70-J70</f>
        <v>0</v>
      </c>
      <c r="Q70" s="49">
        <f t="shared" ref="Q70:Q75" si="48">O70-L70</f>
        <v>-8.678571428571459</v>
      </c>
      <c r="R70" s="424">
        <f t="shared" si="44"/>
        <v>0.91899999999999971</v>
      </c>
      <c r="S70" s="602">
        <f>R82</f>
        <v>0.92340210790445798</v>
      </c>
      <c r="T70" s="50">
        <v>0.25</v>
      </c>
      <c r="U70" s="50">
        <v>0.30555555555555558</v>
      </c>
      <c r="V70" s="422">
        <v>5</v>
      </c>
      <c r="W70" s="433">
        <f>(U70-T70)*24*60</f>
        <v>80.000000000000028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-121.50000000000045</v>
      </c>
      <c r="AG70" s="424">
        <f t="shared" si="7"/>
        <v>0.91899999999999971</v>
      </c>
      <c r="AH70" s="602">
        <f>AG82</f>
        <v>0.92328502569236337</v>
      </c>
    </row>
    <row r="71" spans="1:34" ht="19.2" customHeight="1">
      <c r="A71" s="586"/>
      <c r="B71" s="422" t="s">
        <v>128</v>
      </c>
      <c r="C71" s="41"/>
      <c r="D71" s="173" t="s">
        <v>71</v>
      </c>
      <c r="E71" s="43"/>
      <c r="F71" s="355">
        <v>47.65</v>
      </c>
      <c r="G71" s="44">
        <v>1459.44</v>
      </c>
      <c r="H71" s="45">
        <f>F71*G71</f>
        <v>69542.316000000006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1326.7636363636364</v>
      </c>
      <c r="O71" s="47">
        <f t="shared" si="46"/>
        <v>73.709090909090904</v>
      </c>
      <c r="P71" s="48">
        <f t="shared" si="47"/>
        <v>0</v>
      </c>
      <c r="Q71" s="49">
        <f t="shared" si="48"/>
        <v>-6.2909090909090963</v>
      </c>
      <c r="R71" s="424">
        <f t="shared" si="44"/>
        <v>0.92136363636363627</v>
      </c>
      <c r="S71" s="602"/>
      <c r="T71" s="50">
        <v>0.31111111111111112</v>
      </c>
      <c r="U71" s="50">
        <v>0.35694444444444445</v>
      </c>
      <c r="V71" s="422">
        <v>8</v>
      </c>
      <c r="W71" s="433">
        <f t="shared" ref="W71:W81" si="49">(U71-T71)*24*60</f>
        <v>66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-113.23636363636365</v>
      </c>
      <c r="AG71" s="424">
        <f>N71/K71</f>
        <v>0.92136363636363638</v>
      </c>
      <c r="AH71" s="602"/>
    </row>
    <row r="72" spans="1:34" ht="19.2" customHeight="1">
      <c r="A72" s="586"/>
      <c r="B72" s="422" t="s">
        <v>128</v>
      </c>
      <c r="C72" s="66"/>
      <c r="D72" s="173" t="s">
        <v>72</v>
      </c>
      <c r="E72" s="43"/>
      <c r="F72" s="355">
        <v>53.36</v>
      </c>
      <c r="G72" s="44">
        <v>3964.7400000000002</v>
      </c>
      <c r="H72" s="45">
        <f t="shared" ref="H72:H80" si="50">F72*G72</f>
        <v>211558.5264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1336.4292134831462</v>
      </c>
      <c r="O72" s="47">
        <f t="shared" si="46"/>
        <v>70.338379657007692</v>
      </c>
      <c r="P72" s="48">
        <f t="shared" si="47"/>
        <v>0</v>
      </c>
      <c r="Q72" s="49">
        <f t="shared" si="48"/>
        <v>-5.4510940272028279</v>
      </c>
      <c r="R72" s="424">
        <f t="shared" si="44"/>
        <v>0.92807584269662935</v>
      </c>
      <c r="S72" s="602"/>
      <c r="T72" s="50">
        <v>0.37222222222222223</v>
      </c>
      <c r="U72" s="50">
        <v>0.49583333333333335</v>
      </c>
      <c r="V72" s="422">
        <v>22</v>
      </c>
      <c r="W72" s="433">
        <f t="shared" si="49"/>
        <v>178</v>
      </c>
      <c r="X72" s="53">
        <v>0.3611111111111111</v>
      </c>
      <c r="Y72" s="53">
        <v>0.37152777777777773</v>
      </c>
      <c r="Z72" s="54"/>
      <c r="AA72" s="54"/>
      <c r="AB72" s="588"/>
      <c r="AC72" s="588"/>
      <c r="AD72" s="420"/>
      <c r="AE72" s="420">
        <v>1</v>
      </c>
      <c r="AF72" s="48">
        <f>N72-K72</f>
        <v>-103.57078651685379</v>
      </c>
      <c r="AG72" s="424">
        <f>N72/K72</f>
        <v>0.92807584269662935</v>
      </c>
      <c r="AH72" s="602"/>
    </row>
    <row r="73" spans="1:34" ht="19.2" customHeight="1">
      <c r="A73" s="586"/>
      <c r="B73" s="422" t="s">
        <v>128</v>
      </c>
      <c r="C73" s="175"/>
      <c r="D73" s="176" t="s">
        <v>73</v>
      </c>
      <c r="E73" s="177"/>
      <c r="F73" s="355">
        <v>53.76</v>
      </c>
      <c r="G73" s="44">
        <v>2470</v>
      </c>
      <c r="H73" s="45">
        <f t="shared" si="50"/>
        <v>132787.19999999998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1359.6330275229368</v>
      </c>
      <c r="O73" s="47">
        <f t="shared" si="46"/>
        <v>84.97706422018355</v>
      </c>
      <c r="P73" s="48">
        <f t="shared" si="47"/>
        <v>0</v>
      </c>
      <c r="Q73" s="49">
        <f t="shared" si="48"/>
        <v>-5.02293577981645</v>
      </c>
      <c r="R73" s="424">
        <f t="shared" si="44"/>
        <v>0.94418960244648387</v>
      </c>
      <c r="S73" s="602"/>
      <c r="T73" s="50">
        <v>0.53611111111111109</v>
      </c>
      <c r="U73" s="50">
        <v>0.61180555555555549</v>
      </c>
      <c r="V73" s="422">
        <v>5</v>
      </c>
      <c r="W73" s="433">
        <f t="shared" si="49"/>
        <v>108.99999999999993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-80.3669724770632</v>
      </c>
      <c r="AG73" s="424">
        <f>N73/K73</f>
        <v>0.94418960244648387</v>
      </c>
      <c r="AH73" s="602"/>
    </row>
    <row r="74" spans="1:34" ht="19.2" customHeight="1">
      <c r="A74" s="586"/>
      <c r="B74" s="422" t="s">
        <v>128</v>
      </c>
      <c r="C74" s="175"/>
      <c r="D74" s="176" t="s">
        <v>74</v>
      </c>
      <c r="E74" s="177"/>
      <c r="F74" s="355">
        <v>47.51</v>
      </c>
      <c r="G74" s="44">
        <v>1762</v>
      </c>
      <c r="H74" s="45">
        <f t="shared" si="50"/>
        <v>83712.62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1321.4999999999995</v>
      </c>
      <c r="O74" s="47">
        <f t="shared" si="46"/>
        <v>77.73529411764703</v>
      </c>
      <c r="P74" s="48">
        <f t="shared" si="47"/>
        <v>0</v>
      </c>
      <c r="Q74" s="49">
        <f t="shared" si="48"/>
        <v>-6.9705882352941444</v>
      </c>
      <c r="R74" s="424">
        <f t="shared" si="44"/>
        <v>0.91770833333333302</v>
      </c>
      <c r="S74" s="602"/>
      <c r="T74" s="50">
        <v>0.62708333333333321</v>
      </c>
      <c r="U74" s="50">
        <v>0.6826388888888888</v>
      </c>
      <c r="V74" s="422">
        <v>22</v>
      </c>
      <c r="W74" s="433">
        <f t="shared" si="49"/>
        <v>80.000000000000028</v>
      </c>
      <c r="X74" s="180">
        <v>0.6166666666666667</v>
      </c>
      <c r="Y74" s="180">
        <v>0.62638888888888888</v>
      </c>
      <c r="Z74" s="124"/>
      <c r="AA74" s="124"/>
      <c r="AB74" s="588"/>
      <c r="AC74" s="588"/>
      <c r="AD74" s="420"/>
      <c r="AE74" s="420"/>
      <c r="AF74" s="48">
        <f t="shared" ref="AF74:AF80" si="51">N74-K74</f>
        <v>-118.50000000000045</v>
      </c>
      <c r="AG74" s="424">
        <f t="shared" ref="AG74:AG80" si="52">N74/K74</f>
        <v>0.91770833333333302</v>
      </c>
      <c r="AH74" s="602"/>
    </row>
    <row r="75" spans="1:34" ht="19.2" customHeight="1">
      <c r="A75" s="586"/>
      <c r="B75" s="422" t="s">
        <v>128</v>
      </c>
      <c r="C75" s="66"/>
      <c r="D75" s="173" t="s">
        <v>71</v>
      </c>
      <c r="E75" s="43"/>
      <c r="F75" s="355">
        <v>47.65</v>
      </c>
      <c r="G75" s="57">
        <v>567.56000000000006</v>
      </c>
      <c r="H75" s="45">
        <f t="shared" si="50"/>
        <v>27044.234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1309.7538461538429</v>
      </c>
      <c r="O75" s="47">
        <f t="shared" si="46"/>
        <v>72.764102564102387</v>
      </c>
      <c r="P75" s="48">
        <f t="shared" si="47"/>
        <v>0</v>
      </c>
      <c r="Q75" s="49">
        <f t="shared" si="48"/>
        <v>-7.2358974358976127</v>
      </c>
      <c r="R75" s="424">
        <f t="shared" si="44"/>
        <v>0.90955128205127989</v>
      </c>
      <c r="S75" s="602"/>
      <c r="T75" s="50">
        <v>0.68819444444444433</v>
      </c>
      <c r="U75" s="50">
        <v>0.70624999999999993</v>
      </c>
      <c r="V75" s="422">
        <v>8</v>
      </c>
      <c r="W75" s="433">
        <f t="shared" si="49"/>
        <v>26.000000000000068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-130.24615384615709</v>
      </c>
      <c r="AG75" s="424">
        <f t="shared" si="52"/>
        <v>0.90955128205127977</v>
      </c>
      <c r="AH75" s="602"/>
    </row>
    <row r="76" spans="1:34" ht="19.2" customHeight="1">
      <c r="A76" s="586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2" customHeight="1">
      <c r="A77" s="586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2" customHeight="1">
      <c r="A78" s="586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2" customHeight="1">
      <c r="A79" s="586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2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2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2" customHeight="1">
      <c r="A82" s="629"/>
      <c r="B82" s="168">
        <v>0</v>
      </c>
      <c r="C82" s="100" t="s">
        <v>603</v>
      </c>
      <c r="D82" s="617" t="s">
        <v>593</v>
      </c>
      <c r="E82" s="617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1338.7632872539268</v>
      </c>
      <c r="O82" s="184">
        <f t="shared" si="53"/>
        <v>79.66470286371954</v>
      </c>
      <c r="P82" s="116">
        <f>M82-J82</f>
        <v>0</v>
      </c>
      <c r="Q82" s="117">
        <f>N82-K82</f>
        <v>-111.23671274607318</v>
      </c>
      <c r="R82" s="172">
        <f>O82/L82</f>
        <v>0.92340210790445798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1</v>
      </c>
      <c r="AF82" s="48">
        <f>N82-K82</f>
        <v>-111.23671274607318</v>
      </c>
      <c r="AG82" s="424">
        <f>N82/K82</f>
        <v>0.92328502569236337</v>
      </c>
      <c r="AH82" s="602"/>
    </row>
    <row r="83" spans="1:34" ht="19.2" customHeight="1">
      <c r="A83" s="630" t="s">
        <v>604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1756.3</v>
      </c>
      <c r="H83" s="84">
        <f t="shared" ref="H83:H94" si="54">F83*G83</f>
        <v>88991.721000000005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1386.552631578948</v>
      </c>
      <c r="O83" s="183">
        <f t="shared" ref="O83:O90" si="56">N83/M83</f>
        <v>77.030701754386001</v>
      </c>
      <c r="P83" s="54">
        <f t="shared" ref="P83:P90" si="57">M83-J83</f>
        <v>0</v>
      </c>
      <c r="Q83" s="88">
        <f t="shared" ref="Q83:Q90" si="58">O83-L83</f>
        <v>-6.3026315789473273</v>
      </c>
      <c r="R83" s="185">
        <f t="shared" ref="R83:R90" si="59">O83/L83</f>
        <v>0.92436842105263206</v>
      </c>
      <c r="S83" s="602">
        <f>R95</f>
        <v>0.90963399987502391</v>
      </c>
      <c r="T83" s="50">
        <v>0.33333333333333331</v>
      </c>
      <c r="U83" s="50">
        <v>0.38611111111111107</v>
      </c>
      <c r="V83" s="422">
        <v>5</v>
      </c>
      <c r="W83" s="433">
        <f t="shared" ref="W83:W93" si="60">(U83-T83)*24*60</f>
        <v>75.999999999999972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-113.44736842105203</v>
      </c>
      <c r="AG83" s="424">
        <f t="shared" ref="AG83:AG173" si="62">N83/K83</f>
        <v>0.92436842105263195</v>
      </c>
      <c r="AH83" s="602">
        <f>AG95</f>
        <v>0.90863991491644114</v>
      </c>
    </row>
    <row r="84" spans="1:34" ht="19.2" customHeight="1">
      <c r="A84" s="631"/>
      <c r="B84" s="110" t="s">
        <v>128</v>
      </c>
      <c r="C84" s="429"/>
      <c r="D84" s="186" t="s">
        <v>185</v>
      </c>
      <c r="E84" s="43"/>
      <c r="F84" s="362">
        <v>61.02</v>
      </c>
      <c r="G84" s="44">
        <v>2274</v>
      </c>
      <c r="H84" s="84">
        <f t="shared" si="54"/>
        <v>138759.48000000001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1378.1818181818176</v>
      </c>
      <c r="O84" s="183">
        <f t="shared" si="56"/>
        <v>81.069518716577505</v>
      </c>
      <c r="P84" s="54">
        <f t="shared" si="57"/>
        <v>0</v>
      </c>
      <c r="Q84" s="88">
        <f t="shared" si="58"/>
        <v>-3.6363636363636687</v>
      </c>
      <c r="R84" s="185">
        <f t="shared" si="59"/>
        <v>0.95707070707070674</v>
      </c>
      <c r="S84" s="602"/>
      <c r="T84" s="50">
        <v>0.40138888888888885</v>
      </c>
      <c r="U84" s="50">
        <v>0.47013888888888888</v>
      </c>
      <c r="V84" s="422">
        <v>22</v>
      </c>
      <c r="W84" s="433">
        <f t="shared" si="60"/>
        <v>99.000000000000043</v>
      </c>
      <c r="X84" s="53">
        <v>0.39027777777777778</v>
      </c>
      <c r="Y84" s="53">
        <v>0.39999999999999997</v>
      </c>
      <c r="Z84" s="54"/>
      <c r="AA84" s="54"/>
      <c r="AB84" s="588"/>
      <c r="AC84" s="588"/>
      <c r="AD84" s="420"/>
      <c r="AE84" s="420"/>
      <c r="AF84" s="48">
        <f t="shared" si="61"/>
        <v>-61.818181818182438</v>
      </c>
      <c r="AG84" s="424">
        <f t="shared" si="62"/>
        <v>0.95707070707070663</v>
      </c>
      <c r="AH84" s="602"/>
    </row>
    <row r="85" spans="1:34" ht="19.2" customHeight="1">
      <c r="A85" s="631"/>
      <c r="B85" s="110" t="s">
        <v>132</v>
      </c>
      <c r="C85" s="122"/>
      <c r="D85" s="186" t="s">
        <v>190</v>
      </c>
      <c r="E85" s="43"/>
      <c r="F85" s="362">
        <v>54.09</v>
      </c>
      <c r="G85" s="44">
        <v>963</v>
      </c>
      <c r="H85" s="84">
        <f t="shared" si="54"/>
        <v>52088.670000000006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1090.1886792452835</v>
      </c>
      <c r="O85" s="183">
        <f t="shared" si="56"/>
        <v>54.509433962264175</v>
      </c>
      <c r="P85" s="54">
        <f t="shared" si="57"/>
        <v>0</v>
      </c>
      <c r="Q85" s="88">
        <f t="shared" si="58"/>
        <v>-10.490566037735825</v>
      </c>
      <c r="R85" s="185">
        <f t="shared" si="59"/>
        <v>0.83860667634252573</v>
      </c>
      <c r="S85" s="602"/>
      <c r="T85" s="50">
        <v>0.51041666666666663</v>
      </c>
      <c r="U85" s="50">
        <v>0.54722222222222217</v>
      </c>
      <c r="V85" s="422">
        <v>5</v>
      </c>
      <c r="W85" s="433">
        <f t="shared" si="60"/>
        <v>52.999999999999972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-209.81132075471646</v>
      </c>
      <c r="AG85" s="424">
        <f t="shared" si="62"/>
        <v>0.83860667634252584</v>
      </c>
      <c r="AH85" s="602"/>
    </row>
    <row r="86" spans="1:34" ht="19.2" customHeight="1">
      <c r="A86" s="631"/>
      <c r="B86" s="110" t="s">
        <v>128</v>
      </c>
      <c r="C86" s="97"/>
      <c r="D86" s="186" t="s">
        <v>203</v>
      </c>
      <c r="E86" s="43"/>
      <c r="F86" s="362">
        <v>61.09</v>
      </c>
      <c r="G86" s="44">
        <v>1803</v>
      </c>
      <c r="H86" s="84">
        <f t="shared" si="54"/>
        <v>110145.27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1303.3734939759031</v>
      </c>
      <c r="O86" s="183">
        <f t="shared" si="56"/>
        <v>76.669029057406064</v>
      </c>
      <c r="P86" s="54">
        <f t="shared" si="57"/>
        <v>0</v>
      </c>
      <c r="Q86" s="88">
        <f t="shared" si="58"/>
        <v>-8.03685329553511</v>
      </c>
      <c r="R86" s="185">
        <f t="shared" si="59"/>
        <v>0.90512048192771055</v>
      </c>
      <c r="S86" s="602"/>
      <c r="T86" s="50">
        <v>0.5527777777777777</v>
      </c>
      <c r="U86" s="50">
        <v>0.61041666666666661</v>
      </c>
      <c r="V86" s="422">
        <v>8</v>
      </c>
      <c r="W86" s="433">
        <f t="shared" si="60"/>
        <v>83.000000000000028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-136.6265060240969</v>
      </c>
      <c r="AG86" s="424">
        <f t="shared" si="62"/>
        <v>0.90512048192771044</v>
      </c>
      <c r="AH86" s="602"/>
    </row>
    <row r="87" spans="1:34" ht="19.2" customHeight="1">
      <c r="A87" s="631"/>
      <c r="B87" s="110" t="s">
        <v>129</v>
      </c>
      <c r="C87" s="97"/>
      <c r="D87" s="186" t="s">
        <v>186</v>
      </c>
      <c r="E87" s="43"/>
      <c r="F87" s="362">
        <v>56.43</v>
      </c>
      <c r="G87" s="44">
        <v>667.44999999999993</v>
      </c>
      <c r="H87" s="84">
        <f t="shared" si="54"/>
        <v>37664.203499999996</v>
      </c>
      <c r="I87" s="422">
        <v>1</v>
      </c>
      <c r="J87" s="87">
        <v>16</v>
      </c>
      <c r="K87" s="57">
        <v>1500</v>
      </c>
      <c r="L87" s="86">
        <v>93.75</v>
      </c>
      <c r="M87" s="431">
        <v>16</v>
      </c>
      <c r="N87" s="57">
        <f t="shared" si="55"/>
        <v>1334.8999999999976</v>
      </c>
      <c r="O87" s="183">
        <f t="shared" si="56"/>
        <v>83.431249999999849</v>
      </c>
      <c r="P87" s="54">
        <f t="shared" si="57"/>
        <v>0</v>
      </c>
      <c r="Q87" s="88">
        <f t="shared" si="58"/>
        <v>-10.318750000000151</v>
      </c>
      <c r="R87" s="185">
        <f t="shared" si="59"/>
        <v>0.88993333333333169</v>
      </c>
      <c r="S87" s="602"/>
      <c r="T87" s="50">
        <v>0.62569444444444433</v>
      </c>
      <c r="U87" s="50">
        <v>0.6465277777777777</v>
      </c>
      <c r="V87" s="422">
        <v>22</v>
      </c>
      <c r="W87" s="433">
        <f t="shared" si="60"/>
        <v>30.000000000000053</v>
      </c>
      <c r="X87" s="53">
        <v>0.61458333333333337</v>
      </c>
      <c r="Y87" s="53">
        <v>0.625</v>
      </c>
      <c r="Z87" s="54"/>
      <c r="AA87" s="54"/>
      <c r="AB87" s="588"/>
      <c r="AC87" s="588"/>
      <c r="AD87" s="420"/>
      <c r="AE87" s="420">
        <v>1</v>
      </c>
      <c r="AF87" s="48">
        <f t="shared" si="61"/>
        <v>-165.10000000000241</v>
      </c>
      <c r="AG87" s="424">
        <f t="shared" si="62"/>
        <v>0.88993333333333169</v>
      </c>
      <c r="AH87" s="602"/>
    </row>
    <row r="88" spans="1:34" ht="19.2" customHeight="1">
      <c r="A88" s="631"/>
      <c r="B88" s="110" t="s">
        <v>130</v>
      </c>
      <c r="C88" s="429"/>
      <c r="D88" s="186" t="s">
        <v>61</v>
      </c>
      <c r="E88" s="43"/>
      <c r="F88" s="362">
        <v>43.14</v>
      </c>
      <c r="G88" s="57">
        <v>602.69999999999993</v>
      </c>
      <c r="H88" s="84">
        <f t="shared" si="54"/>
        <v>26000.477999999999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1339.3333333333298</v>
      </c>
      <c r="O88" s="183">
        <f t="shared" si="56"/>
        <v>83.708333333333115</v>
      </c>
      <c r="P88" s="54">
        <f t="shared" si="57"/>
        <v>0</v>
      </c>
      <c r="Q88" s="88">
        <f t="shared" si="58"/>
        <v>-6.2916666666668846</v>
      </c>
      <c r="R88" s="185">
        <f t="shared" si="59"/>
        <v>0.93009259259259014</v>
      </c>
      <c r="S88" s="602"/>
      <c r="T88" s="50">
        <v>0.6513888888888888</v>
      </c>
      <c r="U88" s="50">
        <v>0.67013888888888884</v>
      </c>
      <c r="V88" s="422">
        <v>7</v>
      </c>
      <c r="W88" s="433">
        <f t="shared" si="60"/>
        <v>27.000000000000064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-100.66666666667015</v>
      </c>
      <c r="AG88" s="424">
        <f t="shared" si="62"/>
        <v>0.93009259259259014</v>
      </c>
      <c r="AH88" s="602"/>
    </row>
    <row r="89" spans="1:34" ht="19.2" customHeight="1">
      <c r="A89" s="631"/>
      <c r="B89" s="110" t="s">
        <v>127</v>
      </c>
      <c r="C89" s="429"/>
      <c r="D89" s="42" t="s">
        <v>52</v>
      </c>
      <c r="E89" s="43"/>
      <c r="F89" s="362">
        <v>37.83</v>
      </c>
      <c r="G89" s="114">
        <v>3425.45</v>
      </c>
      <c r="H89" s="84">
        <f t="shared" si="54"/>
        <v>129584.77349999998</v>
      </c>
      <c r="I89" s="422">
        <v>1</v>
      </c>
      <c r="J89" s="87">
        <v>20</v>
      </c>
      <c r="K89" s="57">
        <v>2400</v>
      </c>
      <c r="L89" s="86">
        <v>120</v>
      </c>
      <c r="M89" s="431">
        <v>20</v>
      </c>
      <c r="N89" s="57">
        <f t="shared" si="55"/>
        <v>2233.9891304347825</v>
      </c>
      <c r="O89" s="183">
        <f t="shared" si="56"/>
        <v>111.69945652173912</v>
      </c>
      <c r="P89" s="54">
        <f t="shared" si="57"/>
        <v>0</v>
      </c>
      <c r="Q89" s="88">
        <f t="shared" si="58"/>
        <v>-8.3005434782608774</v>
      </c>
      <c r="R89" s="185">
        <f t="shared" si="59"/>
        <v>0.930828804347826</v>
      </c>
      <c r="S89" s="602"/>
      <c r="T89" s="50">
        <v>0.67499999999999993</v>
      </c>
      <c r="U89" s="50">
        <v>0.73888888888888882</v>
      </c>
      <c r="V89" s="422">
        <v>7</v>
      </c>
      <c r="W89" s="433">
        <f t="shared" si="60"/>
        <v>92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-166.01086956521749</v>
      </c>
      <c r="AG89" s="424">
        <f t="shared" si="62"/>
        <v>0.930828804347826</v>
      </c>
      <c r="AH89" s="602"/>
    </row>
    <row r="90" spans="1:34" ht="19.2" customHeight="1">
      <c r="A90" s="631"/>
      <c r="B90" s="110" t="s">
        <v>127</v>
      </c>
      <c r="C90" s="429"/>
      <c r="D90" s="42" t="s">
        <v>367</v>
      </c>
      <c r="E90" s="43"/>
      <c r="F90" s="362">
        <v>43.96</v>
      </c>
      <c r="G90" s="127">
        <v>744.6</v>
      </c>
      <c r="H90" s="84">
        <f t="shared" si="54"/>
        <v>32732.616000000002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2127.4285714285788</v>
      </c>
      <c r="O90" s="183">
        <f t="shared" si="56"/>
        <v>106.37142857142894</v>
      </c>
      <c r="P90" s="54">
        <f t="shared" si="57"/>
        <v>0</v>
      </c>
      <c r="Q90" s="88">
        <f t="shared" si="58"/>
        <v>-13.628571428571064</v>
      </c>
      <c r="R90" s="185">
        <f t="shared" si="59"/>
        <v>0.88642857142857445</v>
      </c>
      <c r="S90" s="602"/>
      <c r="T90" s="50">
        <v>0.74444444444444435</v>
      </c>
      <c r="U90" s="50">
        <v>0.75902777777777763</v>
      </c>
      <c r="V90" s="422">
        <v>8</v>
      </c>
      <c r="W90" s="433">
        <f t="shared" si="60"/>
        <v>20.999999999999925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-272.57142857142117</v>
      </c>
      <c r="AG90" s="424">
        <f t="shared" si="62"/>
        <v>0.88642857142857456</v>
      </c>
      <c r="AH90" s="602"/>
    </row>
    <row r="91" spans="1:34" ht="19.2" customHeight="1">
      <c r="A91" s="631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2" customHeight="1">
      <c r="A92" s="631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2" customHeight="1">
      <c r="A93" s="631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2" customHeight="1">
      <c r="A94" s="631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2" customHeight="1">
      <c r="A95" s="631"/>
      <c r="B95" s="200">
        <v>0</v>
      </c>
      <c r="C95" s="100" t="s">
        <v>605</v>
      </c>
      <c r="D95" s="617" t="s">
        <v>593</v>
      </c>
      <c r="E95" s="617"/>
      <c r="F95" s="356"/>
      <c r="G95" s="70"/>
      <c r="H95" s="201"/>
      <c r="I95" s="103"/>
      <c r="J95" s="202">
        <v>18</v>
      </c>
      <c r="K95" s="202">
        <v>1677.5</v>
      </c>
      <c r="L95" s="203">
        <v>92.686887254901961</v>
      </c>
      <c r="M95" s="202">
        <f t="shared" ref="M95:O95" si="63">AVERAGE(M83:M94)</f>
        <v>18</v>
      </c>
      <c r="N95" s="202">
        <f t="shared" si="63"/>
        <v>1524.24345727233</v>
      </c>
      <c r="O95" s="203">
        <f t="shared" si="63"/>
        <v>84.311143989641849</v>
      </c>
      <c r="P95" s="204">
        <f>M95-J95</f>
        <v>0</v>
      </c>
      <c r="Q95" s="205">
        <f t="shared" ref="Q95:Q104" si="64">O95-L95</f>
        <v>-8.3757432652601125</v>
      </c>
      <c r="R95" s="206">
        <f>O95/L95</f>
        <v>0.90963399987502391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1</v>
      </c>
      <c r="AF95" s="65">
        <f t="shared" si="61"/>
        <v>-153.25654272766997</v>
      </c>
      <c r="AG95" s="425">
        <f t="shared" si="62"/>
        <v>0.90863991491644114</v>
      </c>
      <c r="AH95" s="603"/>
    </row>
    <row r="96" spans="1:34" ht="19.2" customHeight="1">
      <c r="A96" s="633" t="s">
        <v>606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1751</v>
      </c>
      <c r="H96" s="45">
        <f t="shared" ref="H96:H105" si="65">F96*G96</f>
        <v>51584.46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4" si="66">G96/W96*60</f>
        <v>1129.677419354839</v>
      </c>
      <c r="O96" s="47">
        <f t="shared" ref="O96:O104" si="67">N96/M96</f>
        <v>70.604838709677438</v>
      </c>
      <c r="P96" s="48">
        <f t="shared" ref="P96:P104" si="68">M96-J96</f>
        <v>0</v>
      </c>
      <c r="Q96" s="49">
        <f t="shared" si="64"/>
        <v>-19.395161290322562</v>
      </c>
      <c r="R96" s="424">
        <f t="shared" ref="R96:R104" si="69">O96/L96</f>
        <v>0.78449820788530489</v>
      </c>
      <c r="S96" s="602">
        <f>R108</f>
        <v>0.87651096488833635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-310.322580645161</v>
      </c>
      <c r="AG96" s="421">
        <f t="shared" si="62"/>
        <v>0.78449820788530489</v>
      </c>
      <c r="AH96" s="611">
        <f>AG108</f>
        <v>0.84654784306309472</v>
      </c>
    </row>
    <row r="97" spans="1:34" s="215" customFormat="1" ht="19.2" customHeight="1">
      <c r="A97" s="633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2394.7600000000002</v>
      </c>
      <c r="H97" s="210">
        <f t="shared" si="65"/>
        <v>69719.006727828746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1318.2165137614677</v>
      </c>
      <c r="O97" s="47">
        <f t="shared" si="67"/>
        <v>73.234250764525981</v>
      </c>
      <c r="P97" s="48">
        <f t="shared" si="68"/>
        <v>-2</v>
      </c>
      <c r="Q97" s="49">
        <f t="shared" si="64"/>
        <v>-1.7657492354740185</v>
      </c>
      <c r="R97" s="424">
        <f t="shared" si="69"/>
        <v>0.97645667686034643</v>
      </c>
      <c r="S97" s="602"/>
      <c r="T97" s="211">
        <v>0.4145833333333333</v>
      </c>
      <c r="U97" s="211">
        <v>0.49027777777777776</v>
      </c>
      <c r="V97" s="212">
        <v>24</v>
      </c>
      <c r="W97" s="90">
        <f t="shared" si="70"/>
        <v>109.00000000000001</v>
      </c>
      <c r="X97" s="53">
        <v>0.40138888888888885</v>
      </c>
      <c r="Y97" s="53">
        <v>0.41319444444444442</v>
      </c>
      <c r="Z97" s="54"/>
      <c r="AA97" s="54"/>
      <c r="AB97" s="588"/>
      <c r="AC97" s="588"/>
      <c r="AD97" s="212"/>
      <c r="AE97" s="212"/>
      <c r="AF97" s="213">
        <f t="shared" si="61"/>
        <v>-181.7834862385323</v>
      </c>
      <c r="AG97" s="214">
        <f t="shared" si="62"/>
        <v>0.87881100917431176</v>
      </c>
      <c r="AH97" s="611"/>
    </row>
    <row r="98" spans="1:34" s="218" customFormat="1" ht="19.2" customHeight="1">
      <c r="A98" s="633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441</v>
      </c>
      <c r="H98" s="210">
        <f t="shared" si="65"/>
        <v>34111.35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1102.4999999999966</v>
      </c>
      <c r="O98" s="47">
        <f t="shared" si="67"/>
        <v>61.249999999999808</v>
      </c>
      <c r="P98" s="48">
        <f t="shared" si="68"/>
        <v>-1</v>
      </c>
      <c r="Q98" s="49">
        <f t="shared" si="64"/>
        <v>-14.539473684210712</v>
      </c>
      <c r="R98" s="424">
        <f t="shared" si="69"/>
        <v>0.80815972222221977</v>
      </c>
      <c r="S98" s="602"/>
      <c r="T98" s="89">
        <v>0.53055555555555556</v>
      </c>
      <c r="U98" s="89">
        <v>0.54722222222222228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-337.50000000000341</v>
      </c>
      <c r="AG98" s="421">
        <f t="shared" si="62"/>
        <v>0.76562499999999767</v>
      </c>
      <c r="AH98" s="611"/>
    </row>
    <row r="99" spans="1:34" ht="19.2" customHeight="1">
      <c r="A99" s="633"/>
      <c r="B99" s="422" t="s">
        <v>128</v>
      </c>
      <c r="C99" s="81"/>
      <c r="D99" s="82" t="s">
        <v>58</v>
      </c>
      <c r="E99" s="83"/>
      <c r="F99" s="366">
        <v>77.34</v>
      </c>
      <c r="G99" s="57">
        <v>962</v>
      </c>
      <c r="H99" s="210">
        <f t="shared" si="65"/>
        <v>74401.08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1311.8181818181818</v>
      </c>
      <c r="O99" s="47">
        <f t="shared" si="67"/>
        <v>72.878787878787875</v>
      </c>
      <c r="P99" s="48">
        <f t="shared" si="68"/>
        <v>0</v>
      </c>
      <c r="Q99" s="49">
        <f t="shared" si="64"/>
        <v>-7.1212121212121247</v>
      </c>
      <c r="R99" s="424">
        <f t="shared" si="69"/>
        <v>0.9109848484848484</v>
      </c>
      <c r="S99" s="602"/>
      <c r="T99" s="89">
        <v>0.55208333333333337</v>
      </c>
      <c r="U99" s="89">
        <v>0.58263888888888893</v>
      </c>
      <c r="V99" s="420">
        <v>7</v>
      </c>
      <c r="W99" s="90">
        <f t="shared" si="70"/>
        <v>44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-128.18181818181824</v>
      </c>
      <c r="AG99" s="214">
        <f t="shared" si="62"/>
        <v>0.9109848484848484</v>
      </c>
      <c r="AH99" s="611"/>
    </row>
    <row r="100" spans="1:34" s="218" customFormat="1" ht="19.2" customHeight="1">
      <c r="A100" s="633"/>
      <c r="B100" s="422" t="s">
        <v>128</v>
      </c>
      <c r="C100" s="55"/>
      <c r="D100" s="42" t="s">
        <v>57</v>
      </c>
      <c r="E100" s="83"/>
      <c r="F100" s="366">
        <v>71.55</v>
      </c>
      <c r="G100" s="57">
        <v>810</v>
      </c>
      <c r="H100" s="210">
        <f t="shared" si="65"/>
        <v>57955.5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1214.9999999999995</v>
      </c>
      <c r="O100" s="47">
        <f t="shared" si="67"/>
        <v>67.499999999999972</v>
      </c>
      <c r="P100" s="48">
        <f t="shared" si="68"/>
        <v>0</v>
      </c>
      <c r="Q100" s="49">
        <f t="shared" si="64"/>
        <v>-9.4444444444444713</v>
      </c>
      <c r="R100" s="424">
        <f t="shared" si="69"/>
        <v>0.87725631768953038</v>
      </c>
      <c r="S100" s="602"/>
      <c r="T100" s="211">
        <v>0.58680555555555558</v>
      </c>
      <c r="U100" s="211">
        <v>0.61458333333333337</v>
      </c>
      <c r="V100" s="212">
        <v>6</v>
      </c>
      <c r="W100" s="90">
        <f t="shared" si="70"/>
        <v>40.000000000000014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-170.00000000000045</v>
      </c>
      <c r="AG100" s="421">
        <f t="shared" si="62"/>
        <v>0.87725631768953038</v>
      </c>
      <c r="AH100" s="611"/>
    </row>
    <row r="101" spans="1:34" s="218" customFormat="1" ht="19.2" customHeight="1">
      <c r="A101" s="633"/>
      <c r="B101" s="422" t="s">
        <v>128</v>
      </c>
      <c r="C101" s="55"/>
      <c r="D101" s="82" t="s">
        <v>56</v>
      </c>
      <c r="E101" s="83"/>
      <c r="F101" s="366">
        <v>59.34</v>
      </c>
      <c r="G101" s="57">
        <v>670</v>
      </c>
      <c r="H101" s="210">
        <f t="shared" si="65"/>
        <v>39757.800000000003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1296.774193548385</v>
      </c>
      <c r="O101" s="47">
        <f t="shared" si="67"/>
        <v>76.280834914610878</v>
      </c>
      <c r="P101" s="48">
        <f t="shared" si="68"/>
        <v>0</v>
      </c>
      <c r="Q101" s="49">
        <f t="shared" si="64"/>
        <v>-8.4250474383302958</v>
      </c>
      <c r="R101" s="424">
        <f t="shared" si="69"/>
        <v>0.90053763440860068</v>
      </c>
      <c r="S101" s="602"/>
      <c r="T101" s="211">
        <v>0.63055555555555554</v>
      </c>
      <c r="U101" s="89">
        <v>0.65208333333333335</v>
      </c>
      <c r="V101" s="212">
        <v>23</v>
      </c>
      <c r="W101" s="90">
        <f t="shared" si="70"/>
        <v>31.00000000000005</v>
      </c>
      <c r="X101" s="220">
        <v>0.61944444444444446</v>
      </c>
      <c r="Y101" s="220">
        <v>0.62986111111111109</v>
      </c>
      <c r="Z101" s="217"/>
      <c r="AA101" s="217"/>
      <c r="AB101" s="588"/>
      <c r="AC101" s="588"/>
      <c r="AD101" s="420"/>
      <c r="AE101" s="420"/>
      <c r="AF101" s="213">
        <f t="shared" si="61"/>
        <v>-143.22580645161497</v>
      </c>
      <c r="AG101" s="214">
        <f t="shared" si="62"/>
        <v>0.90053763440860068</v>
      </c>
      <c r="AH101" s="611"/>
    </row>
    <row r="102" spans="1:34" s="218" customFormat="1" ht="19.2" customHeight="1">
      <c r="A102" s="633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766</v>
      </c>
      <c r="H102" s="210">
        <f t="shared" si="65"/>
        <v>39640.5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1276.6666666666656</v>
      </c>
      <c r="O102" s="47">
        <f t="shared" si="67"/>
        <v>60.793650793650741</v>
      </c>
      <c r="P102" s="48">
        <f t="shared" si="68"/>
        <v>0</v>
      </c>
      <c r="Q102" s="49">
        <f t="shared" si="64"/>
        <v>-10.63492063492069</v>
      </c>
      <c r="R102" s="424">
        <f t="shared" si="69"/>
        <v>0.85111111111111037</v>
      </c>
      <c r="S102" s="602"/>
      <c r="T102" s="211">
        <v>0.65694444444444444</v>
      </c>
      <c r="U102" s="211">
        <v>0.68194444444444446</v>
      </c>
      <c r="V102" s="212">
        <v>7</v>
      </c>
      <c r="W102" s="90">
        <f t="shared" si="70"/>
        <v>36.000000000000028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-223.33333333333439</v>
      </c>
      <c r="AG102" s="421">
        <f t="shared" si="62"/>
        <v>0.85111111111111037</v>
      </c>
      <c r="AH102" s="611"/>
    </row>
    <row r="103" spans="1:34" s="218" customFormat="1" ht="19.2" customHeight="1">
      <c r="A103" s="633"/>
      <c r="B103" s="422" t="s">
        <v>130</v>
      </c>
      <c r="C103" s="221"/>
      <c r="D103" s="82" t="s">
        <v>65</v>
      </c>
      <c r="E103" s="83"/>
      <c r="F103" s="366">
        <v>29.113149847094796</v>
      </c>
      <c r="G103" s="57">
        <v>756.24</v>
      </c>
      <c r="H103" s="210">
        <f t="shared" si="65"/>
        <v>22016.528440366968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1296.4114285714272</v>
      </c>
      <c r="O103" s="47">
        <f t="shared" si="67"/>
        <v>72.022857142857063</v>
      </c>
      <c r="P103" s="48">
        <f t="shared" si="68"/>
        <v>-2</v>
      </c>
      <c r="Q103" s="49">
        <f t="shared" si="64"/>
        <v>-2.9771428571429368</v>
      </c>
      <c r="R103" s="424">
        <f t="shared" si="69"/>
        <v>0.96030476190476088</v>
      </c>
      <c r="S103" s="602"/>
      <c r="T103" s="211">
        <v>0.68680555555555556</v>
      </c>
      <c r="U103" s="211">
        <v>0.71111111111111114</v>
      </c>
      <c r="V103" s="212">
        <v>7</v>
      </c>
      <c r="W103" s="90">
        <f t="shared" si="70"/>
        <v>35.000000000000036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-203.58857142857278</v>
      </c>
      <c r="AG103" s="421">
        <f t="shared" si="62"/>
        <v>0.86427428571428477</v>
      </c>
      <c r="AH103" s="611"/>
    </row>
    <row r="104" spans="1:34" s="218" customFormat="1" ht="19.2" customHeight="1">
      <c r="A104" s="633"/>
      <c r="B104" s="422" t="s">
        <v>129</v>
      </c>
      <c r="C104" s="223"/>
      <c r="D104" s="82" t="s">
        <v>210</v>
      </c>
      <c r="E104" s="83"/>
      <c r="F104" s="366">
        <v>44.3</v>
      </c>
      <c r="G104" s="209">
        <v>1036.75</v>
      </c>
      <c r="H104" s="210">
        <f t="shared" si="65"/>
        <v>45928.024999999994</v>
      </c>
      <c r="I104" s="221">
        <v>1</v>
      </c>
      <c r="J104" s="46">
        <v>17</v>
      </c>
      <c r="K104" s="44">
        <v>1636</v>
      </c>
      <c r="L104" s="47">
        <v>96.235294117647058</v>
      </c>
      <c r="M104" s="87">
        <v>16</v>
      </c>
      <c r="N104" s="44">
        <f t="shared" si="66"/>
        <v>1295.9375000000005</v>
      </c>
      <c r="O104" s="47">
        <f t="shared" si="67"/>
        <v>80.996093750000028</v>
      </c>
      <c r="P104" s="48">
        <f t="shared" si="68"/>
        <v>-1</v>
      </c>
      <c r="Q104" s="49">
        <f t="shared" si="64"/>
        <v>-15.23920036764703</v>
      </c>
      <c r="R104" s="424">
        <f t="shared" si="69"/>
        <v>0.84164645094743307</v>
      </c>
      <c r="S104" s="603"/>
      <c r="T104" s="211">
        <v>0.71527777777777779</v>
      </c>
      <c r="U104" s="211">
        <v>0.74861111111111112</v>
      </c>
      <c r="V104" s="212">
        <v>6</v>
      </c>
      <c r="W104" s="90">
        <f t="shared" si="70"/>
        <v>47.999999999999986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-340.06249999999955</v>
      </c>
      <c r="AG104" s="214">
        <f t="shared" si="62"/>
        <v>0.79213783618581934</v>
      </c>
      <c r="AH104" s="611"/>
    </row>
    <row r="105" spans="1:34" s="218" customFormat="1" ht="19.2" customHeight="1">
      <c r="A105" s="633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2" customHeight="1">
      <c r="A106" s="633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2" customHeight="1">
      <c r="A107" s="633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2" customHeight="1">
      <c r="A108" s="633"/>
      <c r="B108" s="110">
        <v>0</v>
      </c>
      <c r="C108" s="100" t="s">
        <v>607</v>
      </c>
      <c r="D108" s="617" t="s">
        <v>593</v>
      </c>
      <c r="E108" s="617"/>
      <c r="F108" s="367"/>
      <c r="G108" s="101"/>
      <c r="H108" s="102"/>
      <c r="I108" s="103"/>
      <c r="J108" s="101">
        <v>18.444444444444443</v>
      </c>
      <c r="K108" s="101">
        <v>1475.6666666666667</v>
      </c>
      <c r="L108" s="104">
        <v>80.567074003090511</v>
      </c>
      <c r="M108" s="101">
        <f t="shared" ref="M108:O108" si="71">AVERAGE(M96:M107)</f>
        <v>17.777777777777779</v>
      </c>
      <c r="N108" s="101">
        <f t="shared" si="71"/>
        <v>1249.2224337467735</v>
      </c>
      <c r="O108" s="104">
        <f t="shared" si="71"/>
        <v>70.617923772678864</v>
      </c>
      <c r="P108" s="54">
        <f t="shared" ref="P108:P117" si="72">M108-J108</f>
        <v>-0.6666666666666643</v>
      </c>
      <c r="Q108" s="88">
        <f t="shared" ref="Q108:Q117" si="73">O108-L108</f>
        <v>-9.9491502304116466</v>
      </c>
      <c r="R108" s="105">
        <f t="shared" ref="R108:R117" si="74">O108/L108</f>
        <v>0.87651096488833635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-226.44423291989324</v>
      </c>
      <c r="AG108" s="421">
        <f t="shared" si="62"/>
        <v>0.84654784306309472</v>
      </c>
      <c r="AH108" s="611"/>
    </row>
    <row r="109" spans="1:34" ht="19.2" customHeight="1">
      <c r="A109" s="634" t="s">
        <v>608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875</v>
      </c>
      <c r="H109" s="45">
        <f t="shared" ref="H109:H119" si="75">F109*G109</f>
        <v>49376.25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1312.4999999999995</v>
      </c>
      <c r="O109" s="47">
        <f t="shared" ref="O109:O117" si="77">N109/M109</f>
        <v>72.916666666666643</v>
      </c>
      <c r="P109" s="48">
        <f t="shared" si="72"/>
        <v>0</v>
      </c>
      <c r="Q109" s="49">
        <f t="shared" si="73"/>
        <v>-10.416666666666686</v>
      </c>
      <c r="R109" s="424">
        <f t="shared" si="74"/>
        <v>0.87499999999999978</v>
      </c>
      <c r="S109" s="637">
        <f>R121</f>
        <v>0.87728115843097676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-187.50000000000045</v>
      </c>
      <c r="AG109" s="125">
        <f t="shared" si="62"/>
        <v>0.87499999999999967</v>
      </c>
      <c r="AH109" s="611">
        <f>AG121</f>
        <v>0.87747610883659066</v>
      </c>
    </row>
    <row r="110" spans="1:34" ht="19.2" customHeight="1">
      <c r="A110" s="635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1293</v>
      </c>
      <c r="H110" s="45">
        <f t="shared" si="75"/>
        <v>76985.22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1293.0000000000014</v>
      </c>
      <c r="O110" s="47">
        <f t="shared" si="77"/>
        <v>71.833333333333414</v>
      </c>
      <c r="P110" s="48">
        <f t="shared" si="72"/>
        <v>0</v>
      </c>
      <c r="Q110" s="49">
        <f t="shared" si="73"/>
        <v>-5.111111111111029</v>
      </c>
      <c r="R110" s="424">
        <f t="shared" si="74"/>
        <v>0.93357400722021766</v>
      </c>
      <c r="S110" s="638"/>
      <c r="T110" s="226">
        <v>0.53263888888888888</v>
      </c>
      <c r="U110" s="226">
        <v>0.57430555555555551</v>
      </c>
      <c r="V110" s="227">
        <v>7</v>
      </c>
      <c r="W110" s="433">
        <f t="shared" si="70"/>
        <v>59.999999999999943</v>
      </c>
      <c r="X110" s="188"/>
      <c r="Y110" s="188"/>
      <c r="Z110" s="54"/>
      <c r="AA110" s="54"/>
      <c r="AB110" s="588"/>
      <c r="AC110" s="588"/>
      <c r="AD110" s="420">
        <v>1</v>
      </c>
      <c r="AE110" s="420"/>
      <c r="AF110" s="48">
        <f t="shared" si="61"/>
        <v>-91.999999999998636</v>
      </c>
      <c r="AG110" s="125">
        <f t="shared" si="62"/>
        <v>0.93357400722021755</v>
      </c>
      <c r="AH110" s="611"/>
    </row>
    <row r="111" spans="1:34" ht="19.2" customHeight="1">
      <c r="A111" s="635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1423</v>
      </c>
      <c r="H111" s="45">
        <f t="shared" si="75"/>
        <v>72103.41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1377.0967741935497</v>
      </c>
      <c r="O111" s="47">
        <f t="shared" si="77"/>
        <v>76.505376344086088</v>
      </c>
      <c r="P111" s="48">
        <f t="shared" si="72"/>
        <v>0</v>
      </c>
      <c r="Q111" s="49">
        <f t="shared" si="73"/>
        <v>-6.8279569892472409</v>
      </c>
      <c r="R111" s="424">
        <f t="shared" si="74"/>
        <v>0.91806451612903306</v>
      </c>
      <c r="S111" s="638"/>
      <c r="T111" s="226">
        <v>0.59027777777777768</v>
      </c>
      <c r="U111" s="226">
        <v>0.63333333333333319</v>
      </c>
      <c r="V111" s="227">
        <v>23</v>
      </c>
      <c r="W111" s="433">
        <f t="shared" si="70"/>
        <v>61.999999999999943</v>
      </c>
      <c r="X111" s="53">
        <v>0.57916666666666672</v>
      </c>
      <c r="Y111" s="53">
        <v>0.58888888888888891</v>
      </c>
      <c r="Z111" s="54"/>
      <c r="AA111" s="54"/>
      <c r="AB111" s="588"/>
      <c r="AC111" s="588"/>
      <c r="AD111" s="420"/>
      <c r="AE111" s="420"/>
      <c r="AF111" s="48">
        <f t="shared" si="61"/>
        <v>-122.90322580645034</v>
      </c>
      <c r="AG111" s="125">
        <f t="shared" si="62"/>
        <v>0.91806451612903306</v>
      </c>
      <c r="AH111" s="611"/>
    </row>
    <row r="112" spans="1:34" ht="19.2" customHeight="1">
      <c r="A112" s="635"/>
      <c r="B112" s="422" t="s">
        <v>128</v>
      </c>
      <c r="C112" s="175"/>
      <c r="D112" s="176" t="s">
        <v>72</v>
      </c>
      <c r="E112" s="83"/>
      <c r="F112" s="355">
        <v>53.36</v>
      </c>
      <c r="G112" s="57">
        <v>1118.26</v>
      </c>
      <c r="H112" s="45">
        <f t="shared" si="75"/>
        <v>59670.353600000002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1315.6000000000006</v>
      </c>
      <c r="O112" s="47">
        <f t="shared" si="77"/>
        <v>69.242105263157924</v>
      </c>
      <c r="P112" s="48">
        <f t="shared" si="72"/>
        <v>0</v>
      </c>
      <c r="Q112" s="49">
        <f t="shared" si="73"/>
        <v>-6.547368421052596</v>
      </c>
      <c r="R112" s="424">
        <f t="shared" si="74"/>
        <v>0.9136111111111116</v>
      </c>
      <c r="S112" s="638"/>
      <c r="T112" s="226">
        <v>0.63819444444444429</v>
      </c>
      <c r="U112" s="226">
        <v>0.67361111111111094</v>
      </c>
      <c r="V112" s="227">
        <v>7</v>
      </c>
      <c r="W112" s="433">
        <f t="shared" si="70"/>
        <v>50.999999999999979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-124.39999999999941</v>
      </c>
      <c r="AG112" s="125">
        <f t="shared" si="62"/>
        <v>0.91361111111111148</v>
      </c>
      <c r="AH112" s="611"/>
    </row>
    <row r="113" spans="1:34" s="218" customFormat="1" ht="19.2" customHeight="1">
      <c r="A113" s="635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1528</v>
      </c>
      <c r="H113" s="45">
        <f t="shared" si="75"/>
        <v>43654.96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1410.4615384615329</v>
      </c>
      <c r="O113" s="47">
        <f t="shared" si="77"/>
        <v>117.53846153846108</v>
      </c>
      <c r="P113" s="48">
        <f t="shared" si="72"/>
        <v>0</v>
      </c>
      <c r="Q113" s="49">
        <f t="shared" si="73"/>
        <v>-7.4615384615389218</v>
      </c>
      <c r="R113" s="424">
        <f t="shared" si="74"/>
        <v>0.94030769230768863</v>
      </c>
      <c r="S113" s="638"/>
      <c r="T113" s="226">
        <v>0.71180555555555547</v>
      </c>
      <c r="U113" s="226">
        <v>0.75694444444444453</v>
      </c>
      <c r="V113" s="227">
        <v>5</v>
      </c>
      <c r="W113" s="433">
        <f t="shared" si="70"/>
        <v>65.000000000000256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-89.538461538467118</v>
      </c>
      <c r="AG113" s="125">
        <f t="shared" si="62"/>
        <v>0.94030769230768863</v>
      </c>
      <c r="AH113" s="611"/>
    </row>
    <row r="114" spans="1:34" s="218" customFormat="1" ht="19.2" customHeight="1">
      <c r="A114" s="635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414</v>
      </c>
      <c r="H114" s="45">
        <f t="shared" si="75"/>
        <v>8453.880000000001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1182.8571428571652</v>
      </c>
      <c r="O114" s="47">
        <f t="shared" si="77"/>
        <v>98.571428571430431</v>
      </c>
      <c r="P114" s="48">
        <f t="shared" si="72"/>
        <v>0</v>
      </c>
      <c r="Q114" s="49">
        <f t="shared" si="73"/>
        <v>-26.428571428569569</v>
      </c>
      <c r="R114" s="424">
        <f t="shared" si="74"/>
        <v>0.78857142857144347</v>
      </c>
      <c r="S114" s="638"/>
      <c r="T114" s="226">
        <v>0.76041666666666663</v>
      </c>
      <c r="U114" s="226">
        <v>0.77499999999999969</v>
      </c>
      <c r="V114" s="227">
        <v>5</v>
      </c>
      <c r="W114" s="433">
        <f t="shared" si="70"/>
        <v>20.999999999999606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-317.14285714283483</v>
      </c>
      <c r="AG114" s="125">
        <f t="shared" si="62"/>
        <v>0.78857142857144347</v>
      </c>
      <c r="AH114" s="611"/>
    </row>
    <row r="115" spans="1:34" s="218" customFormat="1" ht="19.2" customHeight="1">
      <c r="A115" s="635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807</v>
      </c>
      <c r="H115" s="45">
        <f t="shared" si="75"/>
        <v>36298.86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1241.538461538461</v>
      </c>
      <c r="O115" s="47">
        <f t="shared" si="77"/>
        <v>65.344129554655837</v>
      </c>
      <c r="P115" s="48">
        <f t="shared" si="72"/>
        <v>0</v>
      </c>
      <c r="Q115" s="49">
        <f t="shared" si="73"/>
        <v>-13.603238866396794</v>
      </c>
      <c r="R115" s="424">
        <f t="shared" si="74"/>
        <v>0.82769230769230728</v>
      </c>
      <c r="S115" s="638"/>
      <c r="T115" s="226">
        <v>0.77916666666666634</v>
      </c>
      <c r="U115" s="226">
        <v>0.80624999999999969</v>
      </c>
      <c r="V115" s="227">
        <v>6</v>
      </c>
      <c r="W115" s="433">
        <f t="shared" si="70"/>
        <v>39.000000000000021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-258.46153846153902</v>
      </c>
      <c r="AG115" s="125">
        <f t="shared" si="62"/>
        <v>0.82769230769230728</v>
      </c>
      <c r="AH115" s="611"/>
    </row>
    <row r="116" spans="1:34" s="218" customFormat="1" ht="19.2" customHeight="1">
      <c r="A116" s="635"/>
      <c r="B116" s="422" t="s">
        <v>132</v>
      </c>
      <c r="C116" s="55"/>
      <c r="D116" s="82" t="s">
        <v>75</v>
      </c>
      <c r="E116" s="83"/>
      <c r="F116" s="355">
        <v>53.68</v>
      </c>
      <c r="G116" s="229">
        <v>724</v>
      </c>
      <c r="H116" s="45">
        <f t="shared" si="75"/>
        <v>38864.32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1206.6666666666658</v>
      </c>
      <c r="O116" s="47">
        <f t="shared" si="77"/>
        <v>60.333333333333293</v>
      </c>
      <c r="P116" s="48">
        <f t="shared" si="72"/>
        <v>0</v>
      </c>
      <c r="Q116" s="49">
        <f t="shared" si="73"/>
        <v>-14.666666666666707</v>
      </c>
      <c r="R116" s="424">
        <f t="shared" si="74"/>
        <v>0.80444444444444396</v>
      </c>
      <c r="S116" s="638"/>
      <c r="T116" s="226">
        <v>0.82152777777777741</v>
      </c>
      <c r="U116" s="226">
        <v>0.84652777777777743</v>
      </c>
      <c r="V116" s="227">
        <v>22</v>
      </c>
      <c r="W116" s="433">
        <f t="shared" si="70"/>
        <v>36.000000000000028</v>
      </c>
      <c r="X116" s="216">
        <v>0.81111111111111101</v>
      </c>
      <c r="Y116" s="216">
        <v>0.8208333333333333</v>
      </c>
      <c r="Z116" s="217"/>
      <c r="AA116" s="217"/>
      <c r="AB116" s="588"/>
      <c r="AC116" s="588"/>
      <c r="AD116" s="221"/>
      <c r="AE116" s="221"/>
      <c r="AF116" s="48">
        <f t="shared" si="61"/>
        <v>-293.33333333333417</v>
      </c>
      <c r="AG116" s="125">
        <f t="shared" si="62"/>
        <v>0.80444444444444385</v>
      </c>
      <c r="AH116" s="611"/>
    </row>
    <row r="117" spans="1:34" s="218" customFormat="1" ht="19.2" customHeight="1">
      <c r="A117" s="635"/>
      <c r="B117" s="422" t="s">
        <v>132</v>
      </c>
      <c r="C117" s="55"/>
      <c r="D117" s="82" t="s">
        <v>81</v>
      </c>
      <c r="E117" s="83"/>
      <c r="F117" s="355">
        <v>55.56</v>
      </c>
      <c r="G117" s="229">
        <v>780</v>
      </c>
      <c r="H117" s="45">
        <f t="shared" si="75"/>
        <v>43336.800000000003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1299.9999999999991</v>
      </c>
      <c r="O117" s="47">
        <f t="shared" si="77"/>
        <v>81.249999999999943</v>
      </c>
      <c r="P117" s="48">
        <f t="shared" si="72"/>
        <v>0</v>
      </c>
      <c r="Q117" s="49">
        <f t="shared" si="73"/>
        <v>-8.7500000000000568</v>
      </c>
      <c r="R117" s="424">
        <f t="shared" si="74"/>
        <v>0.90277777777777712</v>
      </c>
      <c r="S117" s="638"/>
      <c r="T117" s="226">
        <v>0.85138888888888853</v>
      </c>
      <c r="U117" s="226">
        <v>0.87638888888888855</v>
      </c>
      <c r="V117" s="227">
        <v>7</v>
      </c>
      <c r="W117" s="433">
        <f t="shared" si="70"/>
        <v>36.000000000000028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-140.00000000000091</v>
      </c>
      <c r="AG117" s="125">
        <f t="shared" si="62"/>
        <v>0.90277777777777712</v>
      </c>
      <c r="AH117" s="611"/>
    </row>
    <row r="118" spans="1:34" s="218" customFormat="1" ht="19.2" customHeight="1">
      <c r="A118" s="635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2" customHeight="1">
      <c r="A119" s="635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2" customHeight="1">
      <c r="A120" s="635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2" customHeight="1">
      <c r="A121" s="636"/>
      <c r="B121" s="121">
        <v>0</v>
      </c>
      <c r="C121" s="100" t="s">
        <v>609</v>
      </c>
      <c r="D121" s="232" t="s">
        <v>593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1293.3022870797083</v>
      </c>
      <c r="O121" s="203">
        <f t="shared" si="78"/>
        <v>79.281648289458289</v>
      </c>
      <c r="P121" s="48">
        <f t="shared" ref="P121:P131" si="79">M121-J121</f>
        <v>0</v>
      </c>
      <c r="Q121" s="49">
        <f t="shared" ref="Q121:Q131" si="80">O121-L121</f>
        <v>-11.090346512361066</v>
      </c>
      <c r="R121" s="172">
        <f t="shared" ref="R121:R131" si="81">O121/L121</f>
        <v>0.87728115843097676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-180.58660180918059</v>
      </c>
      <c r="AG121" s="125">
        <f>N121/K121</f>
        <v>0.87747610883659066</v>
      </c>
      <c r="AH121" s="611"/>
    </row>
    <row r="122" spans="1:34" ht="19.2" customHeight="1">
      <c r="A122" s="639" t="s">
        <v>610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1300</v>
      </c>
      <c r="H122" s="45">
        <f t="shared" ref="H122:H132" si="82">F122*G122</f>
        <v>76271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1" si="83">G122/W122*60</f>
        <v>1278.6885245901651</v>
      </c>
      <c r="O122" s="237">
        <f t="shared" ref="O122:O131" si="84">N122/M122</f>
        <v>67.29939603106132</v>
      </c>
      <c r="P122" s="108">
        <f t="shared" si="79"/>
        <v>0</v>
      </c>
      <c r="Q122" s="182">
        <f t="shared" si="80"/>
        <v>-8.4900776531491999</v>
      </c>
      <c r="R122" s="109">
        <f t="shared" si="81"/>
        <v>0.88797814207650361</v>
      </c>
      <c r="S122" s="602">
        <f>R134</f>
        <v>0.86793592510033502</v>
      </c>
      <c r="T122" s="50">
        <v>0.5</v>
      </c>
      <c r="U122" s="50">
        <v>0.54236111111111107</v>
      </c>
      <c r="V122" s="227">
        <v>5</v>
      </c>
      <c r="W122" s="433">
        <f t="shared" si="70"/>
        <v>60.999999999999943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-161.31147540983488</v>
      </c>
      <c r="AG122" s="424">
        <f t="shared" si="62"/>
        <v>0.88797814207650361</v>
      </c>
      <c r="AH122" s="616">
        <f>AG134</f>
        <v>0.87333158939778188</v>
      </c>
    </row>
    <row r="123" spans="1:34" ht="19.2" customHeight="1">
      <c r="A123" s="639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1849</v>
      </c>
      <c r="H123" s="45">
        <f t="shared" si="82"/>
        <v>110052.48000000001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1219.120879120879</v>
      </c>
      <c r="O123" s="86">
        <f t="shared" si="84"/>
        <v>58.053375196232331</v>
      </c>
      <c r="P123" s="54">
        <f t="shared" si="79"/>
        <v>0</v>
      </c>
      <c r="Q123" s="88">
        <f t="shared" si="80"/>
        <v>-7.8990057561486182</v>
      </c>
      <c r="R123" s="421">
        <f t="shared" si="81"/>
        <v>0.88023168167572496</v>
      </c>
      <c r="S123" s="602"/>
      <c r="T123" s="50">
        <v>0.54722222222222217</v>
      </c>
      <c r="U123" s="50">
        <v>0.61041666666666661</v>
      </c>
      <c r="V123" s="227">
        <v>7</v>
      </c>
      <c r="W123" s="433">
        <f t="shared" si="70"/>
        <v>91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-165.87912087912105</v>
      </c>
      <c r="AG123" s="424">
        <f t="shared" si="62"/>
        <v>0.88023168167572485</v>
      </c>
      <c r="AH123" s="602"/>
    </row>
    <row r="124" spans="1:34" ht="19.2" customHeight="1">
      <c r="A124" s="639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945.69999999999993</v>
      </c>
      <c r="H124" s="45">
        <f t="shared" si="82"/>
        <v>47918.618999999999</v>
      </c>
      <c r="I124" s="238">
        <v>1</v>
      </c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1383.9512195121945</v>
      </c>
      <c r="O124" s="237">
        <f t="shared" si="84"/>
        <v>76.886178861788579</v>
      </c>
      <c r="P124" s="108">
        <f t="shared" si="79"/>
        <v>0</v>
      </c>
      <c r="Q124" s="182">
        <f t="shared" si="80"/>
        <v>-6.4471544715447493</v>
      </c>
      <c r="R124" s="109">
        <f t="shared" si="81"/>
        <v>0.92263414634146301</v>
      </c>
      <c r="S124" s="640"/>
      <c r="T124" s="50">
        <v>0.62569444444444433</v>
      </c>
      <c r="U124" s="50">
        <v>0.65416666666666656</v>
      </c>
      <c r="V124" s="227">
        <v>22</v>
      </c>
      <c r="W124" s="433">
        <f t="shared" si="70"/>
        <v>41.000000000000014</v>
      </c>
      <c r="X124" s="188">
        <v>0.61458333333333337</v>
      </c>
      <c r="Y124" s="188">
        <v>0.625</v>
      </c>
      <c r="Z124" s="54"/>
      <c r="AA124" s="54"/>
      <c r="AB124" s="588"/>
      <c r="AC124" s="588"/>
      <c r="AD124" s="420"/>
      <c r="AE124" s="420"/>
      <c r="AF124" s="108">
        <f t="shared" si="61"/>
        <v>-116.04878048780552</v>
      </c>
      <c r="AG124" s="109">
        <f t="shared" si="62"/>
        <v>0.92263414634146301</v>
      </c>
      <c r="AH124" s="602"/>
    </row>
    <row r="125" spans="1:34" ht="19.2" customHeight="1">
      <c r="A125" s="639"/>
      <c r="B125" s="130" t="s">
        <v>129</v>
      </c>
      <c r="C125" s="97"/>
      <c r="D125" s="42" t="s">
        <v>62</v>
      </c>
      <c r="E125" s="43"/>
      <c r="F125" s="355">
        <v>38.39</v>
      </c>
      <c r="G125" s="44">
        <v>786.44999999999993</v>
      </c>
      <c r="H125" s="45">
        <f t="shared" si="82"/>
        <v>30191.815499999997</v>
      </c>
      <c r="I125" s="422">
        <v>1</v>
      </c>
      <c r="J125" s="46">
        <v>16</v>
      </c>
      <c r="K125" s="44">
        <v>1636</v>
      </c>
      <c r="L125" s="47">
        <v>102.25</v>
      </c>
      <c r="M125" s="434">
        <v>17</v>
      </c>
      <c r="N125" s="174">
        <f t="shared" si="83"/>
        <v>1348.1999999999985</v>
      </c>
      <c r="O125" s="237">
        <f t="shared" si="84"/>
        <v>79.305882352941083</v>
      </c>
      <c r="P125" s="108">
        <f t="shared" si="79"/>
        <v>1</v>
      </c>
      <c r="Q125" s="182">
        <f t="shared" si="80"/>
        <v>-22.944117647058917</v>
      </c>
      <c r="R125" s="109">
        <f t="shared" si="81"/>
        <v>0.77560765137350696</v>
      </c>
      <c r="S125" s="640"/>
      <c r="T125" s="50">
        <v>0.6597222222222221</v>
      </c>
      <c r="U125" s="50">
        <v>0.68402777777777768</v>
      </c>
      <c r="V125" s="227">
        <v>8</v>
      </c>
      <c r="W125" s="433">
        <f t="shared" si="70"/>
        <v>35.000000000000036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-287.80000000000155</v>
      </c>
      <c r="AG125" s="424">
        <f t="shared" si="62"/>
        <v>0.82408312958435115</v>
      </c>
      <c r="AH125" s="603"/>
    </row>
    <row r="126" spans="1:34" ht="19.2" customHeight="1">
      <c r="A126" s="639"/>
      <c r="B126" s="130" t="s">
        <v>132</v>
      </c>
      <c r="C126" s="420"/>
      <c r="D126" s="404" t="s">
        <v>84</v>
      </c>
      <c r="E126" s="177"/>
      <c r="F126" s="355">
        <v>56.79</v>
      </c>
      <c r="G126" s="57">
        <v>1142</v>
      </c>
      <c r="H126" s="45">
        <f t="shared" si="82"/>
        <v>64854.18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1343.5294117647065</v>
      </c>
      <c r="O126" s="86">
        <f t="shared" si="84"/>
        <v>74.640522875817027</v>
      </c>
      <c r="P126" s="54">
        <f t="shared" si="79"/>
        <v>0</v>
      </c>
      <c r="Q126" s="88">
        <f t="shared" si="80"/>
        <v>-16.248366013071859</v>
      </c>
      <c r="R126" s="421">
        <f t="shared" si="81"/>
        <v>0.82122824679994288</v>
      </c>
      <c r="S126" s="640"/>
      <c r="T126" s="50">
        <v>0.72430555555555542</v>
      </c>
      <c r="U126" s="50">
        <v>0.75972222222222208</v>
      </c>
      <c r="V126" s="227">
        <v>8</v>
      </c>
      <c r="W126" s="433">
        <f t="shared" si="70"/>
        <v>50.999999999999979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-292.47058823529346</v>
      </c>
      <c r="AG126" s="109">
        <f t="shared" si="62"/>
        <v>0.82122824679994288</v>
      </c>
      <c r="AH126" s="603"/>
    </row>
    <row r="127" spans="1:34" ht="19.2" customHeight="1">
      <c r="A127" s="639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889</v>
      </c>
      <c r="H127" s="45">
        <f t="shared" si="82"/>
        <v>50557.43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1333.4999999999995</v>
      </c>
      <c r="O127" s="86">
        <f t="shared" si="84"/>
        <v>74.083333333333314</v>
      </c>
      <c r="P127" s="54">
        <f t="shared" si="79"/>
        <v>0</v>
      </c>
      <c r="Q127" s="88">
        <f t="shared" si="80"/>
        <v>-16.805555555555571</v>
      </c>
      <c r="R127" s="421">
        <f t="shared" si="81"/>
        <v>0.81509779951100225</v>
      </c>
      <c r="S127" s="640"/>
      <c r="T127" s="50">
        <v>0.76458333333333317</v>
      </c>
      <c r="U127" s="50">
        <v>0.79236111111111096</v>
      </c>
      <c r="V127" s="422">
        <v>7</v>
      </c>
      <c r="W127" s="433">
        <f t="shared" si="70"/>
        <v>40.000000000000014</v>
      </c>
      <c r="X127" s="64"/>
      <c r="Y127" s="64"/>
      <c r="Z127" s="54"/>
      <c r="AA127" s="54"/>
      <c r="AB127" s="588"/>
      <c r="AC127" s="588"/>
      <c r="AD127" s="420"/>
      <c r="AE127" s="420">
        <v>1</v>
      </c>
      <c r="AF127" s="108">
        <f t="shared" si="61"/>
        <v>-302.50000000000045</v>
      </c>
      <c r="AG127" s="109">
        <f t="shared" si="62"/>
        <v>0.81509779951100214</v>
      </c>
      <c r="AH127" s="603"/>
    </row>
    <row r="128" spans="1:34" ht="19.2" customHeight="1">
      <c r="A128" s="639"/>
      <c r="B128" s="130" t="s">
        <v>132</v>
      </c>
      <c r="C128" s="157"/>
      <c r="D128" s="59" t="s">
        <v>86</v>
      </c>
      <c r="E128" s="83"/>
      <c r="F128" s="355">
        <v>47.6</v>
      </c>
      <c r="G128" s="57">
        <v>1039</v>
      </c>
      <c r="H128" s="45">
        <f t="shared" si="82"/>
        <v>49456.4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1272.2448979591841</v>
      </c>
      <c r="O128" s="86">
        <f t="shared" si="84"/>
        <v>66.960257787325475</v>
      </c>
      <c r="P128" s="54">
        <f t="shared" si="79"/>
        <v>0</v>
      </c>
      <c r="Q128" s="88">
        <f t="shared" si="80"/>
        <v>-8.8292158968850458</v>
      </c>
      <c r="R128" s="421">
        <f t="shared" si="81"/>
        <v>0.8835034013605445</v>
      </c>
      <c r="S128" s="640"/>
      <c r="T128" s="50">
        <v>0.80833333333333313</v>
      </c>
      <c r="U128" s="50">
        <v>0.84236111111111089</v>
      </c>
      <c r="V128" s="422">
        <v>23</v>
      </c>
      <c r="W128" s="433">
        <f t="shared" si="70"/>
        <v>48.999999999999986</v>
      </c>
      <c r="X128" s="64">
        <v>0.79722222222222217</v>
      </c>
      <c r="Y128" s="64">
        <v>0.80694444444444446</v>
      </c>
      <c r="Z128" s="54"/>
      <c r="AA128" s="54"/>
      <c r="AB128" s="588"/>
      <c r="AC128" s="588"/>
      <c r="AD128" s="420"/>
      <c r="AE128" s="420"/>
      <c r="AF128" s="48">
        <f t="shared" si="61"/>
        <v>-167.75510204081593</v>
      </c>
      <c r="AG128" s="424">
        <f t="shared" si="62"/>
        <v>0.8835034013605445</v>
      </c>
      <c r="AH128" s="603"/>
    </row>
    <row r="129" spans="1:34" ht="19.2" customHeight="1">
      <c r="A129" s="639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1097</v>
      </c>
      <c r="H129" s="45">
        <f t="shared" si="82"/>
        <v>55584.990000000005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1290.5882352941182</v>
      </c>
      <c r="O129" s="86">
        <f t="shared" si="84"/>
        <v>71.699346405228795</v>
      </c>
      <c r="P129" s="54">
        <f t="shared" si="79"/>
        <v>0</v>
      </c>
      <c r="Q129" s="88">
        <f t="shared" si="80"/>
        <v>-11.633986928104534</v>
      </c>
      <c r="R129" s="421">
        <f t="shared" si="81"/>
        <v>0.86039215686274562</v>
      </c>
      <c r="S129" s="640"/>
      <c r="T129" s="50">
        <v>0.84722222222222199</v>
      </c>
      <c r="U129" s="50">
        <v>0.88263888888888864</v>
      </c>
      <c r="V129" s="422">
        <v>7</v>
      </c>
      <c r="W129" s="433">
        <f t="shared" si="70"/>
        <v>50.999999999999979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-209.41176470588175</v>
      </c>
      <c r="AG129" s="109">
        <f t="shared" si="62"/>
        <v>0.86039215686274551</v>
      </c>
      <c r="AH129" s="603"/>
    </row>
    <row r="130" spans="1:34" ht="19.2" customHeight="1">
      <c r="A130" s="639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1293</v>
      </c>
      <c r="H130" s="45">
        <f t="shared" si="82"/>
        <v>75213.81</v>
      </c>
      <c r="I130" s="420"/>
      <c r="J130" s="46">
        <v>16</v>
      </c>
      <c r="K130" s="44">
        <v>1440</v>
      </c>
      <c r="L130" s="47">
        <v>90</v>
      </c>
      <c r="M130" s="431">
        <v>16</v>
      </c>
      <c r="N130" s="57">
        <f t="shared" si="83"/>
        <v>1361.0526315789484</v>
      </c>
      <c r="O130" s="86">
        <f t="shared" si="84"/>
        <v>85.065789473684276</v>
      </c>
      <c r="P130" s="54">
        <f t="shared" si="79"/>
        <v>0</v>
      </c>
      <c r="Q130" s="88">
        <f t="shared" si="80"/>
        <v>-4.9342105263157237</v>
      </c>
      <c r="R130" s="421">
        <f t="shared" si="81"/>
        <v>0.945175438596492</v>
      </c>
      <c r="S130" s="640"/>
      <c r="T130" s="50">
        <v>0.88749999999999973</v>
      </c>
      <c r="U130" s="50">
        <v>0.92708333333333304</v>
      </c>
      <c r="V130" s="422">
        <v>7</v>
      </c>
      <c r="W130" s="433">
        <f t="shared" si="70"/>
        <v>56.999999999999957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-78.947368421051578</v>
      </c>
      <c r="AG130" s="109">
        <f t="shared" si="62"/>
        <v>0.945175438596492</v>
      </c>
      <c r="AH130" s="603"/>
    </row>
    <row r="131" spans="1:34" ht="19.2" customHeight="1">
      <c r="A131" s="639"/>
      <c r="B131" s="200" t="s">
        <v>132</v>
      </c>
      <c r="C131" s="157"/>
      <c r="D131" s="59" t="s">
        <v>208</v>
      </c>
      <c r="E131" s="83"/>
      <c r="F131" s="355">
        <v>56.43</v>
      </c>
      <c r="G131" s="209">
        <v>1140</v>
      </c>
      <c r="H131" s="45">
        <f t="shared" si="82"/>
        <v>64330.2</v>
      </c>
      <c r="I131" s="221"/>
      <c r="J131" s="46">
        <v>16</v>
      </c>
      <c r="K131" s="44">
        <v>1440</v>
      </c>
      <c r="L131" s="47">
        <v>90</v>
      </c>
      <c r="M131" s="87">
        <v>16</v>
      </c>
      <c r="N131" s="57">
        <f t="shared" si="83"/>
        <v>1315.3846153846162</v>
      </c>
      <c r="O131" s="86">
        <f t="shared" si="84"/>
        <v>82.21153846153851</v>
      </c>
      <c r="P131" s="54">
        <f t="shared" si="79"/>
        <v>0</v>
      </c>
      <c r="Q131" s="88">
        <f t="shared" si="80"/>
        <v>-7.7884615384614904</v>
      </c>
      <c r="R131" s="421">
        <f t="shared" si="81"/>
        <v>0.91346153846153899</v>
      </c>
      <c r="S131" s="640"/>
      <c r="T131" s="50">
        <v>0.93263888888888857</v>
      </c>
      <c r="U131" s="50">
        <v>0.96874999999999967</v>
      </c>
      <c r="V131" s="422">
        <v>8</v>
      </c>
      <c r="W131" s="433">
        <f t="shared" si="70"/>
        <v>51.999999999999972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-124.61538461538385</v>
      </c>
      <c r="AG131" s="424">
        <f t="shared" si="62"/>
        <v>0.91346153846153899</v>
      </c>
      <c r="AH131" s="603"/>
    </row>
    <row r="132" spans="1:34" ht="19.2" customHeight="1">
      <c r="A132" s="639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2" customHeight="1">
      <c r="A133" s="639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2" customHeight="1">
      <c r="A134" s="639"/>
      <c r="B134" s="168">
        <v>0</v>
      </c>
      <c r="C134" s="100" t="s">
        <v>611</v>
      </c>
      <c r="D134" s="617" t="s">
        <v>593</v>
      </c>
      <c r="E134" s="617"/>
      <c r="F134" s="365"/>
      <c r="G134" s="101"/>
      <c r="H134" s="102"/>
      <c r="I134" s="241"/>
      <c r="J134" s="242">
        <v>17.899999999999999</v>
      </c>
      <c r="K134" s="242">
        <v>1505.3</v>
      </c>
      <c r="L134" s="243">
        <v>84.82257727652464</v>
      </c>
      <c r="M134" s="242">
        <f t="shared" ref="M134:O134" si="85">AVERAGE(M122:M133)</f>
        <v>18</v>
      </c>
      <c r="N134" s="242">
        <f t="shared" si="85"/>
        <v>1314.6260415204811</v>
      </c>
      <c r="O134" s="243">
        <f t="shared" si="85"/>
        <v>73.620562077895073</v>
      </c>
      <c r="P134" s="51">
        <f t="shared" ref="P134:P143" si="86">M134-J134</f>
        <v>0.10000000000000142</v>
      </c>
      <c r="Q134" s="139">
        <f t="shared" ref="Q134:Q143" si="87">O134-L134</f>
        <v>-11.202015198629567</v>
      </c>
      <c r="R134" s="244">
        <f t="shared" ref="R134:R143" si="88">O134/L134</f>
        <v>0.86793592510033502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-190.67395847951889</v>
      </c>
      <c r="AG134" s="424">
        <f t="shared" si="62"/>
        <v>0.87333158939778188</v>
      </c>
      <c r="AH134" s="603"/>
    </row>
    <row r="135" spans="1:34" ht="19.2" customHeight="1">
      <c r="A135" s="641" t="s">
        <v>612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1960</v>
      </c>
      <c r="H135" s="245">
        <f t="shared" ref="H135:H146" si="89">F135*G135</f>
        <v>106016.40000000001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996.61016949152554</v>
      </c>
      <c r="O135" s="115">
        <f t="shared" ref="O135:O143" si="91">N135/M135</f>
        <v>55.367231638418083</v>
      </c>
      <c r="P135" s="54">
        <f t="shared" si="86"/>
        <v>0</v>
      </c>
      <c r="Q135" s="88">
        <f t="shared" si="87"/>
        <v>-27.966101694915245</v>
      </c>
      <c r="R135" s="421">
        <f t="shared" si="88"/>
        <v>0.66440677966101702</v>
      </c>
      <c r="S135" s="638">
        <f>R147</f>
        <v>0.88914548043670982</v>
      </c>
      <c r="T135" s="246">
        <v>0.45833333333333331</v>
      </c>
      <c r="U135" s="50">
        <v>0.54027777777777775</v>
      </c>
      <c r="V135" s="142">
        <v>5</v>
      </c>
      <c r="W135" s="247">
        <f t="shared" ref="W135:W147" si="92">(U135-T135)*24*60</f>
        <v>117.99999999999999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-503.38983050847446</v>
      </c>
      <c r="AG135" s="120">
        <f t="shared" si="62"/>
        <v>0.66440677966101702</v>
      </c>
      <c r="AH135" s="611">
        <f>AG147</f>
        <v>0.89653022697061779</v>
      </c>
    </row>
    <row r="136" spans="1:34" ht="19.2" customHeight="1">
      <c r="A136" s="64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1383</v>
      </c>
      <c r="H136" s="84">
        <f t="shared" si="89"/>
        <v>79847.505000000005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1406.4406779661028</v>
      </c>
      <c r="O136" s="86">
        <f t="shared" si="91"/>
        <v>87.902542372881427</v>
      </c>
      <c r="P136" s="54">
        <f t="shared" si="86"/>
        <v>0</v>
      </c>
      <c r="Q136" s="88">
        <f t="shared" si="87"/>
        <v>-9.9099576271185725</v>
      </c>
      <c r="R136" s="421">
        <f t="shared" si="88"/>
        <v>0.89868413927546509</v>
      </c>
      <c r="S136" s="638"/>
      <c r="T136" s="246">
        <v>0.55624999999999991</v>
      </c>
      <c r="U136" s="50">
        <v>0.5972222222222221</v>
      </c>
      <c r="V136" s="142">
        <v>23</v>
      </c>
      <c r="W136" s="247">
        <f t="shared" si="92"/>
        <v>58.99999999999995</v>
      </c>
      <c r="X136" s="53">
        <v>0.5444444444444444</v>
      </c>
      <c r="Y136" s="53">
        <v>0.55555555555555558</v>
      </c>
      <c r="Z136" s="54"/>
      <c r="AA136" s="54"/>
      <c r="AB136" s="588"/>
      <c r="AC136" s="588"/>
      <c r="AD136" s="420"/>
      <c r="AE136" s="420"/>
      <c r="AF136" s="48">
        <f t="shared" si="61"/>
        <v>-158.55932203389716</v>
      </c>
      <c r="AG136" s="125">
        <f t="shared" si="62"/>
        <v>0.89868413927546509</v>
      </c>
      <c r="AH136" s="611"/>
    </row>
    <row r="137" spans="1:34" ht="19.2" customHeight="1">
      <c r="A137" s="64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1353</v>
      </c>
      <c r="H137" s="84">
        <f t="shared" si="89"/>
        <v>72074.31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1330.8196721311488</v>
      </c>
      <c r="O137" s="86">
        <f t="shared" si="91"/>
        <v>83.176229508196798</v>
      </c>
      <c r="P137" s="54">
        <f t="shared" si="86"/>
        <v>0</v>
      </c>
      <c r="Q137" s="88">
        <f t="shared" si="87"/>
        <v>-10.573770491803202</v>
      </c>
      <c r="R137" s="421">
        <f t="shared" si="88"/>
        <v>0.88721311475409914</v>
      </c>
      <c r="S137" s="638"/>
      <c r="T137" s="50">
        <v>0.60208333333333319</v>
      </c>
      <c r="U137" s="50">
        <v>0.64444444444444426</v>
      </c>
      <c r="V137" s="249">
        <v>7</v>
      </c>
      <c r="W137" s="247">
        <f t="shared" si="92"/>
        <v>60.999999999999943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-169.18032786885124</v>
      </c>
      <c r="AG137" s="125">
        <f t="shared" si="62"/>
        <v>0.88721311475409914</v>
      </c>
      <c r="AH137" s="611"/>
    </row>
    <row r="138" spans="1:34" ht="19.2" customHeight="1">
      <c r="A138" s="64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1080</v>
      </c>
      <c r="H138" s="84">
        <f t="shared" si="89"/>
        <v>55058.399999999994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1350.0000000000005</v>
      </c>
      <c r="O138" s="86">
        <f t="shared" si="91"/>
        <v>67.500000000000028</v>
      </c>
      <c r="P138" s="54">
        <f t="shared" si="86"/>
        <v>0</v>
      </c>
      <c r="Q138" s="88">
        <f t="shared" si="87"/>
        <v>-4.4999999999999716</v>
      </c>
      <c r="R138" s="426">
        <f t="shared" si="88"/>
        <v>0.93750000000000044</v>
      </c>
      <c r="S138" s="638"/>
      <c r="T138" s="50">
        <v>0.68472222222222201</v>
      </c>
      <c r="U138" s="50">
        <v>0.71805555555555534</v>
      </c>
      <c r="V138" s="249">
        <v>5</v>
      </c>
      <c r="W138" s="247">
        <f t="shared" si="92"/>
        <v>47.999999999999986</v>
      </c>
      <c r="X138" s="53"/>
      <c r="Y138" s="53"/>
      <c r="Z138" s="54"/>
      <c r="AA138" s="54"/>
      <c r="AB138" s="588"/>
      <c r="AC138" s="588"/>
      <c r="AD138" s="420">
        <v>1</v>
      </c>
      <c r="AE138" s="420"/>
      <c r="AF138" s="48">
        <f t="shared" si="61"/>
        <v>-89.999999999999545</v>
      </c>
      <c r="AG138" s="125">
        <f t="shared" si="62"/>
        <v>0.93750000000000033</v>
      </c>
      <c r="AH138" s="611"/>
    </row>
    <row r="139" spans="1:34" ht="19.2" customHeight="1">
      <c r="A139" s="64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750</v>
      </c>
      <c r="H139" s="84">
        <f t="shared" si="89"/>
        <v>38002.5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1406.2499999999982</v>
      </c>
      <c r="O139" s="86">
        <f t="shared" si="91"/>
        <v>82.720588235294016</v>
      </c>
      <c r="P139" s="54">
        <f t="shared" si="86"/>
        <v>0</v>
      </c>
      <c r="Q139" s="88">
        <f t="shared" si="87"/>
        <v>-5.5147058823530415</v>
      </c>
      <c r="R139" s="421">
        <f t="shared" si="88"/>
        <v>0.93749999999999889</v>
      </c>
      <c r="S139" s="638"/>
      <c r="T139" s="50">
        <v>0.72291666666666643</v>
      </c>
      <c r="U139" s="50">
        <v>0.74513888888888868</v>
      </c>
      <c r="V139" s="250">
        <v>7</v>
      </c>
      <c r="W139" s="247">
        <f t="shared" si="92"/>
        <v>32.000000000000043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-93.750000000001819</v>
      </c>
      <c r="AG139" s="125">
        <f t="shared" si="62"/>
        <v>0.93749999999999878</v>
      </c>
      <c r="AH139" s="611"/>
    </row>
    <row r="140" spans="1:34" ht="19.2" customHeight="1">
      <c r="A140" s="64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1350</v>
      </c>
      <c r="H140" s="84">
        <f t="shared" si="89"/>
        <v>68742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1350.0000000000014</v>
      </c>
      <c r="O140" s="86">
        <f t="shared" si="91"/>
        <v>71.052631578947441</v>
      </c>
      <c r="P140" s="54">
        <f t="shared" si="86"/>
        <v>0</v>
      </c>
      <c r="Q140" s="88">
        <f t="shared" si="87"/>
        <v>-4.7368421052630794</v>
      </c>
      <c r="R140" s="421">
        <f t="shared" si="88"/>
        <v>0.937500000000001</v>
      </c>
      <c r="S140" s="645"/>
      <c r="T140" s="63">
        <v>0.76041666666666641</v>
      </c>
      <c r="U140" s="252">
        <v>0.80208333333333304</v>
      </c>
      <c r="V140" s="253">
        <v>22</v>
      </c>
      <c r="W140" s="247">
        <f t="shared" si="92"/>
        <v>59.999999999999943</v>
      </c>
      <c r="X140" s="53">
        <v>0.75</v>
      </c>
      <c r="Y140" s="53">
        <v>0.7597222222222223</v>
      </c>
      <c r="Z140" s="54"/>
      <c r="AA140" s="54"/>
      <c r="AB140" s="588"/>
      <c r="AC140" s="588"/>
      <c r="AD140" s="420"/>
      <c r="AE140" s="420"/>
      <c r="AF140" s="48">
        <f t="shared" si="61"/>
        <v>-89.999999999998636</v>
      </c>
      <c r="AG140" s="125">
        <f t="shared" si="62"/>
        <v>0.937500000000001</v>
      </c>
      <c r="AH140" s="611"/>
    </row>
    <row r="141" spans="1:34" ht="19.2" customHeight="1">
      <c r="A141" s="64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766</v>
      </c>
      <c r="H141" s="84">
        <f t="shared" si="89"/>
        <v>40490.76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1351.7647058823513</v>
      </c>
      <c r="O141" s="86">
        <f t="shared" si="91"/>
        <v>75.098039215686185</v>
      </c>
      <c r="P141" s="54">
        <f t="shared" si="86"/>
        <v>0</v>
      </c>
      <c r="Q141" s="88">
        <f t="shared" si="87"/>
        <v>-4.9019607843138147</v>
      </c>
      <c r="R141" s="421">
        <f t="shared" si="88"/>
        <v>0.93872549019607732</v>
      </c>
      <c r="S141" s="645"/>
      <c r="T141" s="63">
        <v>0.80694444444444413</v>
      </c>
      <c r="U141" s="252">
        <v>0.83055555555555527</v>
      </c>
      <c r="V141" s="55">
        <v>7</v>
      </c>
      <c r="W141" s="247">
        <f t="shared" si="92"/>
        <v>34.000000000000043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-88.235294117648664</v>
      </c>
      <c r="AG141" s="125">
        <f t="shared" si="62"/>
        <v>0.93872549019607732</v>
      </c>
      <c r="AH141" s="611"/>
    </row>
    <row r="142" spans="1:34" ht="19.2" customHeight="1">
      <c r="A142" s="64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771</v>
      </c>
      <c r="H142" s="84">
        <f t="shared" si="89"/>
        <v>39066.57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1360.588235294116</v>
      </c>
      <c r="O142" s="86">
        <f t="shared" si="91"/>
        <v>80.034602076124472</v>
      </c>
      <c r="P142" s="54">
        <f t="shared" si="86"/>
        <v>0</v>
      </c>
      <c r="Q142" s="88">
        <f t="shared" si="87"/>
        <v>-4.6712802768167023</v>
      </c>
      <c r="R142" s="421">
        <f t="shared" si="88"/>
        <v>0.94485294117646945</v>
      </c>
      <c r="S142" s="645"/>
      <c r="T142" s="63">
        <v>0.83541666666666636</v>
      </c>
      <c r="U142" s="252">
        <v>0.8590277777777775</v>
      </c>
      <c r="V142" s="55">
        <v>7</v>
      </c>
      <c r="W142" s="247">
        <f t="shared" si="92"/>
        <v>34.000000000000043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-79.411764705884025</v>
      </c>
      <c r="AG142" s="125">
        <f t="shared" si="62"/>
        <v>0.94485294117646945</v>
      </c>
      <c r="AH142" s="611"/>
    </row>
    <row r="143" spans="1:34" ht="19.2" customHeight="1">
      <c r="A143" s="64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871</v>
      </c>
      <c r="H143" s="84">
        <f t="shared" si="89"/>
        <v>43976.79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1339.9999999999993</v>
      </c>
      <c r="O143" s="86">
        <f t="shared" si="91"/>
        <v>89.333333333333286</v>
      </c>
      <c r="P143" s="54">
        <f t="shared" si="86"/>
        <v>1</v>
      </c>
      <c r="Q143" s="88">
        <f t="shared" si="87"/>
        <v>-13.523809523809575</v>
      </c>
      <c r="R143" s="421">
        <f t="shared" si="88"/>
        <v>0.86851851851851802</v>
      </c>
      <c r="S143" s="645"/>
      <c r="T143" s="63">
        <v>0.8638888888888886</v>
      </c>
      <c r="U143" s="252">
        <v>0.89097222222222194</v>
      </c>
      <c r="V143" s="55">
        <v>7</v>
      </c>
      <c r="W143" s="247">
        <f t="shared" si="92"/>
        <v>39.000000000000021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-100.00000000000068</v>
      </c>
      <c r="AG143" s="125">
        <f t="shared" si="62"/>
        <v>0.93055555555555514</v>
      </c>
      <c r="AH143" s="611"/>
    </row>
    <row r="144" spans="1:34" ht="19.2" customHeight="1">
      <c r="A144" s="64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2" customHeight="1">
      <c r="A145" s="64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2" customHeight="1">
      <c r="A146" s="64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2" customHeight="1">
      <c r="A147" s="644"/>
      <c r="B147" s="257">
        <v>0</v>
      </c>
      <c r="C147" s="100" t="s">
        <v>613</v>
      </c>
      <c r="D147" s="617" t="s">
        <v>593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1321.3859400850272</v>
      </c>
      <c r="O147" s="243">
        <f t="shared" si="93"/>
        <v>76.909466439875743</v>
      </c>
      <c r="P147" s="51">
        <f t="shared" ref="P147:P150" si="94">M147-J147</f>
        <v>0.11111111111111072</v>
      </c>
      <c r="Q147" s="139">
        <f t="shared" ref="Q147:Q150" si="95">O147-L147</f>
        <v>-9.5887142651548203</v>
      </c>
      <c r="R147" s="258">
        <f t="shared" ref="R147:R150" si="96">O147/L147</f>
        <v>0.88914548043670982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-152.50294880386173</v>
      </c>
      <c r="AG147" s="259">
        <f t="shared" si="62"/>
        <v>0.89653022697061779</v>
      </c>
      <c r="AH147" s="611"/>
    </row>
    <row r="148" spans="1:34" ht="19.2" customHeight="1">
      <c r="A148" s="648" t="s">
        <v>614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3894.75</v>
      </c>
      <c r="H148" s="84">
        <f t="shared" ref="H148:H172" si="97">F148*G148</f>
        <v>110883.5325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0" si="98">G148/W148*60</f>
        <v>1479.0189873417721</v>
      </c>
      <c r="O148" s="47">
        <f t="shared" ref="O148:O150" si="99">N148/M148</f>
        <v>211.28842676311029</v>
      </c>
      <c r="P148" s="48">
        <f t="shared" si="94"/>
        <v>0</v>
      </c>
      <c r="Q148" s="49">
        <f t="shared" si="95"/>
        <v>-2.9972875226039832</v>
      </c>
      <c r="R148" s="424">
        <f t="shared" si="96"/>
        <v>0.98601265822784812</v>
      </c>
      <c r="S148" s="649">
        <f>R160</f>
        <v>0.91116863578260643</v>
      </c>
      <c r="T148" s="246">
        <v>0.45833333333333331</v>
      </c>
      <c r="U148" s="50">
        <v>0.56805555555555554</v>
      </c>
      <c r="V148" s="422">
        <v>5</v>
      </c>
      <c r="W148" s="433">
        <f>(U148-T148)*24*60</f>
        <v>158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-20.981012658227883</v>
      </c>
      <c r="AG148" s="125">
        <f t="shared" si="62"/>
        <v>0.98601265822784812</v>
      </c>
      <c r="AH148" s="611">
        <f>AG160</f>
        <v>0.89601570667889852</v>
      </c>
    </row>
    <row r="149" spans="1:34" ht="19.2" customHeight="1">
      <c r="A149" s="648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2636</v>
      </c>
      <c r="H149" s="84">
        <f t="shared" si="97"/>
        <v>97321.12000000001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1613.8775510204086</v>
      </c>
      <c r="O149" s="47">
        <f t="shared" si="99"/>
        <v>134.48979591836738</v>
      </c>
      <c r="P149" s="48">
        <f t="shared" si="94"/>
        <v>0</v>
      </c>
      <c r="Q149" s="49">
        <f t="shared" si="95"/>
        <v>-32.17687074829928</v>
      </c>
      <c r="R149" s="424">
        <f t="shared" si="96"/>
        <v>0.80693877551020432</v>
      </c>
      <c r="S149" s="650"/>
      <c r="T149" s="246">
        <v>0.58333333333333326</v>
      </c>
      <c r="U149" s="50">
        <v>0.6513888888888888</v>
      </c>
      <c r="V149" s="422">
        <v>22</v>
      </c>
      <c r="W149" s="433">
        <f t="shared" ref="W149:W159" si="100">(U149-T149)*24*60</f>
        <v>97.999999999999972</v>
      </c>
      <c r="X149" s="53">
        <v>0.57222222222222219</v>
      </c>
      <c r="Y149" s="53">
        <v>0.58194444444444449</v>
      </c>
      <c r="Z149" s="54"/>
      <c r="AA149" s="54"/>
      <c r="AB149" s="588"/>
      <c r="AC149" s="588"/>
      <c r="AD149" s="420"/>
      <c r="AE149" s="420"/>
      <c r="AF149" s="48">
        <f t="shared" si="61"/>
        <v>-386.12244897959135</v>
      </c>
      <c r="AG149" s="125">
        <f t="shared" si="62"/>
        <v>0.80693877551020432</v>
      </c>
      <c r="AH149" s="652"/>
    </row>
    <row r="150" spans="1:34" ht="19.2" customHeight="1">
      <c r="A150" s="648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844.5</v>
      </c>
      <c r="H150" s="84">
        <f t="shared" si="97"/>
        <v>43120.170000000006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1333.421052631578</v>
      </c>
      <c r="O150" s="47">
        <f t="shared" si="99"/>
        <v>83.338815789473628</v>
      </c>
      <c r="P150" s="48">
        <f t="shared" si="94"/>
        <v>0</v>
      </c>
      <c r="Q150" s="49">
        <f t="shared" si="95"/>
        <v>-6.6611842105263719</v>
      </c>
      <c r="R150" s="424">
        <f t="shared" si="96"/>
        <v>0.9259868421052625</v>
      </c>
      <c r="S150" s="650"/>
      <c r="T150" s="246">
        <v>0.8125</v>
      </c>
      <c r="U150" s="50">
        <v>0.83888888888888891</v>
      </c>
      <c r="V150" s="422">
        <v>8</v>
      </c>
      <c r="W150" s="433">
        <f t="shared" si="100"/>
        <v>38.000000000000028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-106.57894736842195</v>
      </c>
      <c r="AG150" s="125">
        <f t="shared" si="62"/>
        <v>0.9259868421052625</v>
      </c>
      <c r="AH150" s="652"/>
    </row>
    <row r="151" spans="1:34" s="218" customFormat="1" ht="19.2" customHeight="1">
      <c r="A151" s="648"/>
      <c r="B151" s="420">
        <v>0</v>
      </c>
      <c r="C151" s="221"/>
      <c r="D151" s="59"/>
      <c r="E151" s="60"/>
      <c r="F151" s="362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650"/>
      <c r="T151" s="246"/>
      <c r="U151" s="50"/>
      <c r="V151" s="422"/>
      <c r="W151" s="433">
        <f t="shared" si="100"/>
        <v>0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0</v>
      </c>
      <c r="AG151" s="125" t="e">
        <f t="shared" si="62"/>
        <v>#DIV/0!</v>
      </c>
      <c r="AH151" s="652"/>
    </row>
    <row r="152" spans="1:34" s="218" customFormat="1" ht="19.2" customHeight="1">
      <c r="A152" s="648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650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0</v>
      </c>
      <c r="AG152" s="125" t="e">
        <f t="shared" si="62"/>
        <v>#DIV/0!</v>
      </c>
      <c r="AH152" s="652"/>
    </row>
    <row r="153" spans="1:34" s="218" customFormat="1" ht="19.2" customHeight="1">
      <c r="A153" s="648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2" customHeight="1">
      <c r="A154" s="648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2" customHeight="1">
      <c r="A155" s="648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2" customHeight="1">
      <c r="A156" s="648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2" customHeight="1">
      <c r="A157" s="648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2" customHeight="1">
      <c r="A158" s="648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2" customHeight="1">
      <c r="A159" s="648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2" customHeight="1">
      <c r="A160" s="648"/>
      <c r="B160" s="267">
        <v>0</v>
      </c>
      <c r="C160" s="268" t="s">
        <v>615</v>
      </c>
      <c r="D160" s="647" t="s">
        <v>593</v>
      </c>
      <c r="E160" s="608"/>
      <c r="F160" s="356"/>
      <c r="G160" s="202"/>
      <c r="H160" s="201"/>
      <c r="I160" s="72"/>
      <c r="J160" s="269">
        <v>11.666666666666666</v>
      </c>
      <c r="K160" s="269">
        <v>1646.6666666666667</v>
      </c>
      <c r="L160" s="270">
        <v>156.98412698412699</v>
      </c>
      <c r="M160" s="269">
        <f t="shared" ref="M160:O160" si="101">AVERAGE(M148:M159)</f>
        <v>11.666666666666666</v>
      </c>
      <c r="N160" s="269">
        <f t="shared" si="101"/>
        <v>1475.4391969979197</v>
      </c>
      <c r="O160" s="270">
        <f t="shared" si="101"/>
        <v>143.03901282365044</v>
      </c>
      <c r="P160" s="65">
        <f t="shared" ref="P160:P163" si="102">M160-J160</f>
        <v>0</v>
      </c>
      <c r="Q160" s="74">
        <f t="shared" ref="Q160:Q163" si="103">O160-L160</f>
        <v>-13.94511416047655</v>
      </c>
      <c r="R160" s="271">
        <f>O160/L160</f>
        <v>0.91116863578260643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-171.22746966874706</v>
      </c>
      <c r="AG160" s="129">
        <f t="shared" si="62"/>
        <v>0.89601570667889852</v>
      </c>
      <c r="AH160" s="652"/>
    </row>
    <row r="161" spans="1:36" ht="19.2" customHeight="1">
      <c r="A161" s="610" t="s">
        <v>616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3080</v>
      </c>
      <c r="H161" s="84">
        <f t="shared" ref="H161:H170" si="104">F161*G161</f>
        <v>105428.4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2200.0000000000005</v>
      </c>
      <c r="O161" s="86">
        <f t="shared" ref="O161:O166" si="106">N161/M161</f>
        <v>169.23076923076925</v>
      </c>
      <c r="P161" s="54">
        <f t="shared" si="102"/>
        <v>0</v>
      </c>
      <c r="Q161" s="88">
        <f t="shared" si="103"/>
        <v>-3.8461538461538112</v>
      </c>
      <c r="R161" s="421">
        <f t="shared" ref="R161:R163" si="107">O161/L161</f>
        <v>0.97777777777777797</v>
      </c>
      <c r="S161" s="611">
        <f>R173</f>
        <v>0.94461786379423551</v>
      </c>
      <c r="T161" s="89">
        <v>0.16666666666666666</v>
      </c>
      <c r="U161" s="89">
        <v>0.22499999999999998</v>
      </c>
      <c r="V161" s="420">
        <v>5</v>
      </c>
      <c r="W161" s="90">
        <f t="shared" ref="W161:W172" si="108">(U161-T161)*24*60</f>
        <v>83.999999999999986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-49.999999999999545</v>
      </c>
      <c r="AG161" s="421">
        <f t="shared" si="62"/>
        <v>0.97777777777777797</v>
      </c>
      <c r="AH161" s="611">
        <f>AG173</f>
        <v>0.94796345965992634</v>
      </c>
    </row>
    <row r="162" spans="1:36" ht="19.2" customHeight="1">
      <c r="A162" s="610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3126</v>
      </c>
      <c r="H162" s="84">
        <f t="shared" si="104"/>
        <v>107002.98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2206.5882352941185</v>
      </c>
      <c r="O162" s="86">
        <f t="shared" si="106"/>
        <v>169.73755656108602</v>
      </c>
      <c r="P162" s="54">
        <f t="shared" si="102"/>
        <v>0</v>
      </c>
      <c r="Q162" s="88">
        <f t="shared" si="103"/>
        <v>-3.3393665158370425</v>
      </c>
      <c r="R162" s="421">
        <f t="shared" si="107"/>
        <v>0.98070588235294154</v>
      </c>
      <c r="S162" s="611"/>
      <c r="T162" s="89">
        <v>0.2298611111111111</v>
      </c>
      <c r="U162" s="89">
        <v>0.28888888888888886</v>
      </c>
      <c r="V162" s="420">
        <v>7</v>
      </c>
      <c r="W162" s="90">
        <f t="shared" si="108"/>
        <v>84.999999999999972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-43.411764705881524</v>
      </c>
      <c r="AG162" s="421">
        <f t="shared" si="62"/>
        <v>0.98070588235294154</v>
      </c>
      <c r="AH162" s="611"/>
    </row>
    <row r="163" spans="1:36" ht="19.2" customHeight="1">
      <c r="A163" s="610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3054.7999999999997</v>
      </c>
      <c r="H163" s="84">
        <f t="shared" si="104"/>
        <v>109453.48399999998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2208.2891566265048</v>
      </c>
      <c r="O163" s="86">
        <f t="shared" si="106"/>
        <v>200.75355969331861</v>
      </c>
      <c r="P163" s="54">
        <f t="shared" si="102"/>
        <v>0</v>
      </c>
      <c r="Q163" s="88">
        <f t="shared" si="103"/>
        <v>-3.7918948521359255</v>
      </c>
      <c r="R163" s="421">
        <f t="shared" si="107"/>
        <v>0.98146184738955766</v>
      </c>
      <c r="S163" s="611"/>
      <c r="T163" s="89">
        <v>0.30486111111111108</v>
      </c>
      <c r="U163" s="89">
        <v>0.36249999999999999</v>
      </c>
      <c r="V163" s="420">
        <v>23</v>
      </c>
      <c r="W163" s="90">
        <f t="shared" si="108"/>
        <v>83.000000000000028</v>
      </c>
      <c r="X163" s="96">
        <v>0.29305555555555557</v>
      </c>
      <c r="Y163" s="96">
        <v>0.30416666666666664</v>
      </c>
      <c r="Z163" s="54"/>
      <c r="AA163" s="54"/>
      <c r="AB163" s="588"/>
      <c r="AC163" s="588"/>
      <c r="AD163" s="420"/>
      <c r="AE163" s="420"/>
      <c r="AF163" s="54">
        <f t="shared" si="61"/>
        <v>-41.710843373495209</v>
      </c>
      <c r="AG163" s="421">
        <f t="shared" si="62"/>
        <v>0.98146184738955766</v>
      </c>
      <c r="AH163" s="611"/>
    </row>
    <row r="164" spans="1:36" ht="19.2" customHeight="1">
      <c r="A164" s="610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3240</v>
      </c>
      <c r="H164" s="84">
        <f t="shared" si="104"/>
        <v>117968.4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2492.3076923076937</v>
      </c>
      <c r="O164" s="86">
        <f t="shared" si="106"/>
        <v>249.23076923076937</v>
      </c>
      <c r="P164" s="54">
        <f>M164-J164</f>
        <v>0</v>
      </c>
      <c r="Q164" s="88">
        <f>O164-L164</f>
        <v>-27.669230769230609</v>
      </c>
      <c r="R164" s="421">
        <f>O164/L164</f>
        <v>0.9000750062505215</v>
      </c>
      <c r="S164" s="611"/>
      <c r="T164" s="89">
        <v>0.40277777777777773</v>
      </c>
      <c r="U164" s="89">
        <v>0.45694444444444438</v>
      </c>
      <c r="V164" s="420">
        <v>5</v>
      </c>
      <c r="W164" s="90">
        <f t="shared" si="108"/>
        <v>77.999999999999957</v>
      </c>
      <c r="X164" s="96"/>
      <c r="Y164" s="96"/>
      <c r="Z164" s="54"/>
      <c r="AA164" s="54"/>
      <c r="AB164" s="588"/>
      <c r="AC164" s="588"/>
      <c r="AD164" s="420">
        <v>1</v>
      </c>
      <c r="AE164" s="420"/>
      <c r="AF164" s="54">
        <f>N164-K164</f>
        <v>-276.69230769230626</v>
      </c>
      <c r="AG164" s="421">
        <f>N164/K164</f>
        <v>0.90007500625052139</v>
      </c>
      <c r="AH164" s="611"/>
    </row>
    <row r="165" spans="1:36" ht="19.2" customHeight="1">
      <c r="A165" s="610"/>
      <c r="B165" s="121" t="s">
        <v>131</v>
      </c>
      <c r="C165" s="81"/>
      <c r="D165" s="82" t="s">
        <v>95</v>
      </c>
      <c r="E165" s="83"/>
      <c r="F165" s="358">
        <v>35.83</v>
      </c>
      <c r="G165" s="57">
        <v>1309.2</v>
      </c>
      <c r="H165" s="84">
        <f t="shared" si="104"/>
        <v>46908.635999999999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2181.9999999999982</v>
      </c>
      <c r="O165" s="86">
        <f t="shared" si="106"/>
        <v>198.3636363636362</v>
      </c>
      <c r="P165" s="54">
        <f>M165-J165</f>
        <v>0</v>
      </c>
      <c r="Q165" s="88">
        <f>O165-L165</f>
        <v>-6.1818181818183291</v>
      </c>
      <c r="R165" s="421">
        <f>O165/L165</f>
        <v>0.96977777777777707</v>
      </c>
      <c r="S165" s="611"/>
      <c r="T165" s="89">
        <v>0.47222222222222215</v>
      </c>
      <c r="U165" s="89">
        <v>0.49722222222222218</v>
      </c>
      <c r="V165" s="420">
        <v>22</v>
      </c>
      <c r="W165" s="90">
        <f t="shared" si="108"/>
        <v>36.000000000000028</v>
      </c>
      <c r="X165" s="96">
        <v>0.46111111111111108</v>
      </c>
      <c r="Y165" s="96">
        <v>0.47083333333333338</v>
      </c>
      <c r="Z165" s="54"/>
      <c r="AA165" s="54"/>
      <c r="AB165" s="588"/>
      <c r="AC165" s="588"/>
      <c r="AD165" s="420"/>
      <c r="AE165" s="420"/>
      <c r="AF165" s="54">
        <f>N165-K165</f>
        <v>-68.000000000001819</v>
      </c>
      <c r="AG165" s="421">
        <f>N165/K165</f>
        <v>0.96977777777777696</v>
      </c>
      <c r="AH165" s="611"/>
    </row>
    <row r="166" spans="1:36" ht="19.2" customHeight="1">
      <c r="A166" s="610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2160</v>
      </c>
      <c r="H166" s="84">
        <f t="shared" si="104"/>
        <v>78645.599999999991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2492.3076923076937</v>
      </c>
      <c r="O166" s="86">
        <f t="shared" si="106"/>
        <v>249.23076923076937</v>
      </c>
      <c r="P166" s="54">
        <f>M166-J166</f>
        <v>0</v>
      </c>
      <c r="Q166" s="88">
        <f>O166-L166</f>
        <v>-27.669230769230609</v>
      </c>
      <c r="R166" s="421">
        <f>O166/L166</f>
        <v>0.9000750062505215</v>
      </c>
      <c r="S166" s="611"/>
      <c r="T166" s="89">
        <v>0.50208333333333333</v>
      </c>
      <c r="U166" s="89">
        <v>0.53819444444444442</v>
      </c>
      <c r="V166" s="420">
        <v>7</v>
      </c>
      <c r="W166" s="90">
        <f t="shared" si="108"/>
        <v>51.999999999999972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-276.69230769230626</v>
      </c>
      <c r="AG166" s="421">
        <f>N166/K166</f>
        <v>0.90007500625052139</v>
      </c>
      <c r="AH166" s="611"/>
    </row>
    <row r="167" spans="1:36" ht="19.2" customHeight="1">
      <c r="A167" s="610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2" customHeight="1">
      <c r="A168" s="610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2" customHeight="1">
      <c r="A169" s="610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2" customHeight="1">
      <c r="A170" s="610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2" customHeight="1">
      <c r="A171" s="610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2" customHeight="1">
      <c r="A172" s="610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2" customHeight="1">
      <c r="A173" s="610"/>
      <c r="B173" s="121">
        <v>0</v>
      </c>
      <c r="C173" s="100" t="s">
        <v>617</v>
      </c>
      <c r="D173" s="617" t="s">
        <v>593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2296.9154627560015</v>
      </c>
      <c r="O173" s="104">
        <f t="shared" si="109"/>
        <v>206.09117671839147</v>
      </c>
      <c r="P173" s="54">
        <f>M173-J173</f>
        <v>0</v>
      </c>
      <c r="Q173" s="88">
        <f>O173-L173</f>
        <v>-12.08294915573444</v>
      </c>
      <c r="R173" s="105">
        <f>O173/L173</f>
        <v>0.94461786379423551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-126.08453724399851</v>
      </c>
      <c r="AG173" s="421">
        <f t="shared" si="62"/>
        <v>0.94796345965992634</v>
      </c>
      <c r="AH173" s="611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618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619</v>
      </c>
    </row>
    <row r="186" spans="23:36">
      <c r="W186" s="33"/>
      <c r="AJ186" s="275" t="s">
        <v>620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84" priority="4" operator="greaterThan">
      <formula>0</formula>
    </cfRule>
  </conditionalFormatting>
  <conditionalFormatting sqref="Q5:Q173">
    <cfRule type="cellIs" dxfId="83" priority="9" operator="lessThan">
      <formula>0</formula>
    </cfRule>
  </conditionalFormatting>
  <conditionalFormatting sqref="R5:R173">
    <cfRule type="cellIs" dxfId="82" priority="5" operator="greaterThan">
      <formula>1</formula>
    </cfRule>
    <cfRule type="cellIs" dxfId="81" priority="6" operator="lessThan">
      <formula>0.8</formula>
    </cfRule>
  </conditionalFormatting>
  <conditionalFormatting sqref="S5:S11">
    <cfRule type="cellIs" dxfId="80" priority="3014" operator="lessThan">
      <formula>0.8</formula>
    </cfRule>
  </conditionalFormatting>
  <conditionalFormatting sqref="S21:S29 AH21:AH29">
    <cfRule type="cellIs" dxfId="79" priority="2944" operator="lessThan">
      <formula>0.8</formula>
    </cfRule>
  </conditionalFormatting>
  <conditionalFormatting sqref="S43:S72">
    <cfRule type="cellIs" dxfId="78" priority="2918" operator="lessThan">
      <formula>0.8</formula>
    </cfRule>
  </conditionalFormatting>
  <conditionalFormatting sqref="S82:S91 AH82:AH91">
    <cfRule type="cellIs" dxfId="77" priority="2938" operator="lessThan">
      <formula>0.8</formula>
    </cfRule>
  </conditionalFormatting>
  <conditionalFormatting sqref="S95:S104">
    <cfRule type="cellIs" dxfId="76" priority="2908" operator="lessThan">
      <formula>0.8</formula>
    </cfRule>
  </conditionalFormatting>
  <conditionalFormatting sqref="S108:S109">
    <cfRule type="cellIs" dxfId="75" priority="2917" operator="lessThan">
      <formula>0.8</formula>
    </cfRule>
  </conditionalFormatting>
  <conditionalFormatting sqref="S122:S135 AH135">
    <cfRule type="cellIs" dxfId="74" priority="3031" operator="lessThan">
      <formula>0.8</formula>
    </cfRule>
  </conditionalFormatting>
  <conditionalFormatting sqref="S137 AH137">
    <cfRule type="cellIs" dxfId="73" priority="2988" operator="lessThan">
      <formula>0.8</formula>
    </cfRule>
  </conditionalFormatting>
  <conditionalFormatting sqref="S139:S146 AH139:AH146">
    <cfRule type="cellIs" dxfId="72" priority="2930" operator="lessThan">
      <formula>0.8</formula>
    </cfRule>
  </conditionalFormatting>
  <conditionalFormatting sqref="S148:S150">
    <cfRule type="cellIs" dxfId="71" priority="2946" operator="lessThan">
      <formula>0.8</formula>
    </cfRule>
  </conditionalFormatting>
  <conditionalFormatting sqref="S161">
    <cfRule type="cellIs" dxfId="70" priority="3099" operator="lessThan">
      <formula>0.8</formula>
    </cfRule>
  </conditionalFormatting>
  <conditionalFormatting sqref="AF5:AF173">
    <cfRule type="cellIs" dxfId="69" priority="3" operator="lessThan">
      <formula>0</formula>
    </cfRule>
  </conditionalFormatting>
  <conditionalFormatting sqref="AG5:AG173">
    <cfRule type="cellIs" dxfId="68" priority="1" operator="greaterThan">
      <formula>1</formula>
    </cfRule>
    <cfRule type="cellIs" dxfId="67" priority="2" operator="lessThan">
      <formula>0.8</formula>
    </cfRule>
  </conditionalFormatting>
  <conditionalFormatting sqref="AH5:AH9 S17:S18 AH17:AH18 AH57 AH95">
    <cfRule type="cellIs" dxfId="66" priority="3105" operator="lessThan">
      <formula>0.8</formula>
    </cfRule>
  </conditionalFormatting>
  <conditionalFormatting sqref="AH31 S31:S32">
    <cfRule type="cellIs" dxfId="65" priority="3035" operator="lessThan">
      <formula>0.8</formula>
    </cfRule>
  </conditionalFormatting>
  <conditionalFormatting sqref="AH70:AH72">
    <cfRule type="cellIs" dxfId="64" priority="3008" operator="lessThan">
      <formula>0.8</formula>
    </cfRule>
  </conditionalFormatting>
  <conditionalFormatting sqref="AH97:AH98">
    <cfRule type="cellIs" dxfId="63" priority="2999" operator="lessThan">
      <formula>0.8</formula>
    </cfRule>
  </conditionalFormatting>
  <conditionalFormatting sqref="AH100:AH107">
    <cfRule type="cellIs" dxfId="62" priority="2961" operator="lessThan">
      <formula>0.8</formula>
    </cfRule>
  </conditionalFormatting>
  <conditionalFormatting sqref="AH109">
    <cfRule type="cellIs" dxfId="61" priority="3054" operator="lessThan">
      <formula>0.8</formula>
    </cfRule>
  </conditionalFormatting>
  <conditionalFormatting sqref="AH148">
    <cfRule type="cellIs" dxfId="60" priority="3047" operator="lessThan">
      <formula>0.8</formula>
    </cfRule>
  </conditionalFormatting>
  <conditionalFormatting sqref="AH150">
    <cfRule type="cellIs" dxfId="59" priority="2947" operator="lessThan">
      <formula>0.8</formula>
    </cfRule>
  </conditionalFormatting>
  <dataValidations count="1">
    <dataValidation type="list" allowBlank="1" showInputMessage="1" showErrorMessage="1" sqref="AB5:AC173" xr:uid="{00000000-0002-0000-0B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W38"/>
  <sheetViews>
    <sheetView zoomScale="40" zoomScaleNormal="40" workbookViewId="0">
      <selection activeCell="S30" sqref="S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7" t="s">
        <v>0</v>
      </c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  <c r="N1" s="1"/>
      <c r="O1" s="1"/>
    </row>
    <row r="2" spans="2:17" ht="27.75" customHeight="1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9"/>
      <c r="N2" s="1"/>
      <c r="O2" s="1"/>
    </row>
    <row r="3" spans="2:17" ht="46.5" customHeight="1">
      <c r="B3" s="510" t="s">
        <v>1</v>
      </c>
      <c r="C3" s="511"/>
      <c r="D3" s="512" t="s">
        <v>622</v>
      </c>
      <c r="E3" s="513"/>
      <c r="F3" s="510" t="s">
        <v>2</v>
      </c>
      <c r="G3" s="511"/>
      <c r="H3" s="514">
        <v>240091.05</v>
      </c>
      <c r="I3" s="515"/>
      <c r="J3" s="510" t="s">
        <v>3</v>
      </c>
      <c r="K3" s="511"/>
      <c r="L3" s="505">
        <v>7937441.3534070663</v>
      </c>
      <c r="M3" s="506"/>
      <c r="N3" s="372"/>
      <c r="O3" s="372"/>
      <c r="P3" s="372"/>
      <c r="Q3" s="372"/>
    </row>
    <row r="4" spans="2:17" ht="24" customHeight="1">
      <c r="B4" s="510" t="s">
        <v>135</v>
      </c>
      <c r="C4" s="511"/>
      <c r="D4" s="527" t="s">
        <v>135</v>
      </c>
      <c r="E4" s="528"/>
      <c r="F4" s="503" t="s">
        <v>136</v>
      </c>
      <c r="G4" s="504"/>
      <c r="H4" s="503" t="s">
        <v>137</v>
      </c>
      <c r="I4" s="504"/>
      <c r="J4" s="503" t="s">
        <v>138</v>
      </c>
      <c r="K4" s="504"/>
      <c r="L4" s="505" t="s">
        <v>139</v>
      </c>
      <c r="M4" s="506"/>
      <c r="N4" s="519" t="s">
        <v>4</v>
      </c>
      <c r="O4" s="520"/>
      <c r="P4" s="520" t="s">
        <v>5</v>
      </c>
      <c r="Q4" s="520"/>
    </row>
    <row r="5" spans="2:17" ht="24" customHeight="1">
      <c r="B5" s="521" t="s">
        <v>35</v>
      </c>
      <c r="C5" s="522"/>
      <c r="D5" s="527" t="s">
        <v>140</v>
      </c>
      <c r="E5" s="528"/>
      <c r="F5" s="527" t="s">
        <v>6</v>
      </c>
      <c r="G5" s="528"/>
      <c r="H5" s="529" t="s">
        <v>7</v>
      </c>
      <c r="I5" s="530"/>
      <c r="J5" s="531" t="s">
        <v>8</v>
      </c>
      <c r="K5" s="532"/>
      <c r="L5" s="533" t="s">
        <v>9</v>
      </c>
      <c r="M5" s="534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3"/>
      <c r="C6" s="524"/>
      <c r="D6" s="510" t="s">
        <v>10</v>
      </c>
      <c r="E6" s="511"/>
      <c r="F6" s="535">
        <f>AVERAGE(D13:O13,P13:Q13,D30:E30,G30:H30,J30:M30)</f>
        <v>378.57281108126898</v>
      </c>
      <c r="G6" s="536"/>
      <c r="H6" s="548">
        <f>AVERAGE(D13:P13,Q13)</f>
        <v>132.75727455627984</v>
      </c>
      <c r="I6" s="549"/>
      <c r="J6" s="548">
        <f>AVERAGE(D30:E30,G30:H30)</f>
        <v>736.25</v>
      </c>
      <c r="K6" s="549"/>
      <c r="L6" s="550">
        <f>AVERAGE(J30:M30)</f>
        <v>881.25</v>
      </c>
      <c r="M6" s="551"/>
      <c r="N6" s="552">
        <v>0</v>
      </c>
      <c r="O6" s="539">
        <v>0</v>
      </c>
      <c r="P6" s="516">
        <v>10</v>
      </c>
      <c r="Q6" s="539">
        <v>6</v>
      </c>
    </row>
    <row r="7" spans="2:17" s="5" customFormat="1" ht="39.6" customHeight="1">
      <c r="B7" s="523"/>
      <c r="C7" s="524"/>
      <c r="D7" s="540" t="s">
        <v>11</v>
      </c>
      <c r="E7" s="541"/>
      <c r="F7" s="542">
        <f>AVERAGE(D14:O14,P14:Q14,D31:E31,J31:M31,G31:H31)</f>
        <v>369.02787188026963</v>
      </c>
      <c r="G7" s="543"/>
      <c r="H7" s="544">
        <f>AVERAGE(D14:P14,Q14)</f>
        <v>120.26607038529065</v>
      </c>
      <c r="I7" s="545"/>
      <c r="J7" s="544">
        <f>AVERAGE(D31:E31,G31:H31)</f>
        <v>702.91904437429105</v>
      </c>
      <c r="K7" s="545"/>
      <c r="L7" s="546">
        <f>AVERAGE(J31:M31)</f>
        <v>905.80300461867455</v>
      </c>
      <c r="M7" s="547"/>
      <c r="N7" s="552"/>
      <c r="O7" s="539"/>
      <c r="P7" s="516"/>
      <c r="Q7" s="539"/>
    </row>
    <row r="8" spans="2:17" s="5" customFormat="1" ht="39.6" customHeight="1">
      <c r="B8" s="525"/>
      <c r="C8" s="526"/>
      <c r="D8" s="540" t="s">
        <v>12</v>
      </c>
      <c r="E8" s="541"/>
      <c r="F8" s="517">
        <f>AVERAGE(D15:O15,P15:Q15,D32:E32,G32:H32,J32:M32)</f>
        <v>0.91814932313773479</v>
      </c>
      <c r="G8" s="518"/>
      <c r="H8" s="517">
        <f>AVERAGE(D15:O15,P15:Q15)</f>
        <v>0.89604974632562384</v>
      </c>
      <c r="I8" s="518"/>
      <c r="J8" s="517">
        <f>AVERAGE(D32:E32,G32:H32)</f>
        <v>0.87780544281427952</v>
      </c>
      <c r="K8" s="518"/>
      <c r="L8" s="517">
        <f>AVERAGE(J32:M32)</f>
        <v>1.0358417223035781</v>
      </c>
      <c r="M8" s="518"/>
      <c r="N8" s="552"/>
      <c r="O8" s="539"/>
      <c r="P8" s="516"/>
      <c r="Q8" s="539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53" t="s">
        <v>145</v>
      </c>
      <c r="C10" s="554"/>
      <c r="D10" s="555" t="s">
        <v>146</v>
      </c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7"/>
    </row>
    <row r="11" spans="2:17" ht="17.25" customHeight="1">
      <c r="B11" s="558" t="s">
        <v>147</v>
      </c>
      <c r="C11" s="522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559"/>
      <c r="C12" s="526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560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95.549632352941174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" customHeight="1">
      <c r="B14" s="561"/>
      <c r="C14" s="14" t="s">
        <v>162</v>
      </c>
      <c r="D14" s="19">
        <v>130.40545981248826</v>
      </c>
      <c r="E14" s="19">
        <v>99.760990221272579</v>
      </c>
      <c r="F14" s="19">
        <v>112.55652262600839</v>
      </c>
      <c r="G14" s="19">
        <v>236.94758810256559</v>
      </c>
      <c r="H14" s="19">
        <v>220.25256405520506</v>
      </c>
      <c r="I14" s="19">
        <v>79.594830934081713</v>
      </c>
      <c r="J14" s="19">
        <v>81.776862472505599</v>
      </c>
      <c r="K14" s="19">
        <v>71.489409466217765</v>
      </c>
      <c r="L14" s="19">
        <v>83.187629621352215</v>
      </c>
      <c r="M14" s="19">
        <v>71.930996711029891</v>
      </c>
      <c r="N14" s="19">
        <v>77.252668269263069</v>
      </c>
      <c r="O14" s="19">
        <v>74.793901931370286</v>
      </c>
      <c r="P14" s="19">
        <v>198.66521318536076</v>
      </c>
      <c r="Q14" s="9">
        <v>145.110347985348</v>
      </c>
    </row>
    <row r="15" spans="2:17" ht="39.9" customHeight="1">
      <c r="B15" s="562"/>
      <c r="C15" s="373" t="s">
        <v>163</v>
      </c>
      <c r="D15" s="10">
        <f t="shared" ref="D15:Q15" si="0">D14/D13</f>
        <v>0.91301724167598175</v>
      </c>
      <c r="E15" s="10">
        <f t="shared" si="0"/>
        <v>0.87625906675017984</v>
      </c>
      <c r="F15" s="10">
        <f t="shared" si="0"/>
        <v>0.83699321387193992</v>
      </c>
      <c r="G15" s="10">
        <f t="shared" si="0"/>
        <v>0.88460432891624496</v>
      </c>
      <c r="H15" s="10">
        <f t="shared" si="0"/>
        <v>0.97374817792827506</v>
      </c>
      <c r="I15" s="10">
        <f t="shared" si="0"/>
        <v>0.93015822446440788</v>
      </c>
      <c r="J15" s="10">
        <f t="shared" si="0"/>
        <v>0.85585742675009224</v>
      </c>
      <c r="K15" s="10">
        <f t="shared" si="0"/>
        <v>0.84870473162076732</v>
      </c>
      <c r="L15" s="10">
        <f t="shared" si="0"/>
        <v>0.90230273997113786</v>
      </c>
      <c r="M15" s="10">
        <f t="shared" si="0"/>
        <v>0.87928686786945198</v>
      </c>
      <c r="N15" s="10">
        <f t="shared" si="0"/>
        <v>0.89311321509413211</v>
      </c>
      <c r="O15" s="10">
        <f t="shared" si="0"/>
        <v>0.82085862737922399</v>
      </c>
      <c r="P15" s="375">
        <f t="shared" si="0"/>
        <v>0.96239026636457947</v>
      </c>
      <c r="Q15" s="11">
        <f t="shared" si="0"/>
        <v>0.96740231990231995</v>
      </c>
    </row>
    <row r="16" spans="2:17" ht="22.8" customHeight="1">
      <c r="B16" s="563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8" customHeight="1">
      <c r="B17" s="564"/>
      <c r="C17" s="373" t="s">
        <v>36</v>
      </c>
      <c r="D17" s="12">
        <v>0.69513888888888875</v>
      </c>
      <c r="E17" s="12">
        <v>0.67430555555555549</v>
      </c>
      <c r="F17" s="12">
        <v>0.61666666666666659</v>
      </c>
      <c r="G17" s="12">
        <v>0.62847222222222221</v>
      </c>
      <c r="H17" s="12">
        <v>0.62569444444444444</v>
      </c>
      <c r="I17" s="12">
        <v>0.65763888888888866</v>
      </c>
      <c r="J17" s="12">
        <v>0.73819444444444449</v>
      </c>
      <c r="K17" s="12">
        <v>0.73263888888888884</v>
      </c>
      <c r="L17" s="12">
        <v>0.87708333333333321</v>
      </c>
      <c r="M17" s="12">
        <v>0.92708333333333315</v>
      </c>
      <c r="N17" s="12">
        <v>0.93888888888888877</v>
      </c>
      <c r="O17" s="22">
        <v>0.91874999999999984</v>
      </c>
      <c r="P17" s="12">
        <v>0.50486111111111109</v>
      </c>
      <c r="Q17" s="376">
        <v>0.53125</v>
      </c>
    </row>
    <row r="18" spans="2:23" ht="22.8" customHeight="1">
      <c r="B18" s="537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538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537" t="s">
        <v>16</v>
      </c>
      <c r="C20" s="377" t="s">
        <v>166</v>
      </c>
      <c r="D20" s="378" t="s">
        <v>15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 t="s">
        <v>15</v>
      </c>
      <c r="N20" s="378">
        <v>1</v>
      </c>
      <c r="O20" s="378">
        <v>1</v>
      </c>
      <c r="P20" s="378">
        <v>1</v>
      </c>
      <c r="Q20" s="379"/>
    </row>
    <row r="21" spans="2:23" ht="22.8" customHeight="1">
      <c r="B21" s="538"/>
      <c r="C21" s="377" t="s">
        <v>168</v>
      </c>
      <c r="D21" s="378">
        <v>1</v>
      </c>
      <c r="E21" s="378" t="s">
        <v>15</v>
      </c>
      <c r="F21" s="378" t="s">
        <v>15</v>
      </c>
      <c r="G21" s="378">
        <v>1</v>
      </c>
      <c r="H21" s="378" t="s">
        <v>15</v>
      </c>
      <c r="I21" s="378">
        <v>1</v>
      </c>
      <c r="J21" s="378">
        <v>1</v>
      </c>
      <c r="K21" s="378" t="s">
        <v>15</v>
      </c>
      <c r="L21" s="378">
        <v>1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565" t="s">
        <v>169</v>
      </c>
      <c r="C22" s="511"/>
      <c r="D22" s="380">
        <v>18.285714285714285</v>
      </c>
      <c r="E22" s="380">
        <v>17.285714285714285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11.5</v>
      </c>
    </row>
    <row r="23" spans="2:23" ht="22.8" customHeight="1">
      <c r="B23" s="565" t="s">
        <v>170</v>
      </c>
      <c r="C23" s="511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5" t="s">
        <v>171</v>
      </c>
      <c r="C24" s="51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6" t="s">
        <v>172</v>
      </c>
      <c r="C25" s="56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53"/>
      <c r="C27" s="578"/>
      <c r="D27" s="570" t="s">
        <v>173</v>
      </c>
      <c r="E27" s="571"/>
      <c r="F27" s="571"/>
      <c r="G27" s="571"/>
      <c r="H27" s="572"/>
      <c r="I27" s="573" t="s">
        <v>174</v>
      </c>
      <c r="J27" s="574"/>
      <c r="K27" s="574"/>
      <c r="L27" s="574"/>
      <c r="M27" s="575"/>
      <c r="N27" s="372"/>
      <c r="O27" s="372"/>
      <c r="P27" s="372"/>
      <c r="Q27" s="372"/>
    </row>
    <row r="28" spans="2:23" ht="17.25" customHeight="1">
      <c r="B28" s="558" t="s">
        <v>147</v>
      </c>
      <c r="C28" s="57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9"/>
      <c r="C29" s="577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560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561"/>
      <c r="C31" s="386" t="s">
        <v>162</v>
      </c>
      <c r="D31" s="388">
        <v>150.80000000000013</v>
      </c>
      <c r="E31" s="8">
        <v>826.08258297666123</v>
      </c>
      <c r="F31" s="8">
        <v>0</v>
      </c>
      <c r="G31" s="8">
        <v>852.506944444444</v>
      </c>
      <c r="H31" s="389">
        <v>982.28665007605889</v>
      </c>
      <c r="I31" s="388">
        <v>0</v>
      </c>
      <c r="J31" s="8">
        <v>1164.0000000000043</v>
      </c>
      <c r="K31" s="8">
        <v>669.91428571428446</v>
      </c>
      <c r="L31" s="8">
        <v>908.95326769698966</v>
      </c>
      <c r="M31" s="389">
        <v>880.34446506341988</v>
      </c>
      <c r="N31" s="372"/>
      <c r="O31" s="372"/>
      <c r="P31" s="372"/>
      <c r="Q31" s="372"/>
    </row>
    <row r="32" spans="2:23" ht="39.9" customHeight="1">
      <c r="B32" s="562"/>
      <c r="C32" s="407" t="s">
        <v>163</v>
      </c>
      <c r="D32" s="390">
        <f t="shared" ref="D32:M32" si="1">D31/D30</f>
        <v>0.47125000000000039</v>
      </c>
      <c r="E32" s="10">
        <f t="shared" si="1"/>
        <v>1.0013122217898924</v>
      </c>
      <c r="F32" s="10">
        <f t="shared" si="1"/>
        <v>0</v>
      </c>
      <c r="G32" s="10">
        <f t="shared" si="1"/>
        <v>0.9472299382716044</v>
      </c>
      <c r="H32" s="10">
        <f t="shared" si="1"/>
        <v>1.091429611195621</v>
      </c>
      <c r="I32" s="388">
        <f t="shared" si="1"/>
        <v>0</v>
      </c>
      <c r="J32" s="10">
        <f t="shared" si="1"/>
        <v>1.4109090909090962</v>
      </c>
      <c r="K32" s="10">
        <f t="shared" si="1"/>
        <v>0.74434920634920498</v>
      </c>
      <c r="L32" s="10">
        <f t="shared" si="1"/>
        <v>1.0099480752188774</v>
      </c>
      <c r="M32" s="11">
        <f t="shared" si="1"/>
        <v>0.97816051673713322</v>
      </c>
      <c r="N32" s="372"/>
      <c r="O32" s="372"/>
      <c r="P32" s="372"/>
      <c r="Q32" s="372"/>
    </row>
    <row r="33" spans="2:17" ht="25.8" customHeight="1">
      <c r="B33" s="563" t="s">
        <v>164</v>
      </c>
      <c r="C33" s="407" t="s">
        <v>165</v>
      </c>
      <c r="D33" s="391">
        <v>0.33680555555555558</v>
      </c>
      <c r="E33" s="12">
        <v>0.18055555555555555</v>
      </c>
      <c r="F33" s="12">
        <v>0</v>
      </c>
      <c r="G33" s="12">
        <v>2986.6666666666774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2"/>
      <c r="O33" s="372"/>
      <c r="P33" s="372"/>
      <c r="Q33" s="372"/>
    </row>
    <row r="34" spans="2:17" ht="25.8" customHeight="1">
      <c r="B34" s="564"/>
      <c r="C34" s="407" t="s">
        <v>36</v>
      </c>
      <c r="D34" s="391">
        <v>0.3576388888888889</v>
      </c>
      <c r="E34" s="12">
        <v>0.34375</v>
      </c>
      <c r="F34" s="12">
        <v>0</v>
      </c>
      <c r="G34" s="12">
        <v>1046.5000000000016</v>
      </c>
      <c r="H34" s="376">
        <v>0.53125</v>
      </c>
      <c r="I34" s="23">
        <v>0</v>
      </c>
      <c r="J34" s="12">
        <v>0.73263888888888884</v>
      </c>
      <c r="K34" s="12">
        <v>0.77777777777777779</v>
      </c>
      <c r="L34" s="12">
        <v>46179.024305555555</v>
      </c>
      <c r="M34" s="13">
        <v>46179.017361111109</v>
      </c>
      <c r="N34" s="372"/>
      <c r="O34" s="372"/>
      <c r="P34" s="372"/>
      <c r="Q34" s="372"/>
    </row>
    <row r="35" spans="2:17" ht="25.8" customHeight="1">
      <c r="B35" s="565" t="s">
        <v>169</v>
      </c>
      <c r="C35" s="5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565" t="s">
        <v>170</v>
      </c>
      <c r="C36" s="5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565" t="s">
        <v>171</v>
      </c>
      <c r="C37" s="5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566" t="s">
        <v>172</v>
      </c>
      <c r="C38" s="569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C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8" priority="1" operator="lessThan">
      <formula>0.8</formula>
    </cfRule>
  </conditionalFormatting>
  <conditionalFormatting sqref="D15:Q15">
    <cfRule type="cellIs" dxfId="57" priority="4" operator="lessThan">
      <formula>0.8</formula>
    </cfRule>
  </conditionalFormatting>
  <conditionalFormatting sqref="J32:M32">
    <cfRule type="cellIs" dxfId="5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79998168889431442"/>
    <pageSetUpPr fitToPage="1"/>
  </sheetPr>
  <dimension ref="A1:R126"/>
  <sheetViews>
    <sheetView zoomScale="85" zoomScaleNormal="85" workbookViewId="0">
      <selection activeCell="I24" sqref="I2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749</v>
      </c>
      <c r="B1" s="277"/>
      <c r="C1" s="278"/>
      <c r="D1" s="279" t="s">
        <v>750</v>
      </c>
      <c r="E1" s="280">
        <f>SUM(G5:G124)</f>
        <v>78532</v>
      </c>
      <c r="F1" s="281" t="s">
        <v>3</v>
      </c>
      <c r="G1" s="282">
        <f>SUM(H5:H124)</f>
        <v>1495634.6860355102</v>
      </c>
      <c r="H1" s="283" t="s">
        <v>751</v>
      </c>
      <c r="I1" s="284">
        <f>+J16+J64+J24+J38+J51+J81+J100+J91+J57+J124+J111</f>
        <v>44.995238095238093</v>
      </c>
      <c r="J1" s="487" t="s">
        <v>752</v>
      </c>
      <c r="K1" s="488"/>
      <c r="L1" s="489"/>
      <c r="M1" s="487" t="s">
        <v>753</v>
      </c>
      <c r="N1" s="488"/>
      <c r="O1" s="488"/>
      <c r="P1" s="488"/>
      <c r="Q1" s="488"/>
      <c r="R1" s="489"/>
    </row>
    <row r="2" spans="1:18" ht="26.25" customHeight="1" thickBot="1">
      <c r="A2" s="493" t="s">
        <v>754</v>
      </c>
      <c r="B2" s="494"/>
      <c r="C2" s="286"/>
      <c r="D2" s="414" t="s">
        <v>755</v>
      </c>
      <c r="E2" s="287">
        <f>AVERAGE(L16,L24,L38,L51,L100,L111,L91)</f>
        <v>644.14341406221456</v>
      </c>
      <c r="F2" s="288" t="s">
        <v>40</v>
      </c>
      <c r="G2" s="289">
        <f>G1/E1</f>
        <v>19.04490763046287</v>
      </c>
      <c r="H2" s="290" t="s">
        <v>756</v>
      </c>
      <c r="I2" s="291">
        <f>COUNT(I5:I124)</f>
        <v>0</v>
      </c>
      <c r="J2" s="490"/>
      <c r="K2" s="491"/>
      <c r="L2" s="492"/>
      <c r="M2" s="490"/>
      <c r="N2" s="491"/>
      <c r="O2" s="491"/>
      <c r="P2" s="491"/>
      <c r="Q2" s="491"/>
      <c r="R2" s="492"/>
    </row>
    <row r="3" spans="1:18" ht="23.25" customHeight="1">
      <c r="A3" s="495" t="s">
        <v>757</v>
      </c>
      <c r="B3" s="497" t="s">
        <v>758</v>
      </c>
      <c r="C3" s="416"/>
      <c r="D3" s="498" t="s">
        <v>759</v>
      </c>
      <c r="E3" s="498"/>
      <c r="F3" s="499" t="s">
        <v>43</v>
      </c>
      <c r="G3" s="500" t="s">
        <v>760</v>
      </c>
      <c r="H3" s="498" t="s">
        <v>761</v>
      </c>
      <c r="I3" s="501" t="s">
        <v>762</v>
      </c>
      <c r="J3" s="468" t="s">
        <v>763</v>
      </c>
      <c r="K3" s="480" t="s">
        <v>764</v>
      </c>
      <c r="L3" s="482" t="s">
        <v>755</v>
      </c>
      <c r="M3" s="484" t="s">
        <v>48</v>
      </c>
      <c r="N3" s="484"/>
      <c r="O3" s="468" t="s">
        <v>106</v>
      </c>
      <c r="P3" s="485" t="s">
        <v>765</v>
      </c>
      <c r="Q3" s="468" t="s">
        <v>766</v>
      </c>
      <c r="R3" s="468"/>
    </row>
    <row r="4" spans="1:18" ht="15.75" customHeight="1">
      <c r="A4" s="496"/>
      <c r="B4" s="497"/>
      <c r="C4" s="416"/>
      <c r="D4" s="498"/>
      <c r="E4" s="498"/>
      <c r="F4" s="499"/>
      <c r="G4" s="500"/>
      <c r="H4" s="498"/>
      <c r="I4" s="502"/>
      <c r="J4" s="479"/>
      <c r="K4" s="481"/>
      <c r="L4" s="483"/>
      <c r="M4" s="419" t="s">
        <v>50</v>
      </c>
      <c r="N4" s="419" t="s">
        <v>51</v>
      </c>
      <c r="O4" s="479"/>
      <c r="P4" s="486"/>
      <c r="Q4" s="292" t="s">
        <v>767</v>
      </c>
      <c r="R4" s="292" t="s">
        <v>768</v>
      </c>
    </row>
    <row r="5" spans="1:18">
      <c r="A5" s="469" t="s">
        <v>769</v>
      </c>
      <c r="B5" s="293" t="s">
        <v>131</v>
      </c>
      <c r="C5" s="293"/>
      <c r="D5" s="294" t="s">
        <v>770</v>
      </c>
      <c r="E5" s="294"/>
      <c r="F5" s="295">
        <v>29.965493443754308</v>
      </c>
      <c r="G5" s="416">
        <v>1504</v>
      </c>
      <c r="H5" s="296">
        <f>F5*G5</f>
        <v>45068.102139406481</v>
      </c>
      <c r="I5" s="417"/>
      <c r="J5" s="297">
        <v>13</v>
      </c>
      <c r="K5" s="298">
        <f t="shared" ref="K5:K10" si="0">G5/P5*60</f>
        <v>1203.2000000000005</v>
      </c>
      <c r="L5" s="299">
        <f t="shared" ref="L5:L10" si="1">K5/J5</f>
        <v>92.553846153846195</v>
      </c>
      <c r="M5" s="300">
        <v>0.17361111111111113</v>
      </c>
      <c r="N5" s="300">
        <v>0.22569444444444445</v>
      </c>
      <c r="O5" s="292">
        <v>10</v>
      </c>
      <c r="P5" s="411">
        <f t="shared" ref="P5:P10" si="2">(N5-M5)*24*60</f>
        <v>74.999999999999972</v>
      </c>
      <c r="Q5" s="301"/>
      <c r="R5" s="301"/>
    </row>
    <row r="6" spans="1:18">
      <c r="A6" s="469"/>
      <c r="B6" s="293">
        <v>0</v>
      </c>
      <c r="C6" s="293"/>
      <c r="D6" s="294" t="s">
        <v>192</v>
      </c>
      <c r="E6" s="294"/>
      <c r="F6" s="295" t="s">
        <v>133</v>
      </c>
      <c r="G6" s="416">
        <v>1961</v>
      </c>
      <c r="H6" s="296">
        <f t="shared" ref="H6:H15" si="3">F6*G6</f>
        <v>0</v>
      </c>
      <c r="I6" s="417"/>
      <c r="J6" s="297">
        <v>8</v>
      </c>
      <c r="K6" s="298">
        <f t="shared" si="0"/>
        <v>1568.7999999999997</v>
      </c>
      <c r="L6" s="299">
        <f t="shared" si="1"/>
        <v>196.09999999999997</v>
      </c>
      <c r="M6" s="300">
        <v>0.22916666666666666</v>
      </c>
      <c r="N6" s="300">
        <v>0.28125</v>
      </c>
      <c r="O6" s="292">
        <v>5</v>
      </c>
      <c r="P6" s="411">
        <f t="shared" si="2"/>
        <v>75.000000000000014</v>
      </c>
      <c r="Q6" s="292"/>
      <c r="R6" s="292"/>
    </row>
    <row r="7" spans="1:18">
      <c r="A7" s="469"/>
      <c r="B7" s="293">
        <v>0</v>
      </c>
      <c r="C7" s="293"/>
      <c r="D7" s="294" t="s">
        <v>193</v>
      </c>
      <c r="E7" s="294"/>
      <c r="F7" s="295" t="s">
        <v>133</v>
      </c>
      <c r="G7" s="416">
        <v>1905</v>
      </c>
      <c r="H7" s="296">
        <f t="shared" si="3"/>
        <v>0</v>
      </c>
      <c r="I7" s="417"/>
      <c r="J7" s="297">
        <v>8</v>
      </c>
      <c r="K7" s="298">
        <f t="shared" si="0"/>
        <v>1632.8571428571431</v>
      </c>
      <c r="L7" s="299">
        <f t="shared" si="1"/>
        <v>204.10714285714289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469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1230</v>
      </c>
      <c r="H8" s="296">
        <f t="shared" si="3"/>
        <v>44833.5</v>
      </c>
      <c r="I8" s="417"/>
      <c r="J8" s="297">
        <v>12</v>
      </c>
      <c r="K8" s="298">
        <f t="shared" si="0"/>
        <v>1476.0000000000005</v>
      </c>
      <c r="L8" s="299">
        <f t="shared" si="1"/>
        <v>123.00000000000004</v>
      </c>
      <c r="M8" s="300">
        <v>0.3611111111111111</v>
      </c>
      <c r="N8" s="300">
        <v>0.39583333333333331</v>
      </c>
      <c r="O8" s="292">
        <v>5</v>
      </c>
      <c r="P8" s="411">
        <f t="shared" si="2"/>
        <v>49.999999999999986</v>
      </c>
      <c r="Q8" s="301">
        <v>0.40277777777777773</v>
      </c>
      <c r="R8" s="301">
        <v>0.43402777777777773</v>
      </c>
    </row>
    <row r="9" spans="1:18">
      <c r="A9" s="469"/>
      <c r="B9" s="293" t="s">
        <v>134</v>
      </c>
      <c r="C9" s="293"/>
      <c r="D9" s="294" t="s">
        <v>195</v>
      </c>
      <c r="E9" s="294"/>
      <c r="F9" s="295">
        <v>29.85</v>
      </c>
      <c r="G9" s="302">
        <v>1961</v>
      </c>
      <c r="H9" s="296">
        <f t="shared" si="3"/>
        <v>58535.850000000006</v>
      </c>
      <c r="I9" s="417"/>
      <c r="J9" s="297">
        <v>14</v>
      </c>
      <c r="K9" s="298">
        <f t="shared" si="0"/>
        <v>1810.1538461538457</v>
      </c>
      <c r="L9" s="299">
        <f t="shared" si="1"/>
        <v>129.29670329670327</v>
      </c>
      <c r="M9" s="300">
        <v>0.4375</v>
      </c>
      <c r="N9" s="300">
        <v>0.4826388888888889</v>
      </c>
      <c r="O9" s="292">
        <v>5</v>
      </c>
      <c r="P9" s="411">
        <f t="shared" si="2"/>
        <v>65.000000000000014</v>
      </c>
      <c r="Q9" s="301"/>
      <c r="R9" s="301"/>
    </row>
    <row r="10" spans="1:18">
      <c r="A10" s="469"/>
      <c r="B10" s="293" t="s">
        <v>134</v>
      </c>
      <c r="C10" s="293"/>
      <c r="D10" s="294" t="s">
        <v>196</v>
      </c>
      <c r="E10" s="294"/>
      <c r="F10" s="295">
        <v>29.52</v>
      </c>
      <c r="G10" s="302">
        <v>1905</v>
      </c>
      <c r="H10" s="296">
        <f t="shared" si="3"/>
        <v>56235.6</v>
      </c>
      <c r="I10" s="417"/>
      <c r="J10" s="297">
        <v>14</v>
      </c>
      <c r="K10" s="298">
        <f t="shared" si="0"/>
        <v>1758.4615384615381</v>
      </c>
      <c r="L10" s="299">
        <f t="shared" si="1"/>
        <v>125.60439560439558</v>
      </c>
      <c r="M10" s="300">
        <v>0.4861111111111111</v>
      </c>
      <c r="N10" s="300">
        <v>0.53125</v>
      </c>
      <c r="O10" s="292">
        <v>5</v>
      </c>
      <c r="P10" s="411">
        <f t="shared" si="2"/>
        <v>65.000000000000014</v>
      </c>
      <c r="Q10" s="301"/>
      <c r="R10" s="301"/>
    </row>
    <row r="11" spans="1:18">
      <c r="A11" s="469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70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70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70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70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71"/>
      <c r="B16" s="293">
        <v>0</v>
      </c>
      <c r="C16" s="293" t="s">
        <v>771</v>
      </c>
      <c r="D16" s="455" t="s">
        <v>655</v>
      </c>
      <c r="E16" s="455"/>
      <c r="F16" s="304"/>
      <c r="G16" s="305"/>
      <c r="H16" s="306"/>
      <c r="I16" s="307"/>
      <c r="J16" s="308">
        <f>AVERAGE(J5:J15)</f>
        <v>11.5</v>
      </c>
      <c r="K16" s="308">
        <f>AVERAGE(K5:K15)</f>
        <v>1574.9120879120881</v>
      </c>
      <c r="L16" s="309">
        <f>AVERAGE(L5:L15)</f>
        <v>145.110347985348</v>
      </c>
      <c r="M16" s="300"/>
      <c r="N16" s="300"/>
      <c r="O16" s="298"/>
      <c r="P16" s="298"/>
      <c r="Q16" s="299"/>
      <c r="R16" s="299"/>
    </row>
    <row r="17" spans="1:18" ht="15.75" customHeight="1">
      <c r="A17" s="472" t="s">
        <v>772</v>
      </c>
      <c r="B17" s="293" t="s">
        <v>134</v>
      </c>
      <c r="C17" s="416"/>
      <c r="D17" s="475" t="s">
        <v>180</v>
      </c>
      <c r="E17" s="476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0.33680555555555558</v>
      </c>
      <c r="N17" s="300">
        <v>0.3576388888888889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472"/>
      <c r="B18" s="293">
        <v>0</v>
      </c>
      <c r="C18" s="416"/>
      <c r="D18" s="477"/>
      <c r="E18" s="478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2"/>
      <c r="B19" s="293">
        <v>0</v>
      </c>
      <c r="C19" s="416"/>
      <c r="D19" s="477"/>
      <c r="E19" s="478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3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3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3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3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474"/>
      <c r="B24" s="293">
        <v>0</v>
      </c>
      <c r="C24" s="6" t="s">
        <v>773</v>
      </c>
      <c r="D24" s="455" t="s">
        <v>655</v>
      </c>
      <c r="E24" s="455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459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956</v>
      </c>
      <c r="H25" s="296">
        <f t="shared" ref="H25:H37" si="6">F25*G25</f>
        <v>14368.68</v>
      </c>
      <c r="I25" s="417"/>
      <c r="J25" s="297">
        <v>4</v>
      </c>
      <c r="K25" s="298">
        <f t="shared" ref="K25:K28" si="7">G25/P25*60</f>
        <v>2731.4285714285706</v>
      </c>
      <c r="L25" s="299">
        <f t="shared" ref="L25:L28" si="8">K25/J25</f>
        <v>682.85714285714266</v>
      </c>
      <c r="M25" s="300">
        <v>0.18055555555555555</v>
      </c>
      <c r="N25" s="300">
        <v>0.19513888888888889</v>
      </c>
      <c r="O25" s="292">
        <v>20</v>
      </c>
      <c r="P25" s="411">
        <f t="shared" ref="P25:P28" si="9">(N25-M25)*24*60</f>
        <v>21.000000000000007</v>
      </c>
      <c r="Q25" s="301"/>
      <c r="R25" s="301"/>
    </row>
    <row r="26" spans="1:18">
      <c r="A26" s="459"/>
      <c r="B26" s="293" t="s">
        <v>131</v>
      </c>
      <c r="C26" s="314"/>
      <c r="D26" s="312" t="s">
        <v>107</v>
      </c>
      <c r="E26" s="317"/>
      <c r="F26" s="295">
        <v>18.18</v>
      </c>
      <c r="G26" s="416">
        <v>2689</v>
      </c>
      <c r="H26" s="296">
        <f t="shared" si="6"/>
        <v>48886.02</v>
      </c>
      <c r="I26" s="417"/>
      <c r="J26" s="297">
        <v>4</v>
      </c>
      <c r="K26" s="298">
        <f t="shared" si="7"/>
        <v>2781.7241379310349</v>
      </c>
      <c r="L26" s="299">
        <f t="shared" si="8"/>
        <v>695.43103448275872</v>
      </c>
      <c r="M26" s="300">
        <v>0.20902777777777778</v>
      </c>
      <c r="N26" s="300">
        <v>0.24930555555555556</v>
      </c>
      <c r="O26" s="292">
        <v>20</v>
      </c>
      <c r="P26" s="411">
        <f t="shared" si="9"/>
        <v>57.999999999999993</v>
      </c>
      <c r="Q26" s="301"/>
      <c r="R26" s="301"/>
    </row>
    <row r="27" spans="1:18">
      <c r="A27" s="459"/>
      <c r="B27" s="293" t="s">
        <v>131</v>
      </c>
      <c r="C27" s="314"/>
      <c r="D27" s="316" t="s">
        <v>109</v>
      </c>
      <c r="E27" s="317"/>
      <c r="F27" s="295">
        <v>18.53</v>
      </c>
      <c r="G27" s="416">
        <v>1620</v>
      </c>
      <c r="H27" s="296">
        <f t="shared" si="6"/>
        <v>30018.600000000002</v>
      </c>
      <c r="I27" s="417"/>
      <c r="J27" s="297">
        <v>3</v>
      </c>
      <c r="K27" s="298">
        <f t="shared" si="7"/>
        <v>2777.1428571428546</v>
      </c>
      <c r="L27" s="299">
        <f t="shared" si="8"/>
        <v>925.71428571428487</v>
      </c>
      <c r="M27" s="300">
        <v>0.26319444444444445</v>
      </c>
      <c r="N27" s="300">
        <v>0.28750000000000003</v>
      </c>
      <c r="O27" s="292">
        <v>20</v>
      </c>
      <c r="P27" s="411">
        <f t="shared" si="9"/>
        <v>35.000000000000036</v>
      </c>
      <c r="Q27" s="301"/>
      <c r="R27" s="301"/>
    </row>
    <row r="28" spans="1:18">
      <c r="A28" s="459"/>
      <c r="B28" s="293" t="s">
        <v>131</v>
      </c>
      <c r="C28" s="416"/>
      <c r="D28" s="312" t="s">
        <v>776</v>
      </c>
      <c r="E28" s="317"/>
      <c r="F28" s="295">
        <v>24.93</v>
      </c>
      <c r="G28" s="416">
        <v>3051</v>
      </c>
      <c r="H28" s="296">
        <f t="shared" si="6"/>
        <v>76061.429999999993</v>
      </c>
      <c r="I28" s="417"/>
      <c r="J28" s="297">
        <v>3</v>
      </c>
      <c r="K28" s="298">
        <f t="shared" si="7"/>
        <v>3000.9836065573759</v>
      </c>
      <c r="L28" s="299">
        <f t="shared" si="8"/>
        <v>1000.3278688524587</v>
      </c>
      <c r="M28" s="300">
        <v>0.30138888888888887</v>
      </c>
      <c r="N28" s="300">
        <v>0.34375</v>
      </c>
      <c r="O28" s="292">
        <v>20</v>
      </c>
      <c r="P28" s="411">
        <f t="shared" si="9"/>
        <v>61.000000000000021</v>
      </c>
      <c r="Q28" s="301"/>
      <c r="R28" s="301"/>
    </row>
    <row r="29" spans="1:18">
      <c r="A29" s="459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59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59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59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59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59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59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59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59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460"/>
      <c r="B38" s="293">
        <v>0</v>
      </c>
      <c r="C38" s="6" t="s">
        <v>27</v>
      </c>
      <c r="D38" s="450" t="s">
        <v>108</v>
      </c>
      <c r="E38" s="450"/>
      <c r="F38" s="304"/>
      <c r="G38" s="320"/>
      <c r="H38" s="306"/>
      <c r="I38" s="307"/>
      <c r="J38" s="308">
        <f>AVERAGE(J25:J37)</f>
        <v>3.5</v>
      </c>
      <c r="K38" s="308">
        <f>AVERAGE(K25:K37)</f>
        <v>2822.8197932649591</v>
      </c>
      <c r="L38" s="309">
        <f>AVERAGE(L25:L37)</f>
        <v>826.08258297666123</v>
      </c>
      <c r="M38" s="300"/>
      <c r="N38" s="300"/>
      <c r="O38" s="298"/>
      <c r="P38" s="298"/>
      <c r="Q38" s="299"/>
      <c r="R38" s="299"/>
    </row>
    <row r="39" spans="1:18" ht="16.2" customHeight="1">
      <c r="A39" s="461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62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62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62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62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62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62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62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62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63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63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63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64"/>
      <c r="B51" s="293">
        <v>0</v>
      </c>
      <c r="C51" s="6" t="s">
        <v>28</v>
      </c>
      <c r="D51" s="455" t="s">
        <v>655</v>
      </c>
      <c r="E51" s="455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5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867</v>
      </c>
      <c r="H52" s="296">
        <f>F52*G52</f>
        <v>15762.06</v>
      </c>
      <c r="I52" s="417"/>
      <c r="J52" s="297">
        <v>3</v>
      </c>
      <c r="K52" s="298">
        <f>G52/P52*60</f>
        <v>3059.9999999999823</v>
      </c>
      <c r="L52" s="299">
        <f>K52/J52</f>
        <v>1019.9999999999941</v>
      </c>
      <c r="M52" s="300">
        <v>0.30555555555555552</v>
      </c>
      <c r="N52" s="300">
        <v>0.31736111111111115</v>
      </c>
      <c r="O52" s="298">
        <v>20</v>
      </c>
      <c r="P52" s="411">
        <f>(N52-M52)*24*60</f>
        <v>17.000000000000099</v>
      </c>
      <c r="Q52" s="301"/>
      <c r="R52" s="301"/>
    </row>
    <row r="53" spans="1:18" ht="15.6" customHeight="1">
      <c r="A53" s="466"/>
      <c r="B53" s="293" t="s">
        <v>131</v>
      </c>
      <c r="C53" s="416"/>
      <c r="D53" s="315" t="s">
        <v>110</v>
      </c>
      <c r="E53" s="331"/>
      <c r="F53" s="295">
        <v>25.03</v>
      </c>
      <c r="G53" s="302">
        <v>602</v>
      </c>
      <c r="H53" s="296">
        <f t="shared" ref="H53:H116" si="11">F53*G53</f>
        <v>15068.060000000001</v>
      </c>
      <c r="I53" s="417"/>
      <c r="J53" s="297">
        <v>4</v>
      </c>
      <c r="K53" s="298">
        <f t="shared" ref="K53:K57" si="12">G53/P53*60</f>
        <v>3009.9999999999905</v>
      </c>
      <c r="L53" s="299">
        <f t="shared" ref="L53:L57" si="13">K53/J53</f>
        <v>752.49999999999761</v>
      </c>
      <c r="M53" s="300">
        <v>0.33124999999999999</v>
      </c>
      <c r="N53" s="300">
        <v>0.33958333333333335</v>
      </c>
      <c r="O53" s="298">
        <v>20</v>
      </c>
      <c r="P53" s="411">
        <f t="shared" ref="P53:P57" si="14">(N53-M53)*24*60</f>
        <v>12.000000000000037</v>
      </c>
      <c r="Q53" s="301"/>
      <c r="R53" s="301"/>
    </row>
    <row r="54" spans="1:18" ht="15.6" customHeight="1">
      <c r="A54" s="466"/>
      <c r="B54" s="293" t="s">
        <v>131</v>
      </c>
      <c r="C54" s="416"/>
      <c r="D54" s="315" t="s">
        <v>111</v>
      </c>
      <c r="E54" s="413"/>
      <c r="F54" s="295">
        <v>24.82</v>
      </c>
      <c r="G54" s="302">
        <v>824</v>
      </c>
      <c r="H54" s="296">
        <f t="shared" si="11"/>
        <v>20451.68</v>
      </c>
      <c r="I54" s="417"/>
      <c r="J54" s="297">
        <v>4</v>
      </c>
      <c r="K54" s="298">
        <f t="shared" si="12"/>
        <v>3089.9999999999959</v>
      </c>
      <c r="L54" s="299">
        <f t="shared" si="13"/>
        <v>772.49999999999898</v>
      </c>
      <c r="M54" s="300">
        <v>0.35347222222222219</v>
      </c>
      <c r="N54" s="300">
        <v>0.36458333333333331</v>
      </c>
      <c r="O54" s="298">
        <v>20</v>
      </c>
      <c r="P54" s="411">
        <f t="shared" si="14"/>
        <v>16.000000000000021</v>
      </c>
      <c r="Q54" s="301"/>
      <c r="R54" s="301"/>
    </row>
    <row r="55" spans="1:18" ht="15.6" customHeight="1">
      <c r="A55" s="466"/>
      <c r="B55" s="293" t="s">
        <v>131</v>
      </c>
      <c r="C55" s="416"/>
      <c r="D55" s="315" t="s">
        <v>112</v>
      </c>
      <c r="E55" s="317"/>
      <c r="F55" s="295">
        <v>30</v>
      </c>
      <c r="G55" s="302">
        <v>1243</v>
      </c>
      <c r="H55" s="296">
        <f t="shared" si="11"/>
        <v>37290</v>
      </c>
      <c r="I55" s="417"/>
      <c r="J55" s="297">
        <v>4</v>
      </c>
      <c r="K55" s="298">
        <f t="shared" si="12"/>
        <v>3107.5000000000109</v>
      </c>
      <c r="L55" s="299">
        <f t="shared" si="13"/>
        <v>776.87500000000273</v>
      </c>
      <c r="M55" s="300">
        <v>0.37847222222222227</v>
      </c>
      <c r="N55" s="300">
        <v>0.39513888888888887</v>
      </c>
      <c r="O55" s="298">
        <v>20</v>
      </c>
      <c r="P55" s="411">
        <f t="shared" si="14"/>
        <v>23.999999999999915</v>
      </c>
      <c r="Q55" s="301">
        <v>0.39513888888888887</v>
      </c>
      <c r="R55" s="301">
        <v>0.4368055555555555</v>
      </c>
    </row>
    <row r="56" spans="1:18" ht="15.6" customHeight="1">
      <c r="A56" s="466"/>
      <c r="B56" s="293" t="s">
        <v>131</v>
      </c>
      <c r="C56" s="416"/>
      <c r="D56" s="316" t="s">
        <v>779</v>
      </c>
      <c r="E56" s="317"/>
      <c r="F56" s="295">
        <v>23.72</v>
      </c>
      <c r="G56" s="302">
        <v>896</v>
      </c>
      <c r="H56" s="296">
        <f t="shared" si="11"/>
        <v>21253.119999999999</v>
      </c>
      <c r="I56" s="417"/>
      <c r="J56" s="297">
        <v>4</v>
      </c>
      <c r="K56" s="298">
        <f t="shared" si="12"/>
        <v>2986.6666666666774</v>
      </c>
      <c r="L56" s="299">
        <f t="shared" si="13"/>
        <v>746.66666666666936</v>
      </c>
      <c r="M56" s="300">
        <v>0.45416666666666666</v>
      </c>
      <c r="N56" s="300">
        <v>0.46666666666666662</v>
      </c>
      <c r="O56" s="298">
        <v>20</v>
      </c>
      <c r="P56" s="411">
        <f t="shared" si="14"/>
        <v>17.999999999999936</v>
      </c>
      <c r="Q56" s="301"/>
      <c r="R56" s="301"/>
    </row>
    <row r="57" spans="1:18" ht="15.75" customHeight="1">
      <c r="A57" s="466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2093</v>
      </c>
      <c r="H57" s="296">
        <f t="shared" si="11"/>
        <v>35727.51</v>
      </c>
      <c r="I57" s="417"/>
      <c r="J57" s="297">
        <v>3</v>
      </c>
      <c r="K57" s="298">
        <f t="shared" si="12"/>
        <v>3139.500000000005</v>
      </c>
      <c r="L57" s="299">
        <f t="shared" si="13"/>
        <v>1046.5000000000016</v>
      </c>
      <c r="M57" s="300">
        <v>0.48055555555555557</v>
      </c>
      <c r="N57" s="300">
        <v>0.5083333333333333</v>
      </c>
      <c r="O57" s="298">
        <v>20</v>
      </c>
      <c r="P57" s="411">
        <f t="shared" si="14"/>
        <v>39.999999999999936</v>
      </c>
      <c r="Q57" s="301"/>
      <c r="R57" s="301"/>
    </row>
    <row r="58" spans="1:18" ht="15.6" customHeight="1">
      <c r="A58" s="46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7"/>
      <c r="B64" s="293">
        <v>0</v>
      </c>
      <c r="C64" s="6" t="s">
        <v>781</v>
      </c>
      <c r="D64" s="455" t="s">
        <v>655</v>
      </c>
      <c r="E64" s="455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3065.6111111111099</v>
      </c>
      <c r="L64" s="309">
        <f>AVERAGE(L52:L63)</f>
        <v>852.506944444444</v>
      </c>
      <c r="M64" s="300"/>
      <c r="N64" s="300"/>
      <c r="O64" s="292"/>
      <c r="P64" s="292"/>
      <c r="Q64" s="292"/>
      <c r="R64" s="292"/>
    </row>
    <row r="65" spans="1:18" ht="15.6" customHeight="1">
      <c r="A65" s="452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573</v>
      </c>
      <c r="H65" s="296">
        <f>F65*G65</f>
        <v>12767.481818181817</v>
      </c>
      <c r="I65" s="417"/>
      <c r="J65" s="297">
        <v>4</v>
      </c>
      <c r="K65" s="298">
        <f t="shared" ref="K65:K72" si="15">G65/P65*60</f>
        <v>3125.4545454545455</v>
      </c>
      <c r="L65" s="299">
        <f t="shared" ref="L65:L72" si="16">K65/J65</f>
        <v>781.36363636363637</v>
      </c>
      <c r="M65" s="300">
        <v>0.18055555555555555</v>
      </c>
      <c r="N65" s="300">
        <v>0.18819444444444444</v>
      </c>
      <c r="O65" s="298">
        <v>20</v>
      </c>
      <c r="P65" s="411">
        <f>(N65-M65)*24*60</f>
        <v>11</v>
      </c>
      <c r="Q65" s="301"/>
      <c r="R65" s="301"/>
    </row>
    <row r="66" spans="1:18" ht="15.6" customHeight="1">
      <c r="A66" s="453"/>
      <c r="B66" s="293" t="s">
        <v>131</v>
      </c>
      <c r="C66" s="416"/>
      <c r="D66" s="316" t="s">
        <v>115</v>
      </c>
      <c r="E66" s="331"/>
      <c r="F66" s="295">
        <v>18.18</v>
      </c>
      <c r="G66" s="302">
        <v>1351</v>
      </c>
      <c r="H66" s="296">
        <f t="shared" ref="H66:H74" si="17">F66*G66</f>
        <v>24561.18</v>
      </c>
      <c r="I66" s="417"/>
      <c r="J66" s="297">
        <v>3</v>
      </c>
      <c r="K66" s="298">
        <f t="shared" si="15"/>
        <v>3117.692307692304</v>
      </c>
      <c r="L66" s="299">
        <f t="shared" si="16"/>
        <v>1039.2307692307679</v>
      </c>
      <c r="M66" s="300">
        <v>0.20208333333333331</v>
      </c>
      <c r="N66" s="300">
        <v>0.22013888888888888</v>
      </c>
      <c r="O66" s="298">
        <v>20</v>
      </c>
      <c r="P66" s="411">
        <f t="shared" ref="P66:P72" si="18">(N66-M66)*24*60</f>
        <v>26.000000000000028</v>
      </c>
      <c r="Q66" s="301"/>
      <c r="R66" s="301"/>
    </row>
    <row r="67" spans="1:18" ht="15.6" customHeight="1">
      <c r="A67" s="453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1498</v>
      </c>
      <c r="H67" s="296">
        <f t="shared" si="17"/>
        <v>26800.581818181818</v>
      </c>
      <c r="I67" s="417"/>
      <c r="J67" s="297">
        <v>3</v>
      </c>
      <c r="K67" s="298">
        <f t="shared" si="15"/>
        <v>3099.3103448275929</v>
      </c>
      <c r="L67" s="299">
        <f t="shared" si="16"/>
        <v>1033.1034482758644</v>
      </c>
      <c r="M67" s="300">
        <v>0.23402777777777781</v>
      </c>
      <c r="N67" s="300">
        <v>0.25416666666666665</v>
      </c>
      <c r="O67" s="298">
        <v>20</v>
      </c>
      <c r="P67" s="411">
        <f t="shared" si="18"/>
        <v>28.999999999999936</v>
      </c>
      <c r="Q67" s="301">
        <v>0.25416666666666665</v>
      </c>
      <c r="R67" s="301">
        <v>0.29583333333333334</v>
      </c>
    </row>
    <row r="68" spans="1:18" ht="15.6" customHeight="1">
      <c r="A68" s="453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3947</v>
      </c>
      <c r="H68" s="296">
        <f t="shared" si="17"/>
        <v>56385.714285714275</v>
      </c>
      <c r="I68" s="417"/>
      <c r="J68" s="297">
        <v>3</v>
      </c>
      <c r="K68" s="298">
        <f t="shared" si="15"/>
        <v>3200.2702702702718</v>
      </c>
      <c r="L68" s="299">
        <f t="shared" si="16"/>
        <v>1066.7567567567573</v>
      </c>
      <c r="M68" s="300">
        <v>0.31319444444444444</v>
      </c>
      <c r="N68" s="300">
        <v>0.36458333333333331</v>
      </c>
      <c r="O68" s="298">
        <v>20</v>
      </c>
      <c r="P68" s="411">
        <f t="shared" si="18"/>
        <v>73.999999999999972</v>
      </c>
      <c r="Q68" s="301"/>
      <c r="R68" s="301"/>
    </row>
    <row r="69" spans="1:18" ht="15.6" customHeight="1">
      <c r="A69" s="453"/>
      <c r="B69" s="293" t="s">
        <v>131</v>
      </c>
      <c r="C69" s="416"/>
      <c r="D69" s="316" t="s">
        <v>785</v>
      </c>
      <c r="E69" s="317"/>
      <c r="F69" s="295">
        <v>16.66</v>
      </c>
      <c r="G69" s="302">
        <v>2582</v>
      </c>
      <c r="H69" s="296">
        <f t="shared" si="17"/>
        <v>43016.12</v>
      </c>
      <c r="I69" s="417"/>
      <c r="J69" s="297">
        <v>4</v>
      </c>
      <c r="K69" s="298">
        <f t="shared" si="15"/>
        <v>3161.632653061225</v>
      </c>
      <c r="L69" s="299">
        <f t="shared" si="16"/>
        <v>790.40816326530626</v>
      </c>
      <c r="M69" s="300">
        <v>0.37847222222222227</v>
      </c>
      <c r="N69" s="300">
        <v>0.41250000000000003</v>
      </c>
      <c r="O69" s="298">
        <v>20</v>
      </c>
      <c r="P69" s="411">
        <f t="shared" si="18"/>
        <v>48.999999999999986</v>
      </c>
      <c r="Q69" s="301"/>
      <c r="R69" s="301"/>
    </row>
    <row r="70" spans="1:18" ht="15.75" customHeight="1">
      <c r="A70" s="453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2574</v>
      </c>
      <c r="H70" s="296">
        <f t="shared" si="17"/>
        <v>36113.22</v>
      </c>
      <c r="I70" s="417"/>
      <c r="J70" s="297">
        <v>3</v>
      </c>
      <c r="K70" s="298">
        <f t="shared" si="15"/>
        <v>3151.8367346938735</v>
      </c>
      <c r="L70" s="299">
        <f t="shared" si="16"/>
        <v>1050.6122448979579</v>
      </c>
      <c r="M70" s="300">
        <v>0.42638888888888887</v>
      </c>
      <c r="N70" s="300">
        <v>0.4604166666666667</v>
      </c>
      <c r="O70" s="298">
        <v>20</v>
      </c>
      <c r="P70" s="411">
        <f t="shared" si="18"/>
        <v>49.000000000000064</v>
      </c>
      <c r="Q70" s="301"/>
      <c r="R70" s="301"/>
    </row>
    <row r="71" spans="1:18" ht="15.6" customHeight="1">
      <c r="A71" s="453"/>
      <c r="B71" s="293" t="s">
        <v>131</v>
      </c>
      <c r="C71" s="314"/>
      <c r="D71" s="332" t="s">
        <v>786</v>
      </c>
      <c r="E71" s="317"/>
      <c r="F71" s="295">
        <v>25.2</v>
      </c>
      <c r="G71" s="334">
        <v>945</v>
      </c>
      <c r="H71" s="296">
        <f t="shared" si="17"/>
        <v>23814</v>
      </c>
      <c r="I71" s="417"/>
      <c r="J71" s="297">
        <v>3</v>
      </c>
      <c r="K71" s="298">
        <f t="shared" si="15"/>
        <v>3149.9999999999973</v>
      </c>
      <c r="L71" s="299">
        <f t="shared" si="16"/>
        <v>1049.9999999999991</v>
      </c>
      <c r="M71" s="300">
        <v>0.47430555555555554</v>
      </c>
      <c r="N71" s="300">
        <v>0.48680555555555555</v>
      </c>
      <c r="O71" s="298">
        <v>20</v>
      </c>
      <c r="P71" s="411">
        <f t="shared" si="18"/>
        <v>18.000000000000014</v>
      </c>
      <c r="Q71" s="301"/>
      <c r="R71" s="301"/>
    </row>
    <row r="72" spans="1:18" ht="15.6" customHeight="1">
      <c r="A72" s="453"/>
      <c r="B72" s="293" t="s">
        <v>131</v>
      </c>
      <c r="C72" s="416"/>
      <c r="D72" s="332" t="s">
        <v>787</v>
      </c>
      <c r="E72" s="317"/>
      <c r="F72" s="295">
        <v>20.72</v>
      </c>
      <c r="G72" s="302">
        <v>2303</v>
      </c>
      <c r="H72" s="296">
        <f t="shared" si="17"/>
        <v>47718.159999999996</v>
      </c>
      <c r="I72" s="417"/>
      <c r="J72" s="297">
        <v>3</v>
      </c>
      <c r="K72" s="298">
        <f t="shared" si="15"/>
        <v>3140.4545454545455</v>
      </c>
      <c r="L72" s="299">
        <f t="shared" si="16"/>
        <v>1046.8181818181818</v>
      </c>
      <c r="M72" s="300">
        <v>0.50069444444444444</v>
      </c>
      <c r="N72" s="300">
        <v>0.53125</v>
      </c>
      <c r="O72" s="298">
        <v>20</v>
      </c>
      <c r="P72" s="411">
        <f t="shared" si="18"/>
        <v>44</v>
      </c>
      <c r="Q72" s="301"/>
      <c r="R72" s="301"/>
    </row>
    <row r="73" spans="1:18" ht="15.6" customHeight="1">
      <c r="A73" s="453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53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54"/>
      <c r="B75" s="293">
        <v>0</v>
      </c>
      <c r="C75" s="6" t="s">
        <v>788</v>
      </c>
      <c r="D75" s="455" t="s">
        <v>655</v>
      </c>
      <c r="E75" s="455"/>
      <c r="F75" s="304"/>
      <c r="G75" s="309"/>
      <c r="H75" s="327"/>
      <c r="I75" s="328"/>
      <c r="J75" s="308">
        <f>AVERAGE(J65:J74)</f>
        <v>3.25</v>
      </c>
      <c r="K75" s="308">
        <f>AVERAGE(K65:K74)</f>
        <v>3143.3314251817937</v>
      </c>
      <c r="L75" s="309">
        <f>AVERAGE(L65:L74)</f>
        <v>982.28665007605889</v>
      </c>
      <c r="M75" s="300"/>
      <c r="N75" s="300"/>
      <c r="O75" s="292"/>
      <c r="P75" s="292"/>
      <c r="Q75" s="292"/>
      <c r="R75" s="292"/>
    </row>
    <row r="76" spans="1:18" ht="16.2" customHeight="1">
      <c r="A76" s="456" t="s">
        <v>117</v>
      </c>
      <c r="B76" s="293">
        <v>0</v>
      </c>
      <c r="C76" s="293"/>
      <c r="D76" s="457"/>
      <c r="E76" s="458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56"/>
      <c r="B77" s="293">
        <v>0</v>
      </c>
      <c r="C77" s="293"/>
      <c r="D77" s="457"/>
      <c r="E77" s="458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56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56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56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56"/>
      <c r="B81" s="293">
        <v>0</v>
      </c>
      <c r="C81" s="6" t="s">
        <v>31</v>
      </c>
      <c r="D81" s="450" t="s">
        <v>655</v>
      </c>
      <c r="E81" s="450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41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873</v>
      </c>
      <c r="H82" s="341">
        <f t="shared" ref="H82:H90" si="19">F82*G82</f>
        <v>15033.06</v>
      </c>
      <c r="I82" s="417"/>
      <c r="J82" s="297">
        <v>3</v>
      </c>
      <c r="K82" s="298">
        <f t="shared" ref="K82" si="20">G82/P82*60</f>
        <v>3492.0000000000127</v>
      </c>
      <c r="L82" s="299">
        <f t="shared" ref="L82" si="21">K82/J82</f>
        <v>1164.0000000000043</v>
      </c>
      <c r="M82" s="300">
        <v>0.72222222222222221</v>
      </c>
      <c r="N82" s="300">
        <v>0.73263888888888884</v>
      </c>
      <c r="O82" s="298">
        <v>20</v>
      </c>
      <c r="P82" s="411">
        <f t="shared" ref="P82" si="22">(N82-M82)*24*60</f>
        <v>14.999999999999947</v>
      </c>
      <c r="Q82" s="301"/>
      <c r="R82" s="301"/>
    </row>
    <row r="83" spans="1:18">
      <c r="A83" s="442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42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42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42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42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42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42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42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442"/>
      <c r="B91" s="293">
        <v>0</v>
      </c>
      <c r="C91" s="6" t="s">
        <v>774</v>
      </c>
      <c r="D91" s="443" t="s">
        <v>655</v>
      </c>
      <c r="E91" s="443"/>
      <c r="F91" s="304"/>
      <c r="G91" s="344"/>
      <c r="H91" s="345"/>
      <c r="I91" s="307"/>
      <c r="J91" s="308">
        <f>AVERAGE(J82:J90)</f>
        <v>3</v>
      </c>
      <c r="K91" s="308">
        <f>AVERAGE(K82:K90)</f>
        <v>3492.0000000000127</v>
      </c>
      <c r="L91" s="309">
        <f>AVERAGE(L82:L90)</f>
        <v>1164.0000000000043</v>
      </c>
      <c r="M91" s="300"/>
      <c r="N91" s="300"/>
      <c r="O91" s="298"/>
      <c r="P91" s="298"/>
      <c r="Q91" s="299"/>
      <c r="R91" s="299"/>
    </row>
    <row r="92" spans="1:18" ht="16.2" customHeight="1">
      <c r="A92" s="444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1322</v>
      </c>
      <c r="H92" s="296">
        <f t="shared" ref="H92:H99" si="23">F92*G92</f>
        <v>32441.879999999997</v>
      </c>
      <c r="I92" s="417"/>
      <c r="J92" s="297">
        <v>3</v>
      </c>
      <c r="K92" s="298">
        <f>G92/P92*60</f>
        <v>2266.2857142857119</v>
      </c>
      <c r="L92" s="299">
        <f t="shared" ref="L92:L93" si="24">K92/J92</f>
        <v>755.42857142857065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445"/>
      <c r="B93" s="293" t="s">
        <v>131</v>
      </c>
      <c r="C93" s="293"/>
      <c r="D93" s="315" t="s">
        <v>793</v>
      </c>
      <c r="E93" s="335"/>
      <c r="F93" s="295">
        <v>23.27</v>
      </c>
      <c r="G93" s="302">
        <v>974</v>
      </c>
      <c r="H93" s="296">
        <f t="shared" si="23"/>
        <v>22664.98</v>
      </c>
      <c r="I93" s="417"/>
      <c r="J93" s="297">
        <v>4</v>
      </c>
      <c r="K93" s="298">
        <f t="shared" ref="K93" si="25">G93/P93*60</f>
        <v>2337.5999999999931</v>
      </c>
      <c r="L93" s="299">
        <f t="shared" si="24"/>
        <v>584.39999999999827</v>
      </c>
      <c r="M93" s="300">
        <v>0.76041666666666663</v>
      </c>
      <c r="N93" s="300">
        <v>0.77777777777777779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5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6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6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6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6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6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6"/>
      <c r="B100" s="293">
        <v>0</v>
      </c>
      <c r="C100" s="6" t="s">
        <v>794</v>
      </c>
      <c r="D100" s="447" t="s">
        <v>655</v>
      </c>
      <c r="E100" s="448"/>
      <c r="F100" s="304"/>
      <c r="G100" s="305"/>
      <c r="H100" s="347"/>
      <c r="I100" s="307"/>
      <c r="J100" s="308">
        <f>AVERAGE(J92:J99)</f>
        <v>3.5</v>
      </c>
      <c r="K100" s="308">
        <f>AVERAGE(K92:K99)</f>
        <v>2301.9428571428525</v>
      </c>
      <c r="L100" s="309">
        <f>AVERAGE(L92:L99)</f>
        <v>669.91428571428446</v>
      </c>
      <c r="M100" s="300"/>
      <c r="N100" s="300"/>
      <c r="O100" s="298"/>
      <c r="P100" s="298"/>
      <c r="Q100" s="299"/>
      <c r="R100" s="299"/>
    </row>
    <row r="101" spans="1:18" ht="16.2" customHeight="1">
      <c r="A101" s="449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965</v>
      </c>
      <c r="H101" s="296">
        <f t="shared" ref="H101:H110" si="26">F101*G101</f>
        <v>24153.95</v>
      </c>
      <c r="I101" s="417"/>
      <c r="J101" s="297">
        <v>4</v>
      </c>
      <c r="K101" s="298">
        <f>G101/P101*60</f>
        <v>2894.9999999999873</v>
      </c>
      <c r="L101" s="299">
        <f t="shared" ref="L101:L105" si="27">K101/J101</f>
        <v>723.74999999999682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449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1580</v>
      </c>
      <c r="H102" s="296">
        <f t="shared" si="26"/>
        <v>39215.599999999999</v>
      </c>
      <c r="I102" s="417"/>
      <c r="J102" s="297">
        <v>4</v>
      </c>
      <c r="K102" s="298">
        <f t="shared" ref="K102:K105" si="29">G102/P102*60</f>
        <v>3159.9999999999945</v>
      </c>
      <c r="L102" s="299">
        <f t="shared" si="27"/>
        <v>789.99999999999864</v>
      </c>
      <c r="M102" s="300">
        <v>0.75</v>
      </c>
      <c r="N102" s="300">
        <v>0.77083333333333337</v>
      </c>
      <c r="O102" s="292">
        <v>20</v>
      </c>
      <c r="P102" s="298">
        <f t="shared" si="28"/>
        <v>30.000000000000053</v>
      </c>
      <c r="Q102" s="301"/>
      <c r="R102" s="301"/>
    </row>
    <row r="103" spans="1:18">
      <c r="A103" s="449"/>
      <c r="B103" s="293" t="s">
        <v>131</v>
      </c>
      <c r="C103" s="6"/>
      <c r="D103" s="315" t="s">
        <v>796</v>
      </c>
      <c r="E103" s="315"/>
      <c r="F103" s="295">
        <v>30</v>
      </c>
      <c r="G103" s="416">
        <v>1781</v>
      </c>
      <c r="H103" s="296">
        <f t="shared" si="26"/>
        <v>53430</v>
      </c>
      <c r="I103" s="417"/>
      <c r="J103" s="297">
        <v>3</v>
      </c>
      <c r="K103" s="298">
        <f t="shared" si="29"/>
        <v>3053.1428571428542</v>
      </c>
      <c r="L103" s="299">
        <f t="shared" si="27"/>
        <v>1017.7142857142848</v>
      </c>
      <c r="M103" s="300">
        <v>0.78472222222222221</v>
      </c>
      <c r="N103" s="300">
        <v>0.80902777777777779</v>
      </c>
      <c r="O103" s="292">
        <v>20</v>
      </c>
      <c r="P103" s="298">
        <f t="shared" si="28"/>
        <v>35.000000000000036</v>
      </c>
      <c r="Q103" s="301"/>
      <c r="R103" s="301"/>
    </row>
    <row r="104" spans="1:18">
      <c r="A104" s="449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2744</v>
      </c>
      <c r="H104" s="296">
        <f t="shared" si="26"/>
        <v>78396.08</v>
      </c>
      <c r="I104" s="417"/>
      <c r="J104" s="297">
        <v>3</v>
      </c>
      <c r="K104" s="298">
        <f t="shared" si="29"/>
        <v>2993.4545454545387</v>
      </c>
      <c r="L104" s="299">
        <f t="shared" si="27"/>
        <v>997.8181818181796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449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7870</v>
      </c>
      <c r="H105" s="296">
        <f t="shared" si="26"/>
        <v>112428.57142857141</v>
      </c>
      <c r="I105" s="417"/>
      <c r="J105" s="297">
        <v>3</v>
      </c>
      <c r="K105" s="298">
        <f t="shared" si="29"/>
        <v>3046.4516128574642</v>
      </c>
      <c r="L105" s="299">
        <f t="shared" si="27"/>
        <v>1015.483870952488</v>
      </c>
      <c r="M105" s="300">
        <v>46178.916666666664</v>
      </c>
      <c r="N105" s="300">
        <v>46179.024305555555</v>
      </c>
      <c r="O105" s="292">
        <v>20</v>
      </c>
      <c r="P105" s="298">
        <f>(N105-M105)*24*60</f>
        <v>155.00000000232831</v>
      </c>
      <c r="Q105" s="299"/>
      <c r="R105" s="301"/>
    </row>
    <row r="106" spans="1:18">
      <c r="A106" s="449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9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9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9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9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9"/>
      <c r="B111" s="293">
        <v>0</v>
      </c>
      <c r="C111" s="6" t="s">
        <v>781</v>
      </c>
      <c r="D111" s="450" t="s">
        <v>655</v>
      </c>
      <c r="E111" s="451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3029.6098030909679</v>
      </c>
      <c r="L111" s="309">
        <f>AVERAGE(L101:L110)</f>
        <v>908.95326769698966</v>
      </c>
      <c r="M111" s="300"/>
      <c r="N111" s="300"/>
      <c r="O111" s="298"/>
      <c r="P111" s="298"/>
      <c r="Q111" s="299"/>
      <c r="R111" s="292"/>
    </row>
    <row r="112" spans="1:18" ht="16.2" customHeight="1">
      <c r="A112" s="439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1421</v>
      </c>
      <c r="H112" s="341">
        <f t="shared" si="11"/>
        <v>23730.7</v>
      </c>
      <c r="I112" s="417"/>
      <c r="J112" s="297">
        <v>3</v>
      </c>
      <c r="K112" s="298">
        <f t="shared" ref="K112:K118" si="30">G112/P112*60</f>
        <v>2842.0000000000105</v>
      </c>
      <c r="L112" s="299">
        <f t="shared" ref="L112:L118" si="31">K112/J112</f>
        <v>947.33333333333678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39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925</v>
      </c>
      <c r="H113" s="341">
        <f t="shared" si="11"/>
        <v>16816.5</v>
      </c>
      <c r="I113" s="417"/>
      <c r="J113" s="297">
        <v>4</v>
      </c>
      <c r="K113" s="298">
        <f t="shared" si="30"/>
        <v>2775.00000000001</v>
      </c>
      <c r="L113" s="299">
        <f t="shared" si="31"/>
        <v>693.7500000000025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439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1044</v>
      </c>
      <c r="H114" s="341">
        <f t="shared" si="11"/>
        <v>18979.919999999998</v>
      </c>
      <c r="I114" s="417"/>
      <c r="J114" s="297">
        <v>3</v>
      </c>
      <c r="K114" s="298">
        <f t="shared" si="30"/>
        <v>3131.9999999999859</v>
      </c>
      <c r="L114" s="299">
        <f t="shared" si="31"/>
        <v>1043.9999999999952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439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5186</v>
      </c>
      <c r="H115" s="341">
        <f t="shared" si="11"/>
        <v>86398.76</v>
      </c>
      <c r="I115" s="417"/>
      <c r="J115" s="297">
        <v>4</v>
      </c>
      <c r="K115" s="298">
        <f t="shared" si="30"/>
        <v>2963.4285714285729</v>
      </c>
      <c r="L115" s="299">
        <f t="shared" si="31"/>
        <v>740.85714285714323</v>
      </c>
      <c r="M115" s="300">
        <v>0.8125</v>
      </c>
      <c r="N115" s="300">
        <v>0.88541666666666663</v>
      </c>
      <c r="O115" s="292">
        <v>20</v>
      </c>
      <c r="P115" s="411">
        <f t="shared" si="32"/>
        <v>104.99999999999994</v>
      </c>
      <c r="Q115" s="301"/>
      <c r="R115" s="301"/>
    </row>
    <row r="116" spans="1:18">
      <c r="A116" s="439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983</v>
      </c>
      <c r="H116" s="341">
        <f t="shared" si="11"/>
        <v>21903.027272727271</v>
      </c>
      <c r="I116" s="417"/>
      <c r="J116" s="297">
        <v>4</v>
      </c>
      <c r="K116" s="298">
        <f t="shared" si="30"/>
        <v>2948.9999999999632</v>
      </c>
      <c r="L116" s="299">
        <f t="shared" si="31"/>
        <v>737.24999999999079</v>
      </c>
      <c r="M116" s="300">
        <v>0.89930555555555547</v>
      </c>
      <c r="N116" s="343">
        <v>0.91319444444444453</v>
      </c>
      <c r="O116" s="292">
        <v>20</v>
      </c>
      <c r="P116" s="411">
        <f t="shared" si="32"/>
        <v>20.000000000000249</v>
      </c>
      <c r="Q116" s="301">
        <v>0.91319444444444453</v>
      </c>
      <c r="R116" s="301">
        <v>0.95486111111111116</v>
      </c>
    </row>
    <row r="117" spans="1:18">
      <c r="A117" s="439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3440</v>
      </c>
      <c r="H117" s="341">
        <f t="shared" ref="H117:H123" si="33">F117*G117</f>
        <v>61544.727272727272</v>
      </c>
      <c r="I117" s="417"/>
      <c r="J117" s="297">
        <v>3</v>
      </c>
      <c r="K117" s="298">
        <f t="shared" si="30"/>
        <v>2948.5714286695024</v>
      </c>
      <c r="L117" s="299">
        <f t="shared" si="31"/>
        <v>982.85714288983411</v>
      </c>
      <c r="M117" s="300">
        <v>46178.96875</v>
      </c>
      <c r="N117" s="300">
        <v>46179.017361111109</v>
      </c>
      <c r="O117" s="298">
        <v>20</v>
      </c>
      <c r="P117" s="411">
        <f t="shared" si="32"/>
        <v>69.999999997671694</v>
      </c>
      <c r="Q117" s="301"/>
      <c r="R117" s="301"/>
    </row>
    <row r="118" spans="1:18">
      <c r="A118" s="439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5590</v>
      </c>
      <c r="H118" s="341">
        <f t="shared" si="33"/>
        <v>78427.7</v>
      </c>
      <c r="I118" s="417"/>
      <c r="J118" s="297">
        <v>3</v>
      </c>
      <c r="K118" s="298">
        <f t="shared" si="30"/>
        <v>3049.090909090909</v>
      </c>
      <c r="L118" s="299">
        <f t="shared" si="31"/>
        <v>1016.3636363636364</v>
      </c>
      <c r="M118" s="300">
        <v>3.125E-2</v>
      </c>
      <c r="N118" s="300">
        <v>0.1076388888888889</v>
      </c>
      <c r="O118" s="298">
        <v>20</v>
      </c>
      <c r="P118" s="411">
        <f t="shared" si="32"/>
        <v>110.00000000000001</v>
      </c>
      <c r="Q118" s="301"/>
      <c r="R118" s="301"/>
    </row>
    <row r="119" spans="1:18">
      <c r="A119" s="439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39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39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39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39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439"/>
      <c r="B124" s="293">
        <v>0</v>
      </c>
      <c r="C124" s="6" t="s">
        <v>788</v>
      </c>
      <c r="D124" s="440" t="s">
        <v>655</v>
      </c>
      <c r="E124" s="440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2951.2987013127072</v>
      </c>
      <c r="L124" s="309">
        <f>AVERAGE(L112:L123)</f>
        <v>880.34446506341988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79998168889431442"/>
    <pageSetUpPr fitToPage="1"/>
  </sheetPr>
  <dimension ref="A1:AJ186"/>
  <sheetViews>
    <sheetView zoomScale="50" zoomScaleNormal="50" workbookViewId="0">
      <pane ySplit="4" topLeftCell="A68" activePane="bottomLeft" state="frozen"/>
      <selection activeCell="M36" sqref="M36"/>
      <selection pane="bottomLeft" activeCell="H102" sqref="H10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625</v>
      </c>
      <c r="B1" s="28"/>
      <c r="C1" s="28"/>
      <c r="D1" s="438" t="s">
        <v>626</v>
      </c>
      <c r="E1" s="29">
        <f>SUM(G5:G173)</f>
        <v>161559.04999999999</v>
      </c>
      <c r="F1" s="422" t="s">
        <v>3</v>
      </c>
      <c r="G1" s="30">
        <f>SUM(H5:H173)</f>
        <v>6441806.6673715562</v>
      </c>
      <c r="H1" s="437" t="s">
        <v>37</v>
      </c>
      <c r="I1" s="31">
        <f>M17+M30+M43+M56+M69+M82+M95+M108+M121+M134+M147+M160+M173</f>
        <v>198.13452380952381</v>
      </c>
      <c r="J1" s="579" t="s">
        <v>38</v>
      </c>
      <c r="K1" s="579"/>
      <c r="L1" s="579"/>
      <c r="M1" s="579" t="s">
        <v>39</v>
      </c>
      <c r="N1" s="579"/>
      <c r="O1" s="579"/>
      <c r="P1" s="579" t="s">
        <v>627</v>
      </c>
      <c r="Q1" s="579"/>
      <c r="R1" s="579"/>
      <c r="S1" s="579"/>
      <c r="T1" s="579" t="s">
        <v>628</v>
      </c>
      <c r="U1" s="579"/>
      <c r="V1" s="579"/>
      <c r="W1" s="579"/>
      <c r="X1" s="579"/>
      <c r="Y1" s="579"/>
      <c r="Z1" s="32" t="s">
        <v>629</v>
      </c>
      <c r="AA1" s="32" t="s">
        <v>630</v>
      </c>
      <c r="AB1" s="595" t="s">
        <v>631</v>
      </c>
      <c r="AC1" s="596"/>
      <c r="AD1" s="32" t="s">
        <v>629</v>
      </c>
      <c r="AE1" s="32" t="s">
        <v>632</v>
      </c>
      <c r="AF1" s="579" t="s">
        <v>633</v>
      </c>
      <c r="AG1" s="580"/>
      <c r="AH1" s="580"/>
    </row>
    <row r="2" spans="1:34" ht="26.25" customHeight="1">
      <c r="A2" s="587" t="s">
        <v>634</v>
      </c>
      <c r="B2" s="587"/>
      <c r="C2" s="438"/>
      <c r="D2" s="438" t="s">
        <v>635</v>
      </c>
      <c r="E2" s="34">
        <f>AVERAGE(O17,O30,O43,O56,O69,O82,O95,O108,O121,O134,O147,O160,O173)</f>
        <v>118.35497210836317</v>
      </c>
      <c r="F2" s="35" t="s">
        <v>40</v>
      </c>
      <c r="G2" s="36">
        <f>G1/E1</f>
        <v>39.872768918680549</v>
      </c>
      <c r="H2" s="437" t="s">
        <v>41</v>
      </c>
      <c r="I2" s="437">
        <f>COUNT(I5:I173)</f>
        <v>9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580"/>
      <c r="AG2" s="580"/>
      <c r="AH2" s="580"/>
    </row>
    <row r="3" spans="1:34" ht="30.6" customHeight="1">
      <c r="A3" s="588" t="s">
        <v>636</v>
      </c>
      <c r="B3" s="588" t="s">
        <v>42</v>
      </c>
      <c r="C3" s="589"/>
      <c r="D3" s="588" t="s">
        <v>637</v>
      </c>
      <c r="E3" s="588"/>
      <c r="F3" s="589" t="s">
        <v>43</v>
      </c>
      <c r="G3" s="604" t="s">
        <v>44</v>
      </c>
      <c r="H3" s="589" t="s">
        <v>45</v>
      </c>
      <c r="I3" s="581" t="s">
        <v>638</v>
      </c>
      <c r="J3" s="582" t="s">
        <v>46</v>
      </c>
      <c r="K3" s="583" t="s">
        <v>47</v>
      </c>
      <c r="L3" s="584" t="s">
        <v>35</v>
      </c>
      <c r="M3" s="604" t="s">
        <v>46</v>
      </c>
      <c r="N3" s="583" t="s">
        <v>639</v>
      </c>
      <c r="O3" s="584" t="s">
        <v>635</v>
      </c>
      <c r="P3" s="582" t="s">
        <v>640</v>
      </c>
      <c r="Q3" s="584" t="s">
        <v>635</v>
      </c>
      <c r="R3" s="585" t="s">
        <v>641</v>
      </c>
      <c r="S3" s="586" t="s">
        <v>642</v>
      </c>
      <c r="T3" s="604" t="s">
        <v>48</v>
      </c>
      <c r="U3" s="604"/>
      <c r="V3" s="605" t="s">
        <v>49</v>
      </c>
      <c r="W3" s="581" t="s">
        <v>643</v>
      </c>
      <c r="X3" s="604" t="s">
        <v>644</v>
      </c>
      <c r="Y3" s="604"/>
      <c r="Z3" s="606" t="s">
        <v>645</v>
      </c>
      <c r="AA3" s="607"/>
      <c r="AB3" s="591" t="s">
        <v>646</v>
      </c>
      <c r="AC3" s="592"/>
      <c r="AD3" s="593" t="s">
        <v>647</v>
      </c>
      <c r="AE3" s="594"/>
      <c r="AF3" s="583" t="s">
        <v>639</v>
      </c>
      <c r="AG3" s="585" t="s">
        <v>641</v>
      </c>
      <c r="AH3" s="586" t="s">
        <v>642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50</v>
      </c>
      <c r="U4" s="432" t="s">
        <v>51</v>
      </c>
      <c r="V4" s="604"/>
      <c r="W4" s="581"/>
      <c r="X4" s="422" t="s">
        <v>648</v>
      </c>
      <c r="Y4" s="422" t="s">
        <v>36</v>
      </c>
      <c r="Z4" s="432" t="s">
        <v>649</v>
      </c>
      <c r="AA4" s="432" t="s">
        <v>650</v>
      </c>
      <c r="AB4" s="592"/>
      <c r="AC4" s="592"/>
      <c r="AD4" s="432" t="s">
        <v>651</v>
      </c>
      <c r="AE4" s="39" t="s">
        <v>652</v>
      </c>
      <c r="AF4" s="583"/>
      <c r="AG4" s="585"/>
      <c r="AH4" s="586"/>
    </row>
    <row r="5" spans="1:34" ht="18.75" customHeight="1">
      <c r="A5" s="599" t="s">
        <v>653</v>
      </c>
      <c r="B5" s="40" t="s">
        <v>127</v>
      </c>
      <c r="C5" s="41"/>
      <c r="D5" s="42" t="s">
        <v>52</v>
      </c>
      <c r="E5" s="43"/>
      <c r="F5" s="355">
        <v>37.83</v>
      </c>
      <c r="G5" s="44">
        <v>5703.75</v>
      </c>
      <c r="H5" s="45">
        <f t="shared" ref="H5:H16" si="0">F5*G5</f>
        <v>215772.86249999999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2312.3310810810822</v>
      </c>
      <c r="O5" s="47">
        <f t="shared" ref="O5:O11" si="2">N5/M5</f>
        <v>115.61655405405411</v>
      </c>
      <c r="P5" s="48">
        <f t="shared" ref="P5:P11" si="3">M5-J5</f>
        <v>0</v>
      </c>
      <c r="Q5" s="49">
        <f t="shared" ref="Q5:Q11" si="4">O5-L5</f>
        <v>-4.3834459459458941</v>
      </c>
      <c r="R5" s="424">
        <f t="shared" ref="R5:R11" si="5">O5/L5</f>
        <v>0.96347128378378422</v>
      </c>
      <c r="S5" s="602">
        <f>R17</f>
        <v>0.91301724167598175</v>
      </c>
      <c r="T5" s="89">
        <v>0.25</v>
      </c>
      <c r="U5" s="89">
        <v>0.35277777777777775</v>
      </c>
      <c r="V5" s="422">
        <v>5</v>
      </c>
      <c r="W5" s="433">
        <f>(U5-T5)*24*60</f>
        <v>147.99999999999994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-87.668918918917825</v>
      </c>
      <c r="AG5" s="424">
        <f t="shared" ref="AG5:AG70" si="7">N5/K5</f>
        <v>0.96347128378378422</v>
      </c>
      <c r="AH5" s="602">
        <f>AG17</f>
        <v>0.92266042234507784</v>
      </c>
    </row>
    <row r="6" spans="1:34" ht="19.2" customHeight="1">
      <c r="A6" s="600"/>
      <c r="B6" s="40" t="s">
        <v>127</v>
      </c>
      <c r="C6" s="41"/>
      <c r="D6" s="42" t="s">
        <v>188</v>
      </c>
      <c r="E6" s="43"/>
      <c r="F6" s="355">
        <v>38.99</v>
      </c>
      <c r="G6" s="44">
        <v>1551</v>
      </c>
      <c r="H6" s="45">
        <f t="shared" si="0"/>
        <v>60473.490000000005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2386.1538461538448</v>
      </c>
      <c r="O6" s="47">
        <f t="shared" si="2"/>
        <v>140.36199095022616</v>
      </c>
      <c r="P6" s="48">
        <f t="shared" si="3"/>
        <v>0</v>
      </c>
      <c r="Q6" s="49">
        <f t="shared" si="4"/>
        <v>-18.461538461538538</v>
      </c>
      <c r="R6" s="424">
        <f t="shared" si="5"/>
        <v>0.88376068376068329</v>
      </c>
      <c r="S6" s="602"/>
      <c r="T6" s="89">
        <v>0.36874999999999997</v>
      </c>
      <c r="U6" s="89">
        <v>0.39583333333333331</v>
      </c>
      <c r="V6" s="422">
        <v>23</v>
      </c>
      <c r="W6" s="433">
        <f t="shared" ref="W6:W17" si="8">(U6-T6)*24*60</f>
        <v>39.000000000000021</v>
      </c>
      <c r="X6" s="53">
        <v>0.3576388888888889</v>
      </c>
      <c r="Y6" s="53">
        <v>0.36805555555555558</v>
      </c>
      <c r="Z6" s="54"/>
      <c r="AA6" s="54"/>
      <c r="AB6" s="588"/>
      <c r="AC6" s="588"/>
      <c r="AD6" s="420"/>
      <c r="AE6" s="420">
        <v>1</v>
      </c>
      <c r="AF6" s="48">
        <f t="shared" si="6"/>
        <v>-313.84615384615518</v>
      </c>
      <c r="AG6" s="424">
        <f t="shared" si="7"/>
        <v>0.88376068376068329</v>
      </c>
      <c r="AH6" s="602"/>
    </row>
    <row r="7" spans="1:34" ht="19.2" customHeight="1">
      <c r="A7" s="600"/>
      <c r="B7" s="40" t="s">
        <v>127</v>
      </c>
      <c r="C7" s="41"/>
      <c r="D7" s="42" t="s">
        <v>184</v>
      </c>
      <c r="E7" s="43"/>
      <c r="F7" s="355">
        <v>28.86</v>
      </c>
      <c r="G7" s="44">
        <v>2195</v>
      </c>
      <c r="H7" s="45">
        <f t="shared" si="0"/>
        <v>63347.7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2394.5454545454527</v>
      </c>
      <c r="O7" s="47">
        <f t="shared" si="2"/>
        <v>140.85561497326194</v>
      </c>
      <c r="P7" s="48">
        <f t="shared" si="3"/>
        <v>0</v>
      </c>
      <c r="Q7" s="49">
        <f t="shared" si="4"/>
        <v>-17.96791443850276</v>
      </c>
      <c r="R7" s="424">
        <f t="shared" si="5"/>
        <v>0.88686868686868636</v>
      </c>
      <c r="S7" s="602"/>
      <c r="T7" s="89">
        <v>0.40138888888888885</v>
      </c>
      <c r="U7" s="89">
        <v>0.43958333333333333</v>
      </c>
      <c r="V7" s="422">
        <v>8</v>
      </c>
      <c r="W7" s="433">
        <f t="shared" si="8"/>
        <v>55.000000000000043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-305.45454545454731</v>
      </c>
      <c r="AG7" s="424">
        <f t="shared" si="7"/>
        <v>0.88686868686868614</v>
      </c>
      <c r="AH7" s="602"/>
    </row>
    <row r="8" spans="1:34" ht="19.2" customHeight="1">
      <c r="A8" s="600"/>
      <c r="B8" s="40" t="s">
        <v>127</v>
      </c>
      <c r="C8" s="41"/>
      <c r="D8" s="42" t="s">
        <v>53</v>
      </c>
      <c r="E8" s="43"/>
      <c r="F8" s="355">
        <v>31.11</v>
      </c>
      <c r="G8" s="44">
        <v>3611</v>
      </c>
      <c r="H8" s="45">
        <f t="shared" si="0"/>
        <v>112338.20999999999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2610.3614457831318</v>
      </c>
      <c r="O8" s="47">
        <f t="shared" si="2"/>
        <v>137.38744451490166</v>
      </c>
      <c r="P8" s="48">
        <f t="shared" si="3"/>
        <v>1</v>
      </c>
      <c r="Q8" s="49">
        <f t="shared" si="4"/>
        <v>-12.612555485098341</v>
      </c>
      <c r="R8" s="424">
        <f t="shared" si="5"/>
        <v>0.91591629676601105</v>
      </c>
      <c r="S8" s="602"/>
      <c r="T8" s="89">
        <v>0.44444444444444442</v>
      </c>
      <c r="U8" s="89">
        <v>0.50208333333333333</v>
      </c>
      <c r="V8" s="422">
        <v>7</v>
      </c>
      <c r="W8" s="433">
        <f t="shared" si="8"/>
        <v>83.000000000000028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-89.638554216868215</v>
      </c>
      <c r="AG8" s="424">
        <f t="shared" si="7"/>
        <v>0.96680053547523404</v>
      </c>
      <c r="AH8" s="602"/>
    </row>
    <row r="9" spans="1:34" ht="19.2" customHeight="1">
      <c r="A9" s="600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602"/>
      <c r="T9" s="89">
        <v>0.54236111111111107</v>
      </c>
      <c r="U9" s="89">
        <v>0.59166666666666667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602"/>
    </row>
    <row r="10" spans="1:34" ht="19.2" customHeight="1">
      <c r="A10" s="601"/>
      <c r="B10" s="40" t="s">
        <v>127</v>
      </c>
      <c r="C10" s="41"/>
      <c r="D10" s="42" t="s">
        <v>205</v>
      </c>
      <c r="E10" s="43"/>
      <c r="F10" s="355">
        <v>46.93</v>
      </c>
      <c r="G10" s="44">
        <v>2184</v>
      </c>
      <c r="H10" s="45">
        <f t="shared" si="0"/>
        <v>102495.12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2184.0000000000018</v>
      </c>
      <c r="O10" s="47">
        <f t="shared" si="2"/>
        <v>121.33333333333343</v>
      </c>
      <c r="P10" s="48">
        <f t="shared" si="3"/>
        <v>0</v>
      </c>
      <c r="Q10" s="49">
        <f t="shared" si="4"/>
        <v>-11.999999999999915</v>
      </c>
      <c r="R10" s="424">
        <f t="shared" si="5"/>
        <v>0.9100000000000007</v>
      </c>
      <c r="S10" s="603"/>
      <c r="T10" s="89">
        <v>0.59652777777777777</v>
      </c>
      <c r="U10" s="89">
        <v>0.6381944444444444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-215.99999999999818</v>
      </c>
      <c r="AG10" s="424">
        <f t="shared" si="7"/>
        <v>0.91000000000000081</v>
      </c>
      <c r="AH10" s="603"/>
    </row>
    <row r="11" spans="1:34" ht="19.2" customHeight="1">
      <c r="A11" s="601"/>
      <c r="B11" s="40" t="s">
        <v>127</v>
      </c>
      <c r="C11" s="41"/>
      <c r="D11" s="42" t="s">
        <v>367</v>
      </c>
      <c r="E11" s="43"/>
      <c r="F11" s="355">
        <v>43.96</v>
      </c>
      <c r="G11" s="44">
        <v>2311.2000000000003</v>
      </c>
      <c r="H11" s="45">
        <f t="shared" si="0"/>
        <v>101600.35200000001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2311.2000000000025</v>
      </c>
      <c r="O11" s="47">
        <f t="shared" si="2"/>
        <v>115.56000000000013</v>
      </c>
      <c r="P11" s="48">
        <f t="shared" si="3"/>
        <v>0</v>
      </c>
      <c r="Q11" s="49">
        <f t="shared" si="4"/>
        <v>-4.4399999999998698</v>
      </c>
      <c r="R11" s="424">
        <f t="shared" si="5"/>
        <v>0.96300000000000108</v>
      </c>
      <c r="S11" s="603"/>
      <c r="T11" s="89">
        <v>0.65347222222222212</v>
      </c>
      <c r="U11" s="89">
        <v>0.69513888888888875</v>
      </c>
      <c r="V11" s="422">
        <v>22</v>
      </c>
      <c r="W11" s="433">
        <f t="shared" si="8"/>
        <v>59.999999999999943</v>
      </c>
      <c r="X11" s="53">
        <v>0.64236111111111105</v>
      </c>
      <c r="Y11" s="53">
        <v>0.65277777777777779</v>
      </c>
      <c r="Z11" s="54"/>
      <c r="AA11" s="54"/>
      <c r="AB11" s="588"/>
      <c r="AC11" s="588"/>
      <c r="AD11" s="420"/>
      <c r="AE11" s="420"/>
      <c r="AF11" s="48">
        <f t="shared" si="6"/>
        <v>-88.799999999997453</v>
      </c>
      <c r="AG11" s="424">
        <f t="shared" si="7"/>
        <v>0.96300000000000108</v>
      </c>
      <c r="AH11" s="603"/>
    </row>
    <row r="12" spans="1:34" ht="19.2" customHeight="1">
      <c r="A12" s="601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2" customHeight="1">
      <c r="A13" s="601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2" customHeight="1">
      <c r="A14" s="601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2" customHeight="1">
      <c r="A15" s="601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2" customHeight="1">
      <c r="A16" s="601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2" customHeight="1">
      <c r="A17" s="601"/>
      <c r="B17" s="69">
        <v>0</v>
      </c>
      <c r="C17" s="69" t="s">
        <v>654</v>
      </c>
      <c r="D17" s="608" t="s">
        <v>655</v>
      </c>
      <c r="E17" s="608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2372.5553717444859</v>
      </c>
      <c r="O17" s="73">
        <f t="shared" si="9"/>
        <v>130.40545981248826</v>
      </c>
      <c r="P17" s="65">
        <f t="shared" ref="P17:P28" si="10">M17-J17</f>
        <v>0.14285714285714235</v>
      </c>
      <c r="Q17" s="74">
        <f t="shared" ref="Q17:Q24" si="11">O17-L17</f>
        <v>-12.423671840172801</v>
      </c>
      <c r="R17" s="75">
        <f>O17/L17</f>
        <v>0.91301724167598175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1</v>
      </c>
      <c r="AF17" s="65">
        <f t="shared" si="6"/>
        <v>-198.87319968408565</v>
      </c>
      <c r="AG17" s="425">
        <f t="shared" si="7"/>
        <v>0.92266042234507784</v>
      </c>
      <c r="AH17" s="603"/>
    </row>
    <row r="18" spans="1:34" ht="19.2" customHeight="1">
      <c r="A18" s="610" t="s">
        <v>656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4407.6500000000005</v>
      </c>
      <c r="H18" s="84">
        <f t="shared" ref="H18:H29" si="12">F18*G18</f>
        <v>162465.97900000002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2115.6720000000005</v>
      </c>
      <c r="O18" s="86">
        <f t="shared" ref="O18:O24" si="14">N18/M18</f>
        <v>117.53733333333336</v>
      </c>
      <c r="P18" s="54">
        <f t="shared" si="10"/>
        <v>1</v>
      </c>
      <c r="Q18" s="88">
        <f t="shared" si="11"/>
        <v>-14.815607843137215</v>
      </c>
      <c r="R18" s="421">
        <f t="shared" ref="R18:R24" si="15">O18/L18</f>
        <v>0.8880598518518521</v>
      </c>
      <c r="S18" s="611">
        <f>R30</f>
        <v>0.87625906675017984</v>
      </c>
      <c r="T18" s="89">
        <v>0.16666666666666666</v>
      </c>
      <c r="U18" s="89">
        <v>0.25347222222222221</v>
      </c>
      <c r="V18" s="420">
        <v>5</v>
      </c>
      <c r="W18" s="90">
        <f>(U18-T18)*24*60</f>
        <v>124.99999999999999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-134.32799999999952</v>
      </c>
      <c r="AG18" s="92">
        <f t="shared" si="7"/>
        <v>0.94029866666666684</v>
      </c>
      <c r="AH18" s="612">
        <f>AG30</f>
        <v>0.90882411556696929</v>
      </c>
    </row>
    <row r="19" spans="1:34" ht="19.2" customHeight="1">
      <c r="A19" s="610"/>
      <c r="B19" s="430" t="s">
        <v>129</v>
      </c>
      <c r="C19" s="429"/>
      <c r="D19" s="82" t="s">
        <v>62</v>
      </c>
      <c r="E19" s="83"/>
      <c r="F19" s="355">
        <v>38.39</v>
      </c>
      <c r="G19" s="57">
        <v>1221.3500000000001</v>
      </c>
      <c r="H19" s="84">
        <f t="shared" si="12"/>
        <v>46887.626500000006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1382.6603773584914</v>
      </c>
      <c r="O19" s="95">
        <f t="shared" si="14"/>
        <v>86.41627358490571</v>
      </c>
      <c r="P19" s="54">
        <f t="shared" si="10"/>
        <v>0</v>
      </c>
      <c r="Q19" s="88">
        <f t="shared" si="11"/>
        <v>-15.83372641509429</v>
      </c>
      <c r="R19" s="421">
        <f t="shared" si="15"/>
        <v>0.84514692992572826</v>
      </c>
      <c r="S19" s="611"/>
      <c r="T19" s="89">
        <v>0.26944444444444443</v>
      </c>
      <c r="U19" s="89">
        <v>0.30624999999999997</v>
      </c>
      <c r="V19" s="420">
        <v>23</v>
      </c>
      <c r="W19" s="90">
        <f>(U19-T19)*24*60</f>
        <v>52.999999999999972</v>
      </c>
      <c r="X19" s="96">
        <v>0.25833333333333336</v>
      </c>
      <c r="Y19" s="96">
        <v>0.26805555555555555</v>
      </c>
      <c r="Z19" s="54"/>
      <c r="AA19" s="54"/>
      <c r="AB19" s="588"/>
      <c r="AC19" s="588"/>
      <c r="AD19" s="420"/>
      <c r="AE19" s="420"/>
      <c r="AF19" s="48">
        <f t="shared" si="6"/>
        <v>-253.33962264150864</v>
      </c>
      <c r="AG19" s="424">
        <f t="shared" si="7"/>
        <v>0.84514692992572826</v>
      </c>
      <c r="AH19" s="613"/>
    </row>
    <row r="20" spans="1:34" ht="19.2" customHeight="1">
      <c r="A20" s="610"/>
      <c r="B20" s="430" t="s">
        <v>129</v>
      </c>
      <c r="C20" s="55"/>
      <c r="D20" s="42" t="s">
        <v>186</v>
      </c>
      <c r="E20" s="83"/>
      <c r="F20" s="355">
        <v>56.43</v>
      </c>
      <c r="G20" s="57">
        <v>998.40000000000009</v>
      </c>
      <c r="H20" s="84">
        <f t="shared" si="12"/>
        <v>56339.712000000007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1393.1162790697674</v>
      </c>
      <c r="O20" s="95">
        <f t="shared" si="14"/>
        <v>87.069767441860463</v>
      </c>
      <c r="P20" s="54">
        <f t="shared" si="10"/>
        <v>0</v>
      </c>
      <c r="Q20" s="88">
        <f t="shared" si="11"/>
        <v>-6.6802325581395365</v>
      </c>
      <c r="R20" s="421">
        <f t="shared" si="15"/>
        <v>0.92874418604651165</v>
      </c>
      <c r="S20" s="611"/>
      <c r="T20" s="89">
        <v>0.31111111111111106</v>
      </c>
      <c r="U20" s="89">
        <v>0.34097222222222218</v>
      </c>
      <c r="V20" s="420">
        <v>7</v>
      </c>
      <c r="W20" s="90">
        <f t="shared" ref="W20:W29" si="16">(U20-T20)*24*60</f>
        <v>43.000000000000007</v>
      </c>
      <c r="X20" s="96"/>
      <c r="Y20" s="96"/>
      <c r="Z20" s="54"/>
      <c r="AA20" s="54"/>
      <c r="AB20" s="588"/>
      <c r="AC20" s="588"/>
      <c r="AD20" s="420">
        <v>1</v>
      </c>
      <c r="AE20" s="420"/>
      <c r="AF20" s="91">
        <f t="shared" si="6"/>
        <v>-106.88372093023258</v>
      </c>
      <c r="AG20" s="92">
        <f t="shared" si="7"/>
        <v>0.92874418604651165</v>
      </c>
      <c r="AH20" s="613"/>
    </row>
    <row r="21" spans="1:34" ht="19.2" customHeight="1">
      <c r="A21" s="610"/>
      <c r="B21" s="430" t="s">
        <v>130</v>
      </c>
      <c r="C21" s="97"/>
      <c r="D21" s="98" t="s">
        <v>61</v>
      </c>
      <c r="E21" s="43"/>
      <c r="F21" s="355">
        <v>43.14</v>
      </c>
      <c r="G21" s="44">
        <v>911.95</v>
      </c>
      <c r="H21" s="84">
        <f t="shared" si="12"/>
        <v>39341.523000000001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1334.5609756097556</v>
      </c>
      <c r="O21" s="95">
        <f t="shared" si="14"/>
        <v>78.503586800573856</v>
      </c>
      <c r="P21" s="54">
        <f t="shared" si="10"/>
        <v>1</v>
      </c>
      <c r="Q21" s="88">
        <f t="shared" si="11"/>
        <v>-11.496413199426144</v>
      </c>
      <c r="R21" s="421">
        <f t="shared" si="15"/>
        <v>0.87226207556193169</v>
      </c>
      <c r="S21" s="611"/>
      <c r="T21" s="89">
        <v>0.34583333333333327</v>
      </c>
      <c r="U21" s="89">
        <v>0.3743055555555555</v>
      </c>
      <c r="V21" s="420">
        <v>7</v>
      </c>
      <c r="W21" s="90">
        <f t="shared" si="16"/>
        <v>41.000000000000014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-105.43902439024441</v>
      </c>
      <c r="AG21" s="424">
        <f t="shared" si="7"/>
        <v>0.92677845528455249</v>
      </c>
      <c r="AH21" s="614"/>
    </row>
    <row r="22" spans="1:34" ht="19.2" customHeight="1">
      <c r="A22" s="610"/>
      <c r="B22" s="430" t="s">
        <v>129</v>
      </c>
      <c r="C22" s="97"/>
      <c r="D22" s="42" t="s">
        <v>210</v>
      </c>
      <c r="E22" s="43"/>
      <c r="F22" s="355">
        <v>44.3</v>
      </c>
      <c r="G22" s="44">
        <v>3433.0800000000004</v>
      </c>
      <c r="H22" s="84">
        <f t="shared" si="12"/>
        <v>152085.44400000002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1410.8547945205482</v>
      </c>
      <c r="O22" s="95">
        <f t="shared" si="14"/>
        <v>82.991458501208726</v>
      </c>
      <c r="P22" s="54">
        <f t="shared" si="10"/>
        <v>0</v>
      </c>
      <c r="Q22" s="88">
        <f t="shared" si="11"/>
        <v>-13.243835616438332</v>
      </c>
      <c r="R22" s="421">
        <f t="shared" si="15"/>
        <v>0.86238068124727896</v>
      </c>
      <c r="S22" s="611"/>
      <c r="T22" s="89">
        <v>0.38958333333333328</v>
      </c>
      <c r="U22" s="89">
        <v>0.49097222222222214</v>
      </c>
      <c r="V22" s="420">
        <v>22</v>
      </c>
      <c r="W22" s="90">
        <f t="shared" si="16"/>
        <v>145.99999999999997</v>
      </c>
      <c r="X22" s="96">
        <v>0.37847222222222227</v>
      </c>
      <c r="Y22" s="96">
        <v>0.3888888888888889</v>
      </c>
      <c r="Z22" s="54"/>
      <c r="AA22" s="54"/>
      <c r="AB22" s="588"/>
      <c r="AC22" s="588"/>
      <c r="AD22" s="420"/>
      <c r="AE22" s="420"/>
      <c r="AF22" s="91">
        <f t="shared" si="6"/>
        <v>-225.14520547945176</v>
      </c>
      <c r="AG22" s="92">
        <f t="shared" si="7"/>
        <v>0.86238068124727885</v>
      </c>
      <c r="AH22" s="614"/>
    </row>
    <row r="23" spans="1:34" ht="19.2" customHeight="1">
      <c r="A23" s="610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4692</v>
      </c>
      <c r="H23" s="84">
        <f t="shared" si="12"/>
        <v>180548.15999999997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2426.8965517241363</v>
      </c>
      <c r="O23" s="95">
        <f t="shared" si="14"/>
        <v>127.73139745916507</v>
      </c>
      <c r="P23" s="54">
        <f t="shared" si="10"/>
        <v>1</v>
      </c>
      <c r="Q23" s="88">
        <f t="shared" si="11"/>
        <v>-22.268602540834934</v>
      </c>
      <c r="R23" s="421">
        <f t="shared" si="15"/>
        <v>0.85154264972776705</v>
      </c>
      <c r="S23" s="611"/>
      <c r="T23" s="89">
        <v>0.53124999999999989</v>
      </c>
      <c r="U23" s="89">
        <v>0.61180555555555549</v>
      </c>
      <c r="V23" s="420">
        <v>5</v>
      </c>
      <c r="W23" s="90">
        <f t="shared" si="16"/>
        <v>116.00000000000007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-273.10344827586368</v>
      </c>
      <c r="AG23" s="424">
        <f t="shared" si="7"/>
        <v>0.89885057471264307</v>
      </c>
      <c r="AH23" s="614"/>
    </row>
    <row r="24" spans="1:34" ht="19.2" customHeight="1">
      <c r="A24" s="610"/>
      <c r="B24" s="430" t="s">
        <v>127</v>
      </c>
      <c r="C24" s="81"/>
      <c r="D24" s="82" t="s">
        <v>60</v>
      </c>
      <c r="E24" s="83"/>
      <c r="F24" s="355">
        <v>36.86</v>
      </c>
      <c r="G24" s="57">
        <v>2373.35</v>
      </c>
      <c r="H24" s="84">
        <f t="shared" si="12"/>
        <v>87481.680999999997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2125.388059701495</v>
      </c>
      <c r="O24" s="95">
        <f t="shared" si="14"/>
        <v>118.07711442786083</v>
      </c>
      <c r="P24" s="54">
        <f t="shared" si="10"/>
        <v>1</v>
      </c>
      <c r="Q24" s="88">
        <f t="shared" si="11"/>
        <v>-14.275826748609745</v>
      </c>
      <c r="R24" s="421">
        <f t="shared" si="15"/>
        <v>0.89213819789939308</v>
      </c>
      <c r="S24" s="611"/>
      <c r="T24" s="89">
        <v>0.62777777777777777</v>
      </c>
      <c r="U24" s="89">
        <v>0.67430555555555549</v>
      </c>
      <c r="V24" s="420">
        <v>23</v>
      </c>
      <c r="W24" s="90">
        <f t="shared" si="16"/>
        <v>66.999999999999915</v>
      </c>
      <c r="X24" s="96">
        <v>0.6166666666666667</v>
      </c>
      <c r="Y24" s="96">
        <v>0.62638888888888888</v>
      </c>
      <c r="Z24" s="54"/>
      <c r="AA24" s="54"/>
      <c r="AB24" s="588"/>
      <c r="AC24" s="588"/>
      <c r="AD24" s="420"/>
      <c r="AE24" s="420"/>
      <c r="AF24" s="91">
        <f t="shared" si="6"/>
        <v>-124.61194029850503</v>
      </c>
      <c r="AG24" s="92">
        <f t="shared" si="7"/>
        <v>0.94461691542288662</v>
      </c>
      <c r="AH24" s="614"/>
    </row>
    <row r="25" spans="1:34" ht="19.2" customHeight="1">
      <c r="A25" s="610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2" customHeight="1">
      <c r="A26" s="610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2" customHeight="1">
      <c r="A27" s="610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2" customHeight="1">
      <c r="A28" s="610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2" customHeight="1">
      <c r="A29" s="610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2" customHeight="1">
      <c r="A30" s="610"/>
      <c r="B30" s="99">
        <v>0</v>
      </c>
      <c r="C30" s="100" t="s">
        <v>657</v>
      </c>
      <c r="D30" s="609" t="s">
        <v>655</v>
      </c>
      <c r="E30" s="609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1741.3070054263133</v>
      </c>
      <c r="O30" s="104">
        <f t="shared" si="17"/>
        <v>99.760990221272579</v>
      </c>
      <c r="P30" s="54">
        <f t="shared" ref="P30:P37" si="18">M30-J30</f>
        <v>0.5714285714285694</v>
      </c>
      <c r="Q30" s="88">
        <f t="shared" ref="Q30:Q37" si="19">O30-L30</f>
        <v>-14.087749274525748</v>
      </c>
      <c r="R30" s="105">
        <f t="shared" ref="R30:R37" si="20">O30/L30</f>
        <v>0.87625906675017984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-174.69299457368675</v>
      </c>
      <c r="AG30" s="109">
        <f t="shared" ref="AG30" si="21">N30/K30</f>
        <v>0.90882411556696929</v>
      </c>
      <c r="AH30" s="615"/>
    </row>
    <row r="31" spans="1:34" ht="19.2" customHeight="1">
      <c r="A31" s="618" t="s">
        <v>658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1491.1000000000001</v>
      </c>
      <c r="H31" s="112">
        <f t="shared" ref="H31:H40" si="22">F31*G31</f>
        <v>39514.15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1420.0952380952378</v>
      </c>
      <c r="O31" s="115">
        <f t="shared" ref="O31:O37" si="24">N31/M31</f>
        <v>118.34126984126982</v>
      </c>
      <c r="P31" s="116">
        <f t="shared" si="18"/>
        <v>0</v>
      </c>
      <c r="Q31" s="117">
        <f t="shared" si="19"/>
        <v>-48.325396825396837</v>
      </c>
      <c r="R31" s="423">
        <f t="shared" si="20"/>
        <v>0.71004761904761893</v>
      </c>
      <c r="S31" s="620">
        <f>R43</f>
        <v>0.83699321387193992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-579.90476190476215</v>
      </c>
      <c r="AG31" s="120">
        <f t="shared" si="7"/>
        <v>0.71004761904761893</v>
      </c>
      <c r="AH31" s="616">
        <f>AG43</f>
        <v>0.84476612782974536</v>
      </c>
    </row>
    <row r="32" spans="1:34" ht="19.2" customHeight="1">
      <c r="A32" s="619"/>
      <c r="B32" s="121" t="s">
        <v>131</v>
      </c>
      <c r="C32" s="122"/>
      <c r="D32" s="42" t="s">
        <v>63</v>
      </c>
      <c r="E32" s="43"/>
      <c r="F32" s="355">
        <v>35.33</v>
      </c>
      <c r="G32" s="134">
        <v>1847</v>
      </c>
      <c r="H32" s="84">
        <f t="shared" si="22"/>
        <v>65254.509999999995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1910.6896551724139</v>
      </c>
      <c r="O32" s="47">
        <f t="shared" si="24"/>
        <v>159.22413793103451</v>
      </c>
      <c r="P32" s="116">
        <f t="shared" si="18"/>
        <v>0</v>
      </c>
      <c r="Q32" s="49">
        <f t="shared" si="19"/>
        <v>-17.275862068965495</v>
      </c>
      <c r="R32" s="424">
        <f t="shared" si="20"/>
        <v>0.90211976164892071</v>
      </c>
      <c r="S32" s="611"/>
      <c r="T32" s="89">
        <v>0.17361111111111113</v>
      </c>
      <c r="U32" s="89">
        <v>0.21388888888888891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-207.31034482758605</v>
      </c>
      <c r="AG32" s="424">
        <f t="shared" si="7"/>
        <v>0.9021197616489206</v>
      </c>
      <c r="AH32" s="602"/>
    </row>
    <row r="33" spans="1:34" ht="19.2" customHeight="1">
      <c r="A33" s="61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1436</v>
      </c>
      <c r="H33" s="84">
        <f t="shared" si="22"/>
        <v>49154.28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1873.0434782608713</v>
      </c>
      <c r="O33" s="47">
        <f t="shared" si="24"/>
        <v>156.08695652173927</v>
      </c>
      <c r="P33" s="116">
        <f t="shared" si="18"/>
        <v>0</v>
      </c>
      <c r="Q33" s="49">
        <f t="shared" si="19"/>
        <v>-20.413043478260732</v>
      </c>
      <c r="R33" s="424">
        <f t="shared" si="20"/>
        <v>0.8843453627294009</v>
      </c>
      <c r="S33" s="611"/>
      <c r="T33" s="89">
        <v>0.21875000000000003</v>
      </c>
      <c r="U33" s="89">
        <v>0.25069444444444444</v>
      </c>
      <c r="V33" s="142">
        <v>7</v>
      </c>
      <c r="W33" s="90">
        <f t="shared" si="25"/>
        <v>45.999999999999957</v>
      </c>
      <c r="X33" s="123"/>
      <c r="Y33" s="123"/>
      <c r="Z33" s="124"/>
      <c r="AA33" s="124"/>
      <c r="AB33" s="588"/>
      <c r="AC33" s="588"/>
      <c r="AD33" s="420">
        <v>1</v>
      </c>
      <c r="AE33" s="420"/>
      <c r="AF33" s="48">
        <f t="shared" si="6"/>
        <v>-244.95652173912868</v>
      </c>
      <c r="AG33" s="125">
        <f t="shared" si="7"/>
        <v>0.88434536272940101</v>
      </c>
      <c r="AH33" s="602"/>
    </row>
    <row r="34" spans="1:34" ht="19.2" customHeight="1">
      <c r="A34" s="619"/>
      <c r="B34" s="121" t="s">
        <v>132</v>
      </c>
      <c r="C34" s="126"/>
      <c r="D34" s="147" t="s">
        <v>144</v>
      </c>
      <c r="E34" s="83"/>
      <c r="F34" s="355">
        <v>54.09</v>
      </c>
      <c r="G34" s="137">
        <v>487.25</v>
      </c>
      <c r="H34" s="84">
        <f t="shared" si="22"/>
        <v>26355.352500000001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1271.0869565217392</v>
      </c>
      <c r="O34" s="47">
        <f t="shared" si="24"/>
        <v>70.615942028985515</v>
      </c>
      <c r="P34" s="116">
        <f t="shared" si="18"/>
        <v>0</v>
      </c>
      <c r="Q34" s="49">
        <f t="shared" si="19"/>
        <v>-12.717391304347814</v>
      </c>
      <c r="R34" s="424">
        <f t="shared" si="20"/>
        <v>0.84739130434782628</v>
      </c>
      <c r="S34" s="611"/>
      <c r="T34" s="89">
        <v>0.26666666666666666</v>
      </c>
      <c r="U34" s="89">
        <v>0.28263888888888888</v>
      </c>
      <c r="V34" s="137">
        <v>23</v>
      </c>
      <c r="W34" s="90">
        <f t="shared" si="25"/>
        <v>23</v>
      </c>
      <c r="X34" s="123">
        <v>0.25555555555555559</v>
      </c>
      <c r="Y34" s="123">
        <v>0.26527777777777778</v>
      </c>
      <c r="Z34" s="124"/>
      <c r="AA34" s="124"/>
      <c r="AB34" s="588"/>
      <c r="AC34" s="588"/>
      <c r="AD34" s="420"/>
      <c r="AE34" s="420"/>
      <c r="AF34" s="48">
        <f t="shared" si="6"/>
        <v>-228.91304347826076</v>
      </c>
      <c r="AG34" s="125">
        <f t="shared" si="7"/>
        <v>0.84739130434782617</v>
      </c>
      <c r="AH34" s="602"/>
    </row>
    <row r="35" spans="1:34" ht="19.2" customHeight="1">
      <c r="A35" s="619"/>
      <c r="B35" s="121" t="s">
        <v>129</v>
      </c>
      <c r="C35" s="41"/>
      <c r="D35" s="150" t="s">
        <v>189</v>
      </c>
      <c r="E35" s="43"/>
      <c r="F35" s="355">
        <v>56.43</v>
      </c>
      <c r="G35" s="137">
        <v>1503</v>
      </c>
      <c r="H35" s="84">
        <f t="shared" si="22"/>
        <v>84814.29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1306.9565217391305</v>
      </c>
      <c r="O35" s="47">
        <f t="shared" si="24"/>
        <v>76.879795396419439</v>
      </c>
      <c r="P35" s="116">
        <f t="shared" si="18"/>
        <v>0</v>
      </c>
      <c r="Q35" s="49">
        <f t="shared" si="19"/>
        <v>-19.355498721227619</v>
      </c>
      <c r="R35" s="424">
        <f t="shared" si="20"/>
        <v>0.79887317954714576</v>
      </c>
      <c r="S35" s="611"/>
      <c r="T35" s="89">
        <v>0.28749999999999998</v>
      </c>
      <c r="U35" s="89">
        <v>0.33541666666666664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-329.04347826086951</v>
      </c>
      <c r="AG35" s="120">
        <f t="shared" si="7"/>
        <v>0.79887317954714576</v>
      </c>
      <c r="AH35" s="603"/>
    </row>
    <row r="36" spans="1:34" ht="19.2" customHeight="1">
      <c r="A36" s="619"/>
      <c r="B36" s="121" t="s">
        <v>129</v>
      </c>
      <c r="C36" s="128"/>
      <c r="D36" s="150" t="s">
        <v>179</v>
      </c>
      <c r="E36" s="83"/>
      <c r="F36" s="355">
        <v>49.91</v>
      </c>
      <c r="G36" s="134">
        <v>3309</v>
      </c>
      <c r="H36" s="84">
        <f t="shared" si="22"/>
        <v>165152.19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1306.1842105263156</v>
      </c>
      <c r="O36" s="47">
        <f t="shared" si="24"/>
        <v>81.636513157894726</v>
      </c>
      <c r="P36" s="116">
        <f t="shared" si="18"/>
        <v>1</v>
      </c>
      <c r="Q36" s="49">
        <f t="shared" si="19"/>
        <v>-18.363486842105274</v>
      </c>
      <c r="R36" s="424">
        <f t="shared" si="20"/>
        <v>0.8163651315789473</v>
      </c>
      <c r="S36" s="611"/>
      <c r="T36" s="89">
        <v>0.35069444444444442</v>
      </c>
      <c r="U36" s="89">
        <v>0.45624999999999999</v>
      </c>
      <c r="V36" s="134">
        <v>22</v>
      </c>
      <c r="W36" s="90">
        <f t="shared" si="25"/>
        <v>152.00000000000003</v>
      </c>
      <c r="X36" s="123">
        <v>0.34027777777777773</v>
      </c>
      <c r="Y36" s="123">
        <v>0.35000000000000003</v>
      </c>
      <c r="Z36" s="124"/>
      <c r="AA36" s="124"/>
      <c r="AB36" s="588"/>
      <c r="AC36" s="588"/>
      <c r="AD36" s="420"/>
      <c r="AE36" s="420"/>
      <c r="AF36" s="48">
        <f t="shared" si="6"/>
        <v>-193.81578947368439</v>
      </c>
      <c r="AG36" s="424">
        <f t="shared" si="7"/>
        <v>0.87078947368421045</v>
      </c>
      <c r="AH36" s="603"/>
    </row>
    <row r="37" spans="1:34" ht="19.2" customHeight="1">
      <c r="A37" s="61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6854</v>
      </c>
      <c r="H37" s="84">
        <f t="shared" si="22"/>
        <v>259081.19999999998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2377.1098265895962</v>
      </c>
      <c r="O37" s="47">
        <f t="shared" si="24"/>
        <v>125.1110435047156</v>
      </c>
      <c r="P37" s="116">
        <f t="shared" si="18"/>
        <v>0</v>
      </c>
      <c r="Q37" s="49">
        <f t="shared" si="19"/>
        <v>-16.994219653179144</v>
      </c>
      <c r="R37" s="424">
        <f t="shared" si="20"/>
        <v>0.88041104688503569</v>
      </c>
      <c r="S37" s="611"/>
      <c r="T37" s="89">
        <v>0.49652777777777773</v>
      </c>
      <c r="U37" s="89">
        <v>0.61666666666666659</v>
      </c>
      <c r="V37" s="134">
        <v>5</v>
      </c>
      <c r="W37" s="90">
        <f t="shared" si="25"/>
        <v>172.99999999999994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-322.8901734104038</v>
      </c>
      <c r="AG37" s="125">
        <f t="shared" si="7"/>
        <v>0.88041104688503558</v>
      </c>
      <c r="AH37" s="603"/>
    </row>
    <row r="38" spans="1:34" ht="19.2" customHeight="1">
      <c r="A38" s="61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2" customHeight="1">
      <c r="A39" s="61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2" customHeight="1">
      <c r="A40" s="61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2" customHeight="1">
      <c r="A41" s="61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2" customHeight="1">
      <c r="A42" s="61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2" customHeight="1">
      <c r="A43" s="619"/>
      <c r="B43" s="121">
        <v>0</v>
      </c>
      <c r="C43" s="100" t="s">
        <v>659</v>
      </c>
      <c r="D43" s="617" t="s">
        <v>655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1637.8808409864721</v>
      </c>
      <c r="O43" s="104">
        <f t="shared" si="26"/>
        <v>112.55652262600839</v>
      </c>
      <c r="P43" s="54">
        <f>M43-J43</f>
        <v>0.14285714285714235</v>
      </c>
      <c r="Q43" s="88">
        <f>N43-K43</f>
        <v>-300.9763018706708</v>
      </c>
      <c r="R43" s="105">
        <f t="shared" ref="R43:R53" si="27">O43/L43</f>
        <v>0.83699321387193992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-300.9763018706708</v>
      </c>
      <c r="AG43" s="425">
        <f t="shared" si="7"/>
        <v>0.84476612782974536</v>
      </c>
      <c r="AH43" s="603"/>
    </row>
    <row r="44" spans="1:34" s="145" customFormat="1" ht="19.2" customHeight="1">
      <c r="A44" s="622" t="s">
        <v>660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1090</v>
      </c>
      <c r="H44" s="45">
        <f>F44*G44</f>
        <v>29975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1520.9302325581393</v>
      </c>
      <c r="O44" s="138">
        <f t="shared" ref="O44:O53" si="30">N44/M44</f>
        <v>126.74418604651162</v>
      </c>
      <c r="P44" s="51">
        <f t="shared" ref="P44:P53" si="31">M44-J44</f>
        <v>0</v>
      </c>
      <c r="Q44" s="139">
        <f t="shared" ref="Q44:Q53" si="32">O44-L44</f>
        <v>-39.922480620155042</v>
      </c>
      <c r="R44" s="140">
        <f t="shared" si="27"/>
        <v>0.76046511627906976</v>
      </c>
      <c r="S44" s="602">
        <f>R56</f>
        <v>0.88460432891624496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-479.06976744186068</v>
      </c>
      <c r="AG44" s="428">
        <f t="shared" si="7"/>
        <v>0.76046511627906965</v>
      </c>
      <c r="AH44" s="625">
        <f>AG56</f>
        <v>0.91799028137648475</v>
      </c>
    </row>
    <row r="45" spans="1:34" s="145" customFormat="1" ht="19.2" customHeight="1">
      <c r="A45" s="623"/>
      <c r="B45" s="97" t="s">
        <v>131</v>
      </c>
      <c r="C45" s="133"/>
      <c r="D45" s="42" t="s">
        <v>76</v>
      </c>
      <c r="E45" s="43"/>
      <c r="F45" s="362">
        <v>24.73</v>
      </c>
      <c r="G45" s="134">
        <v>1461</v>
      </c>
      <c r="H45" s="45">
        <f>F45*G45</f>
        <v>36130.53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2138.0487804878039</v>
      </c>
      <c r="O45" s="138">
        <f t="shared" si="30"/>
        <v>427.60975609756076</v>
      </c>
      <c r="P45" s="51">
        <f t="shared" si="31"/>
        <v>1</v>
      </c>
      <c r="Q45" s="139">
        <f t="shared" si="32"/>
        <v>-72.390243902439238</v>
      </c>
      <c r="R45" s="140">
        <f t="shared" si="27"/>
        <v>0.85521951219512149</v>
      </c>
      <c r="S45" s="602"/>
      <c r="T45" s="89">
        <v>0.15833333333333333</v>
      </c>
      <c r="U45" s="89">
        <v>0.18680555555555556</v>
      </c>
      <c r="V45" s="142">
        <v>5</v>
      </c>
      <c r="W45" s="143">
        <f t="shared" si="33"/>
        <v>41.000000000000014</v>
      </c>
      <c r="X45" s="123"/>
      <c r="Y45" s="123"/>
      <c r="Z45" s="124"/>
      <c r="AA45" s="124"/>
      <c r="AB45" s="588"/>
      <c r="AC45" s="588"/>
      <c r="AD45" s="420"/>
      <c r="AE45" s="420">
        <v>1</v>
      </c>
      <c r="AF45" s="144">
        <f t="shared" si="28"/>
        <v>138.04878048780392</v>
      </c>
      <c r="AG45" s="428">
        <f t="shared" si="7"/>
        <v>1.0690243902439021</v>
      </c>
      <c r="AH45" s="625"/>
    </row>
    <row r="46" spans="1:34" s="145" customFormat="1" ht="19.2" customHeight="1">
      <c r="A46" s="623"/>
      <c r="B46" s="97" t="s">
        <v>131</v>
      </c>
      <c r="C46" s="133"/>
      <c r="D46" s="42" t="s">
        <v>77</v>
      </c>
      <c r="E46" s="43"/>
      <c r="F46" s="362">
        <v>24.73</v>
      </c>
      <c r="G46" s="134">
        <v>1500</v>
      </c>
      <c r="H46" s="45">
        <f t="shared" ref="H46:H51" si="34">F46*G46</f>
        <v>37095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2093.0232558139528</v>
      </c>
      <c r="O46" s="138">
        <f t="shared" si="30"/>
        <v>418.60465116279056</v>
      </c>
      <c r="P46" s="51">
        <f t="shared" si="31"/>
        <v>1</v>
      </c>
      <c r="Q46" s="139">
        <f t="shared" si="32"/>
        <v>-81.39534883720944</v>
      </c>
      <c r="R46" s="140">
        <f t="shared" si="27"/>
        <v>0.83720930232558111</v>
      </c>
      <c r="S46" s="602"/>
      <c r="T46" s="89">
        <v>0.19027777777777777</v>
      </c>
      <c r="U46" s="89">
        <v>0.22013888888888888</v>
      </c>
      <c r="V46" s="142">
        <v>5</v>
      </c>
      <c r="W46" s="143">
        <f t="shared" si="33"/>
        <v>43.000000000000007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93.023255813952801</v>
      </c>
      <c r="AG46" s="428">
        <f t="shared" si="7"/>
        <v>1.0465116279069764</v>
      </c>
      <c r="AH46" s="625"/>
    </row>
    <row r="47" spans="1:34" s="145" customFormat="1" ht="19.2" customHeight="1">
      <c r="A47" s="623"/>
      <c r="B47" s="97" t="s">
        <v>130</v>
      </c>
      <c r="C47" s="133"/>
      <c r="D47" s="42" t="s">
        <v>67</v>
      </c>
      <c r="E47" s="148"/>
      <c r="F47" s="362">
        <v>31.43</v>
      </c>
      <c r="G47" s="137">
        <v>1485</v>
      </c>
      <c r="H47" s="45">
        <f t="shared" si="34"/>
        <v>46673.55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1460.6557377049176</v>
      </c>
      <c r="O47" s="138">
        <f t="shared" si="30"/>
        <v>208.6651053864168</v>
      </c>
      <c r="P47" s="51">
        <f t="shared" si="31"/>
        <v>0</v>
      </c>
      <c r="Q47" s="139">
        <f t="shared" si="32"/>
        <v>-5.6206088992974799</v>
      </c>
      <c r="R47" s="140">
        <f t="shared" si="27"/>
        <v>0.97377049180327846</v>
      </c>
      <c r="S47" s="602"/>
      <c r="T47" s="89">
        <v>0.23749999999999999</v>
      </c>
      <c r="U47" s="89">
        <v>0.27986111111111112</v>
      </c>
      <c r="V47" s="137">
        <v>25</v>
      </c>
      <c r="W47" s="143">
        <f t="shared" si="33"/>
        <v>61.000000000000021</v>
      </c>
      <c r="X47" s="123">
        <v>0.22500000000000001</v>
      </c>
      <c r="Y47" s="123">
        <v>0.23611111111111113</v>
      </c>
      <c r="Z47" s="124"/>
      <c r="AA47" s="124"/>
      <c r="AB47" s="588"/>
      <c r="AC47" s="588"/>
      <c r="AD47" s="420"/>
      <c r="AE47" s="420"/>
      <c r="AF47" s="144">
        <f t="shared" si="28"/>
        <v>-39.344262295082444</v>
      </c>
      <c r="AG47" s="428">
        <f t="shared" si="7"/>
        <v>0.97377049180327835</v>
      </c>
      <c r="AH47" s="625"/>
    </row>
    <row r="48" spans="1:34" s="145" customFormat="1" ht="19.2" customHeight="1">
      <c r="A48" s="623"/>
      <c r="B48" s="97" t="s">
        <v>130</v>
      </c>
      <c r="C48" s="133"/>
      <c r="D48" s="42" t="s">
        <v>178</v>
      </c>
      <c r="E48" s="148"/>
      <c r="F48" s="362">
        <v>11.86</v>
      </c>
      <c r="G48" s="137">
        <v>1394</v>
      </c>
      <c r="H48" s="45">
        <f t="shared" si="34"/>
        <v>16532.84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1442.0689655172405</v>
      </c>
      <c r="O48" s="138">
        <f t="shared" si="30"/>
        <v>240.34482758620675</v>
      </c>
      <c r="P48" s="51">
        <f t="shared" si="31"/>
        <v>0</v>
      </c>
      <c r="Q48" s="139">
        <f t="shared" si="32"/>
        <v>-9.6551724137932524</v>
      </c>
      <c r="R48" s="140">
        <f t="shared" si="27"/>
        <v>0.96137931034482704</v>
      </c>
      <c r="S48" s="602"/>
      <c r="T48" s="89">
        <v>0.28680555555555554</v>
      </c>
      <c r="U48" s="89">
        <v>0.32708333333333334</v>
      </c>
      <c r="V48" s="134">
        <v>10</v>
      </c>
      <c r="W48" s="143">
        <f t="shared" si="33"/>
        <v>58.000000000000036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-57.931034482759515</v>
      </c>
      <c r="AG48" s="428">
        <f t="shared" si="7"/>
        <v>0.96137931034482704</v>
      </c>
      <c r="AH48" s="625"/>
    </row>
    <row r="49" spans="1:34" s="145" customFormat="1" ht="19.2" customHeight="1">
      <c r="A49" s="623"/>
      <c r="B49" s="97" t="s">
        <v>130</v>
      </c>
      <c r="C49" s="133"/>
      <c r="D49" s="42" t="s">
        <v>143</v>
      </c>
      <c r="E49" s="148"/>
      <c r="F49" s="362">
        <v>36.92</v>
      </c>
      <c r="G49" s="134">
        <v>664.19999999999993</v>
      </c>
      <c r="H49" s="45">
        <f t="shared" si="34"/>
        <v>24522.263999999999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1476.0000000000007</v>
      </c>
      <c r="O49" s="138">
        <f t="shared" si="30"/>
        <v>123.00000000000006</v>
      </c>
      <c r="P49" s="51">
        <f t="shared" si="31"/>
        <v>0</v>
      </c>
      <c r="Q49" s="139">
        <f t="shared" si="32"/>
        <v>-43.6666666666666</v>
      </c>
      <c r="R49" s="140">
        <f t="shared" si="27"/>
        <v>0.73800000000000043</v>
      </c>
      <c r="S49" s="602"/>
      <c r="T49" s="89">
        <v>0.36736111111111108</v>
      </c>
      <c r="U49" s="89">
        <v>0.38611111111111107</v>
      </c>
      <c r="V49" s="134">
        <v>5</v>
      </c>
      <c r="W49" s="143">
        <f t="shared" si="33"/>
        <v>26.999999999999986</v>
      </c>
      <c r="X49" s="152"/>
      <c r="Y49" s="152"/>
      <c r="Z49" s="153"/>
      <c r="AA49" s="124"/>
      <c r="AB49" s="588"/>
      <c r="AC49" s="588"/>
      <c r="AD49" s="420">
        <v>1</v>
      </c>
      <c r="AE49" s="420"/>
      <c r="AF49" s="144">
        <f t="shared" si="28"/>
        <v>-523.99999999999932</v>
      </c>
      <c r="AG49" s="428">
        <f t="shared" si="7"/>
        <v>0.73800000000000032</v>
      </c>
      <c r="AH49" s="625"/>
    </row>
    <row r="50" spans="1:34" s="145" customFormat="1" ht="19.2" customHeight="1">
      <c r="A50" s="623"/>
      <c r="B50" s="97" t="s">
        <v>132</v>
      </c>
      <c r="C50" s="133"/>
      <c r="D50" s="42" t="s">
        <v>66</v>
      </c>
      <c r="E50" s="148"/>
      <c r="F50" s="362">
        <v>10.09</v>
      </c>
      <c r="G50" s="134">
        <v>2904.1200000000003</v>
      </c>
      <c r="H50" s="45">
        <f t="shared" si="34"/>
        <v>29302.570800000001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1440.0595041322308</v>
      </c>
      <c r="O50" s="138">
        <f t="shared" si="30"/>
        <v>240.00991735537181</v>
      </c>
      <c r="P50" s="51">
        <f t="shared" si="31"/>
        <v>0</v>
      </c>
      <c r="Q50" s="139">
        <f t="shared" si="32"/>
        <v>-9.9900826446281883</v>
      </c>
      <c r="R50" s="140">
        <f t="shared" si="27"/>
        <v>0.96003966942148722</v>
      </c>
      <c r="S50" s="602"/>
      <c r="T50" s="89">
        <v>0.39305555555555549</v>
      </c>
      <c r="U50" s="89">
        <v>0.4770833333333333</v>
      </c>
      <c r="V50" s="134">
        <v>10</v>
      </c>
      <c r="W50" s="143">
        <f t="shared" si="33"/>
        <v>121.00000000000006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-59.940495867769187</v>
      </c>
      <c r="AG50" s="428">
        <f t="shared" si="7"/>
        <v>0.96003966942148722</v>
      </c>
      <c r="AH50" s="625"/>
    </row>
    <row r="51" spans="1:34" s="145" customFormat="1" ht="19.2" customHeight="1">
      <c r="A51" s="623"/>
      <c r="B51" s="97" t="s">
        <v>132</v>
      </c>
      <c r="C51" s="133"/>
      <c r="D51" s="150" t="s">
        <v>66</v>
      </c>
      <c r="E51" s="148"/>
      <c r="F51" s="362">
        <v>10.09</v>
      </c>
      <c r="G51" s="134">
        <v>2473.88</v>
      </c>
      <c r="H51" s="45">
        <f t="shared" si="34"/>
        <v>24961.449199999999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1469.6316831683162</v>
      </c>
      <c r="O51" s="138">
        <f t="shared" si="30"/>
        <v>244.93861386138602</v>
      </c>
      <c r="P51" s="51">
        <f t="shared" si="31"/>
        <v>0</v>
      </c>
      <c r="Q51" s="139">
        <f t="shared" si="32"/>
        <v>-5.0613861386139831</v>
      </c>
      <c r="R51" s="140">
        <f t="shared" si="27"/>
        <v>0.97975445544554407</v>
      </c>
      <c r="S51" s="602"/>
      <c r="T51" s="151">
        <v>0.49444444444444441</v>
      </c>
      <c r="U51" s="151">
        <v>0.56458333333333333</v>
      </c>
      <c r="V51" s="134">
        <v>25</v>
      </c>
      <c r="W51" s="143">
        <f t="shared" si="33"/>
        <v>101.00000000000004</v>
      </c>
      <c r="X51" s="152">
        <v>0.4777777777777778</v>
      </c>
      <c r="Y51" s="152">
        <v>0.49305555555555558</v>
      </c>
      <c r="Z51" s="153"/>
      <c r="AA51" s="153"/>
      <c r="AB51" s="588"/>
      <c r="AC51" s="588"/>
      <c r="AD51" s="420"/>
      <c r="AE51" s="420"/>
      <c r="AF51" s="144">
        <f t="shared" si="28"/>
        <v>-30.368316831683842</v>
      </c>
      <c r="AG51" s="428">
        <f t="shared" si="7"/>
        <v>0.97975445544554407</v>
      </c>
      <c r="AH51" s="625"/>
    </row>
    <row r="52" spans="1:34" s="145" customFormat="1" ht="19.2" customHeight="1">
      <c r="A52" s="623"/>
      <c r="B52" s="97" t="s">
        <v>130</v>
      </c>
      <c r="C52" s="133"/>
      <c r="D52" s="150" t="s">
        <v>201</v>
      </c>
      <c r="E52" s="148"/>
      <c r="F52" s="362">
        <v>26.5</v>
      </c>
      <c r="G52" s="134">
        <v>802.9</v>
      </c>
      <c r="H52" s="154">
        <f>F52*G52</f>
        <v>21276.85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1553.9999999999973</v>
      </c>
      <c r="O52" s="138">
        <f t="shared" si="30"/>
        <v>129.49999999999977</v>
      </c>
      <c r="P52" s="51">
        <f t="shared" si="31"/>
        <v>0</v>
      </c>
      <c r="Q52" s="139">
        <f t="shared" si="32"/>
        <v>-37.166666666666885</v>
      </c>
      <c r="R52" s="140">
        <f t="shared" si="27"/>
        <v>0.77699999999999869</v>
      </c>
      <c r="S52" s="602"/>
      <c r="T52" s="151">
        <v>0.56805555555555554</v>
      </c>
      <c r="U52" s="151">
        <v>0.58958333333333335</v>
      </c>
      <c r="V52" s="134">
        <v>5</v>
      </c>
      <c r="W52" s="143">
        <f t="shared" si="33"/>
        <v>31.00000000000005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-446.00000000000273</v>
      </c>
      <c r="AG52" s="428">
        <f t="shared" si="7"/>
        <v>0.77699999999999858</v>
      </c>
      <c r="AH52" s="625"/>
    </row>
    <row r="53" spans="1:34" s="145" customFormat="1" ht="19.2" customHeight="1">
      <c r="A53" s="623"/>
      <c r="B53" s="97" t="s">
        <v>130</v>
      </c>
      <c r="C53" s="133"/>
      <c r="D53" s="150" t="s">
        <v>387</v>
      </c>
      <c r="E53" s="148"/>
      <c r="F53" s="362">
        <v>28.47</v>
      </c>
      <c r="G53" s="134">
        <v>1249.8499999999999</v>
      </c>
      <c r="H53" s="154">
        <f>F53*G53</f>
        <v>35583.229499999994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1470.4117647058829</v>
      </c>
      <c r="O53" s="138">
        <f t="shared" si="30"/>
        <v>210.05882352941185</v>
      </c>
      <c r="P53" s="51">
        <f t="shared" si="31"/>
        <v>0</v>
      </c>
      <c r="Q53" s="139">
        <f t="shared" si="32"/>
        <v>-4.2268907563024243</v>
      </c>
      <c r="R53" s="140">
        <f t="shared" si="27"/>
        <v>0.98027450980392206</v>
      </c>
      <c r="S53" s="602"/>
      <c r="T53" s="151">
        <v>0.59305555555555556</v>
      </c>
      <c r="U53" s="151">
        <v>0.62847222222222221</v>
      </c>
      <c r="V53" s="134">
        <v>5</v>
      </c>
      <c r="W53" s="143">
        <f t="shared" si="33"/>
        <v>50.999999999999979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-29.588235294117112</v>
      </c>
      <c r="AG53" s="428">
        <f t="shared" si="7"/>
        <v>0.98027450980392195</v>
      </c>
      <c r="AH53" s="625"/>
    </row>
    <row r="54" spans="1:34" s="145" customFormat="1" ht="19.2" customHeight="1">
      <c r="A54" s="623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2" customHeight="1">
      <c r="A55" s="623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2" customHeight="1">
      <c r="A56" s="624"/>
      <c r="B56" s="157">
        <v>0</v>
      </c>
      <c r="C56" s="268" t="s">
        <v>661</v>
      </c>
      <c r="D56" s="621" t="s">
        <v>655</v>
      </c>
      <c r="E56" s="617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1606.4829924088483</v>
      </c>
      <c r="O56" s="104">
        <f t="shared" si="35"/>
        <v>236.94758810256559</v>
      </c>
      <c r="P56" s="158">
        <f>M56-J56</f>
        <v>0.20000000000000018</v>
      </c>
      <c r="Q56" s="117">
        <f>N56-K56</f>
        <v>-143.5170075911517</v>
      </c>
      <c r="R56" s="159">
        <f t="shared" ref="R56:R62" si="36">O56/L56</f>
        <v>0.88460432891624496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1</v>
      </c>
      <c r="AF56" s="162">
        <f>N56-K56</f>
        <v>-143.5170075911517</v>
      </c>
      <c r="AG56" s="421">
        <f>N56/K56</f>
        <v>0.91799028137648475</v>
      </c>
      <c r="AH56" s="625"/>
    </row>
    <row r="57" spans="1:34" ht="19.2" customHeight="1">
      <c r="A57" s="628" t="s">
        <v>662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990</v>
      </c>
      <c r="H57" s="84">
        <f t="shared" ref="H57:H66" si="37">F57*G57</f>
        <v>27977.4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1414.2857142857138</v>
      </c>
      <c r="O57" s="86">
        <f t="shared" ref="O57:O62" si="39">N57/M57</f>
        <v>202.04081632653055</v>
      </c>
      <c r="P57" s="165">
        <f t="shared" ref="P57:P62" si="40">M57-J57</f>
        <v>0</v>
      </c>
      <c r="Q57" s="49">
        <f t="shared" ref="Q57:Q62" si="41">O57-L57</f>
        <v>-12.244897959183731</v>
      </c>
      <c r="R57" s="424">
        <f t="shared" si="36"/>
        <v>0.94285714285714262</v>
      </c>
      <c r="S57" s="602">
        <f>R69</f>
        <v>0.97374817792827506</v>
      </c>
      <c r="T57" s="50">
        <v>0.125</v>
      </c>
      <c r="U57" s="50">
        <v>0.15416666666666667</v>
      </c>
      <c r="V57" s="422">
        <v>5</v>
      </c>
      <c r="W57" s="433">
        <f>(U57-T57)*24*60</f>
        <v>42.000000000000014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-85.714285714286234</v>
      </c>
      <c r="AG57" s="423">
        <f t="shared" si="7"/>
        <v>0.94285714285714251</v>
      </c>
      <c r="AH57" s="616">
        <f>AG69</f>
        <v>0.97348885266825169</v>
      </c>
    </row>
    <row r="58" spans="1:34" ht="19.2" customHeight="1">
      <c r="A58" s="619"/>
      <c r="B58" s="121" t="s">
        <v>130</v>
      </c>
      <c r="C58" s="420"/>
      <c r="D58" s="42" t="s">
        <v>69</v>
      </c>
      <c r="E58" s="43"/>
      <c r="F58" s="355">
        <v>27.88</v>
      </c>
      <c r="G58" s="44">
        <v>2789</v>
      </c>
      <c r="H58" s="45">
        <f t="shared" si="37"/>
        <v>77757.319999999992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1467.8947368421052</v>
      </c>
      <c r="O58" s="47">
        <f t="shared" si="39"/>
        <v>209.69924812030075</v>
      </c>
      <c r="P58" s="165">
        <f t="shared" si="40"/>
        <v>0</v>
      </c>
      <c r="Q58" s="49">
        <f t="shared" si="41"/>
        <v>-4.5864661654135261</v>
      </c>
      <c r="R58" s="424">
        <f t="shared" si="36"/>
        <v>0.97859649122807024</v>
      </c>
      <c r="S58" s="602"/>
      <c r="T58" s="50">
        <v>0.15972222222222224</v>
      </c>
      <c r="U58" s="50">
        <v>0.2388888888888889</v>
      </c>
      <c r="V58" s="422">
        <v>8</v>
      </c>
      <c r="W58" s="433">
        <f>(U58-T58)*24*60</f>
        <v>114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-32.105263157894797</v>
      </c>
      <c r="AG58" s="424">
        <f t="shared" si="7"/>
        <v>0.97859649122807013</v>
      </c>
      <c r="AH58" s="602"/>
    </row>
    <row r="59" spans="1:34" ht="19.2" customHeight="1">
      <c r="A59" s="619"/>
      <c r="B59" s="121" t="s">
        <v>130</v>
      </c>
      <c r="C59" s="420"/>
      <c r="D59" s="42" t="s">
        <v>70</v>
      </c>
      <c r="E59" s="43"/>
      <c r="F59" s="355">
        <v>28</v>
      </c>
      <c r="G59" s="44">
        <v>2685</v>
      </c>
      <c r="H59" s="45">
        <f t="shared" si="37"/>
        <v>75180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1477.9816513761466</v>
      </c>
      <c r="O59" s="47">
        <f t="shared" si="39"/>
        <v>211.14023591087809</v>
      </c>
      <c r="P59" s="165">
        <f t="shared" si="40"/>
        <v>0</v>
      </c>
      <c r="Q59" s="49">
        <f t="shared" si="41"/>
        <v>-3.1454783748361876</v>
      </c>
      <c r="R59" s="424">
        <f t="shared" si="36"/>
        <v>0.98532110091743108</v>
      </c>
      <c r="S59" s="602"/>
      <c r="T59" s="50">
        <v>0.25625000000000003</v>
      </c>
      <c r="U59" s="50">
        <v>0.33194444444444449</v>
      </c>
      <c r="V59" s="142">
        <v>25</v>
      </c>
      <c r="W59" s="433">
        <f t="shared" ref="W59:W69" si="42">(U59-T59)*24*60</f>
        <v>109.00000000000001</v>
      </c>
      <c r="X59" s="53">
        <v>0.24305555555555555</v>
      </c>
      <c r="Y59" s="53">
        <v>0.25555555555555559</v>
      </c>
      <c r="Z59" s="54"/>
      <c r="AA59" s="54"/>
      <c r="AB59" s="588"/>
      <c r="AC59" s="588"/>
      <c r="AD59" s="420"/>
      <c r="AE59" s="420"/>
      <c r="AF59" s="48">
        <f t="shared" si="6"/>
        <v>-22.018348623853399</v>
      </c>
      <c r="AG59" s="424">
        <f t="shared" si="7"/>
        <v>0.98532110091743108</v>
      </c>
      <c r="AH59" s="602"/>
    </row>
    <row r="60" spans="1:34" ht="19.2" customHeight="1">
      <c r="A60" s="619"/>
      <c r="B60" s="121" t="s">
        <v>130</v>
      </c>
      <c r="C60" s="420"/>
      <c r="D60" s="42" t="s">
        <v>387</v>
      </c>
      <c r="E60" s="43"/>
      <c r="F60" s="355">
        <v>28.47</v>
      </c>
      <c r="G60" s="44">
        <v>2321.15</v>
      </c>
      <c r="H60" s="45">
        <f t="shared" si="37"/>
        <v>66083.140499999994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1465.9894736842109</v>
      </c>
      <c r="O60" s="47">
        <f t="shared" si="39"/>
        <v>209.427067669173</v>
      </c>
      <c r="P60" s="165">
        <f t="shared" si="40"/>
        <v>0</v>
      </c>
      <c r="Q60" s="49">
        <f t="shared" si="41"/>
        <v>-4.8586466165412787</v>
      </c>
      <c r="R60" s="424">
        <f t="shared" si="36"/>
        <v>0.97732631578947404</v>
      </c>
      <c r="S60" s="602"/>
      <c r="T60" s="50">
        <v>0.34930555555555559</v>
      </c>
      <c r="U60" s="50">
        <v>0.4152777777777778</v>
      </c>
      <c r="V60" s="142">
        <v>25</v>
      </c>
      <c r="W60" s="433">
        <f t="shared" si="42"/>
        <v>94.999999999999986</v>
      </c>
      <c r="X60" s="53">
        <v>0.33611111111111108</v>
      </c>
      <c r="Y60" s="53">
        <v>0.34861111111111115</v>
      </c>
      <c r="Z60" s="54"/>
      <c r="AA60" s="54"/>
      <c r="AB60" s="588"/>
      <c r="AC60" s="588"/>
      <c r="AD60" s="420"/>
      <c r="AE60" s="420"/>
      <c r="AF60" s="48">
        <f t="shared" si="6"/>
        <v>-34.010526315789093</v>
      </c>
      <c r="AG60" s="423">
        <f t="shared" si="7"/>
        <v>0.97732631578947393</v>
      </c>
      <c r="AH60" s="602"/>
    </row>
    <row r="61" spans="1:34" ht="19.2" customHeight="1">
      <c r="A61" s="619"/>
      <c r="B61" s="121" t="s">
        <v>132</v>
      </c>
      <c r="C61" s="420"/>
      <c r="D61" s="42" t="s">
        <v>66</v>
      </c>
      <c r="E61" s="43"/>
      <c r="F61" s="355">
        <v>10.09</v>
      </c>
      <c r="G61" s="44">
        <v>3119.24</v>
      </c>
      <c r="H61" s="45">
        <f t="shared" si="37"/>
        <v>31473.131599999997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1462.1437500000006</v>
      </c>
      <c r="O61" s="47">
        <f t="shared" si="39"/>
        <v>243.6906250000001</v>
      </c>
      <c r="P61" s="165">
        <f t="shared" si="40"/>
        <v>0</v>
      </c>
      <c r="Q61" s="49">
        <f t="shared" si="41"/>
        <v>-6.3093749999999034</v>
      </c>
      <c r="R61" s="424">
        <f t="shared" si="36"/>
        <v>0.97476250000000042</v>
      </c>
      <c r="S61" s="602"/>
      <c r="T61" s="50">
        <v>0.45555555555555555</v>
      </c>
      <c r="U61" s="50">
        <v>0.5444444444444444</v>
      </c>
      <c r="V61" s="142">
        <v>5</v>
      </c>
      <c r="W61" s="433">
        <f t="shared" si="42"/>
        <v>127.99999999999994</v>
      </c>
      <c r="X61" s="53"/>
      <c r="Y61" s="53"/>
      <c r="Z61" s="54"/>
      <c r="AA61" s="54"/>
      <c r="AB61" s="588"/>
      <c r="AC61" s="588"/>
      <c r="AD61" s="420">
        <v>1</v>
      </c>
      <c r="AE61" s="420"/>
      <c r="AF61" s="48">
        <f t="shared" si="6"/>
        <v>-37.856249999999363</v>
      </c>
      <c r="AG61" s="424">
        <f t="shared" si="7"/>
        <v>0.97476250000000042</v>
      </c>
      <c r="AH61" s="602"/>
    </row>
    <row r="62" spans="1:34" ht="19.2" customHeight="1">
      <c r="A62" s="619"/>
      <c r="B62" s="121" t="s">
        <v>132</v>
      </c>
      <c r="C62" s="420"/>
      <c r="D62" s="42" t="s">
        <v>66</v>
      </c>
      <c r="E62" s="43"/>
      <c r="F62" s="355">
        <v>10.09</v>
      </c>
      <c r="G62" s="134">
        <v>2258.7599999999998</v>
      </c>
      <c r="H62" s="45">
        <f t="shared" si="37"/>
        <v>22790.888399999996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1473.1043478260867</v>
      </c>
      <c r="O62" s="47">
        <f t="shared" si="39"/>
        <v>245.5173913043478</v>
      </c>
      <c r="P62" s="165">
        <f t="shared" si="40"/>
        <v>0</v>
      </c>
      <c r="Q62" s="49">
        <f t="shared" si="41"/>
        <v>-4.4826086956522033</v>
      </c>
      <c r="R62" s="424">
        <f t="shared" si="36"/>
        <v>0.98206956521739119</v>
      </c>
      <c r="S62" s="602"/>
      <c r="T62" s="166">
        <v>0.56180555555555556</v>
      </c>
      <c r="U62" s="166">
        <v>0.62569444444444444</v>
      </c>
      <c r="V62" s="142">
        <v>25</v>
      </c>
      <c r="W62" s="433">
        <f t="shared" si="42"/>
        <v>92</v>
      </c>
      <c r="X62" s="53">
        <v>0.54861111111111105</v>
      </c>
      <c r="Y62" s="53">
        <v>0.56111111111111112</v>
      </c>
      <c r="Z62" s="54"/>
      <c r="AA62" s="54"/>
      <c r="AB62" s="588"/>
      <c r="AC62" s="588"/>
      <c r="AD62" s="420"/>
      <c r="AE62" s="420"/>
      <c r="AF62" s="48">
        <f t="shared" si="6"/>
        <v>-26.895652173913277</v>
      </c>
      <c r="AG62" s="424">
        <f t="shared" si="7"/>
        <v>0.98206956521739119</v>
      </c>
      <c r="AH62" s="602"/>
    </row>
    <row r="63" spans="1:34" ht="19.2" customHeight="1">
      <c r="A63" s="61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2" customHeight="1">
      <c r="A64" s="584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2" customHeight="1">
      <c r="A65" s="584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2" customHeight="1">
      <c r="A66" s="584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2" customHeight="1">
      <c r="A67" s="584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2" customHeight="1">
      <c r="A68" s="584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2" customHeight="1">
      <c r="A69" s="584"/>
      <c r="B69" s="168">
        <v>0</v>
      </c>
      <c r="C69" s="6" t="s">
        <v>663</v>
      </c>
      <c r="D69" s="617" t="s">
        <v>655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1460.2332790023775</v>
      </c>
      <c r="O69" s="73">
        <f t="shared" si="43"/>
        <v>220.25256405520506</v>
      </c>
      <c r="P69" s="48">
        <f>M69-J69</f>
        <v>0</v>
      </c>
      <c r="Q69" s="49">
        <f>N69-K69</f>
        <v>-39.766720997622542</v>
      </c>
      <c r="R69" s="172">
        <f t="shared" ref="R69:R75" si="44">O69/L69</f>
        <v>0.97374817792827506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-39.766720997622542</v>
      </c>
      <c r="AG69" s="424">
        <f t="shared" si="7"/>
        <v>0.97348885266825169</v>
      </c>
      <c r="AH69" s="602"/>
    </row>
    <row r="70" spans="1:34" ht="19.2" customHeight="1">
      <c r="A70" s="586" t="s">
        <v>664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1703</v>
      </c>
      <c r="H70" s="45">
        <f>F70*G70</f>
        <v>105807.39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1380.8108108108113</v>
      </c>
      <c r="O70" s="47">
        <f t="shared" ref="O70:O75" si="46">N70/M70</f>
        <v>98.629343629343666</v>
      </c>
      <c r="P70" s="48">
        <f t="shared" ref="P70:P75" si="47">M70-J70</f>
        <v>0</v>
      </c>
      <c r="Q70" s="49">
        <f t="shared" ref="Q70:Q75" si="48">O70-L70</f>
        <v>-8.5135135135134732</v>
      </c>
      <c r="R70" s="424">
        <f t="shared" si="44"/>
        <v>0.92054054054054091</v>
      </c>
      <c r="S70" s="602">
        <f>R82</f>
        <v>0.93015822446440788</v>
      </c>
      <c r="T70" s="50">
        <v>0.25</v>
      </c>
      <c r="U70" s="50">
        <v>0.30138888888888887</v>
      </c>
      <c r="V70" s="422">
        <v>5</v>
      </c>
      <c r="W70" s="433">
        <f>(U70-T70)*24*60</f>
        <v>73.999999999999972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-119.18918918918871</v>
      </c>
      <c r="AG70" s="424">
        <f t="shared" si="7"/>
        <v>0.92054054054054091</v>
      </c>
      <c r="AH70" s="602">
        <f>AG82</f>
        <v>0.93072489311288809</v>
      </c>
    </row>
    <row r="71" spans="1:34" ht="19.2" customHeight="1">
      <c r="A71" s="586"/>
      <c r="B71" s="422" t="s">
        <v>128</v>
      </c>
      <c r="C71" s="41"/>
      <c r="D71" s="173" t="s">
        <v>71</v>
      </c>
      <c r="E71" s="43"/>
      <c r="F71" s="355">
        <v>47.65</v>
      </c>
      <c r="G71" s="44">
        <v>1612</v>
      </c>
      <c r="H71" s="45">
        <f>F71*G71</f>
        <v>76811.8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1343.3333333333335</v>
      </c>
      <c r="O71" s="47">
        <f t="shared" si="46"/>
        <v>74.629629629629633</v>
      </c>
      <c r="P71" s="48">
        <f t="shared" si="47"/>
        <v>0</v>
      </c>
      <c r="Q71" s="49">
        <f t="shared" si="48"/>
        <v>-5.3703703703703667</v>
      </c>
      <c r="R71" s="424">
        <f t="shared" si="44"/>
        <v>0.93287037037037046</v>
      </c>
      <c r="S71" s="602"/>
      <c r="T71" s="50">
        <v>0.30694444444444441</v>
      </c>
      <c r="U71" s="50">
        <v>0.3569444444444444</v>
      </c>
      <c r="V71" s="422">
        <v>8</v>
      </c>
      <c r="W71" s="433">
        <f t="shared" ref="W71:W81" si="49">(U71-T71)*24*60</f>
        <v>71.999999999999986</v>
      </c>
      <c r="X71" s="53"/>
      <c r="Y71" s="53"/>
      <c r="Z71" s="54"/>
      <c r="AA71" s="54"/>
      <c r="AB71" s="588"/>
      <c r="AC71" s="588"/>
      <c r="AD71" s="420">
        <v>1</v>
      </c>
      <c r="AE71" s="420"/>
      <c r="AF71" s="48">
        <f>N71-K71</f>
        <v>-96.666666666666515</v>
      </c>
      <c r="AG71" s="424">
        <f>N71/K71</f>
        <v>0.93287037037037046</v>
      </c>
      <c r="AH71" s="602"/>
    </row>
    <row r="72" spans="1:34" ht="19.2" customHeight="1">
      <c r="A72" s="586"/>
      <c r="B72" s="422" t="s">
        <v>128</v>
      </c>
      <c r="C72" s="66"/>
      <c r="D72" s="173" t="s">
        <v>72</v>
      </c>
      <c r="E72" s="43"/>
      <c r="F72" s="355">
        <v>53.36</v>
      </c>
      <c r="G72" s="44">
        <v>3561.36</v>
      </c>
      <c r="H72" s="45">
        <f t="shared" ref="H72:H80" si="50">F72*G72</f>
        <v>190034.16959999999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1361.0292993630574</v>
      </c>
      <c r="O72" s="47">
        <f t="shared" si="46"/>
        <v>71.633121019108287</v>
      </c>
      <c r="P72" s="48">
        <f t="shared" si="47"/>
        <v>0</v>
      </c>
      <c r="Q72" s="49">
        <f t="shared" si="48"/>
        <v>-4.1563526651022329</v>
      </c>
      <c r="R72" s="424">
        <f t="shared" si="44"/>
        <v>0.94515923566879001</v>
      </c>
      <c r="S72" s="602"/>
      <c r="T72" s="50">
        <v>0.37222222222222218</v>
      </c>
      <c r="U72" s="50">
        <v>0.48124999999999996</v>
      </c>
      <c r="V72" s="422">
        <v>22</v>
      </c>
      <c r="W72" s="433">
        <f t="shared" si="49"/>
        <v>157</v>
      </c>
      <c r="X72" s="53">
        <v>0.3611111111111111</v>
      </c>
      <c r="Y72" s="53">
        <v>0.37152777777777773</v>
      </c>
      <c r="Z72" s="54"/>
      <c r="AA72" s="54"/>
      <c r="AB72" s="588"/>
      <c r="AC72" s="588"/>
      <c r="AD72" s="420"/>
      <c r="AE72" s="420"/>
      <c r="AF72" s="48">
        <f>N72-K72</f>
        <v>-78.970700636942638</v>
      </c>
      <c r="AG72" s="424">
        <f>N72/K72</f>
        <v>0.94515923566878979</v>
      </c>
      <c r="AH72" s="602"/>
    </row>
    <row r="73" spans="1:34" ht="19.2" customHeight="1">
      <c r="A73" s="586"/>
      <c r="B73" s="422" t="s">
        <v>128</v>
      </c>
      <c r="C73" s="175"/>
      <c r="D73" s="176" t="s">
        <v>73</v>
      </c>
      <c r="E73" s="177"/>
      <c r="F73" s="355">
        <v>53.76</v>
      </c>
      <c r="G73" s="44">
        <v>1700</v>
      </c>
      <c r="H73" s="45">
        <f t="shared" si="50"/>
        <v>91392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1324.675324675324</v>
      </c>
      <c r="O73" s="47">
        <f t="shared" si="46"/>
        <v>82.792207792207748</v>
      </c>
      <c r="P73" s="48">
        <f t="shared" si="47"/>
        <v>0</v>
      </c>
      <c r="Q73" s="49">
        <f t="shared" si="48"/>
        <v>-7.2077922077922523</v>
      </c>
      <c r="R73" s="424">
        <f t="shared" si="44"/>
        <v>0.91991341991341946</v>
      </c>
      <c r="S73" s="602"/>
      <c r="T73" s="50">
        <v>0.5215277777777777</v>
      </c>
      <c r="U73" s="50">
        <v>0.57499999999999996</v>
      </c>
      <c r="V73" s="422">
        <v>5</v>
      </c>
      <c r="W73" s="433">
        <f t="shared" si="49"/>
        <v>77.000000000000043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-115.32467532467604</v>
      </c>
      <c r="AG73" s="424">
        <f>N73/K73</f>
        <v>0.91991341991341946</v>
      </c>
      <c r="AH73" s="602"/>
    </row>
    <row r="74" spans="1:34" ht="19.2" customHeight="1">
      <c r="A74" s="586"/>
      <c r="B74" s="422" t="s">
        <v>128</v>
      </c>
      <c r="C74" s="175"/>
      <c r="D74" s="176" t="s">
        <v>74</v>
      </c>
      <c r="E74" s="177"/>
      <c r="F74" s="355">
        <v>47.51</v>
      </c>
      <c r="G74" s="44">
        <v>1522</v>
      </c>
      <c r="H74" s="45">
        <f t="shared" si="50"/>
        <v>72310.22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1362.9850746268676</v>
      </c>
      <c r="O74" s="47">
        <f t="shared" si="46"/>
        <v>80.175592625109857</v>
      </c>
      <c r="P74" s="48">
        <f t="shared" si="47"/>
        <v>0</v>
      </c>
      <c r="Q74" s="49">
        <f t="shared" si="48"/>
        <v>-4.5302897278313168</v>
      </c>
      <c r="R74" s="424">
        <f t="shared" si="44"/>
        <v>0.94651741293532476</v>
      </c>
      <c r="S74" s="602"/>
      <c r="T74" s="50">
        <v>0.59027777777777768</v>
      </c>
      <c r="U74" s="50">
        <v>0.6368055555555554</v>
      </c>
      <c r="V74" s="422">
        <v>22</v>
      </c>
      <c r="W74" s="433">
        <f t="shared" si="49"/>
        <v>66.999999999999915</v>
      </c>
      <c r="X74" s="180">
        <v>0.57916666666666672</v>
      </c>
      <c r="Y74" s="180">
        <v>0.58888888888888891</v>
      </c>
      <c r="Z74" s="124"/>
      <c r="AA74" s="124"/>
      <c r="AB74" s="588"/>
      <c r="AC74" s="588"/>
      <c r="AD74" s="420"/>
      <c r="AE74" s="420"/>
      <c r="AF74" s="48">
        <f t="shared" ref="AF74:AF80" si="51">N74-K74</f>
        <v>-77.014925373132428</v>
      </c>
      <c r="AG74" s="424">
        <f t="shared" ref="AG74:AG80" si="52">N74/K74</f>
        <v>0.94651741293532465</v>
      </c>
      <c r="AH74" s="602"/>
    </row>
    <row r="75" spans="1:34" ht="19.2" customHeight="1">
      <c r="A75" s="586"/>
      <c r="B75" s="422" t="s">
        <v>128</v>
      </c>
      <c r="C75" s="66"/>
      <c r="D75" s="173" t="s">
        <v>72</v>
      </c>
      <c r="E75" s="43"/>
      <c r="F75" s="355">
        <v>53.36</v>
      </c>
      <c r="G75" s="57">
        <v>485.64</v>
      </c>
      <c r="H75" s="45">
        <f t="shared" si="50"/>
        <v>25913.750400000001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1324.4727272727318</v>
      </c>
      <c r="O75" s="47">
        <f t="shared" si="46"/>
        <v>69.709090909091145</v>
      </c>
      <c r="P75" s="48">
        <f t="shared" si="47"/>
        <v>0</v>
      </c>
      <c r="Q75" s="49">
        <f t="shared" si="48"/>
        <v>-6.0803827751193751</v>
      </c>
      <c r="R75" s="424">
        <f t="shared" si="44"/>
        <v>0.91977272727273041</v>
      </c>
      <c r="S75" s="602"/>
      <c r="T75" s="50">
        <v>0.64236111111111094</v>
      </c>
      <c r="U75" s="50">
        <v>0.65763888888888866</v>
      </c>
      <c r="V75" s="422">
        <v>8</v>
      </c>
      <c r="W75" s="433">
        <f t="shared" si="49"/>
        <v>21.999999999999922</v>
      </c>
      <c r="X75" s="180"/>
      <c r="Y75" s="180"/>
      <c r="Z75" s="124"/>
      <c r="AA75" s="124"/>
      <c r="AB75" s="588"/>
      <c r="AC75" s="588"/>
      <c r="AD75" s="420"/>
      <c r="AE75" s="420">
        <v>1</v>
      </c>
      <c r="AF75" s="48">
        <f t="shared" si="51"/>
        <v>-115.52727272726815</v>
      </c>
      <c r="AG75" s="424">
        <f t="shared" si="52"/>
        <v>0.91977272727273041</v>
      </c>
      <c r="AH75" s="602"/>
    </row>
    <row r="76" spans="1:34" ht="19.2" customHeight="1">
      <c r="A76" s="586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2" customHeight="1">
      <c r="A77" s="586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2" customHeight="1">
      <c r="A78" s="586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2" customHeight="1">
      <c r="A79" s="586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2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2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2" customHeight="1">
      <c r="A82" s="629"/>
      <c r="B82" s="168">
        <v>0</v>
      </c>
      <c r="C82" s="100" t="s">
        <v>665</v>
      </c>
      <c r="D82" s="617" t="s">
        <v>655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1349.5510950136877</v>
      </c>
      <c r="O82" s="184">
        <f t="shared" si="53"/>
        <v>79.594830934081713</v>
      </c>
      <c r="P82" s="116">
        <f>M82-J82</f>
        <v>0</v>
      </c>
      <c r="Q82" s="117">
        <f>N82-K82</f>
        <v>-100.4489049863123</v>
      </c>
      <c r="R82" s="172">
        <f>O82/L82</f>
        <v>0.93015822446440788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1</v>
      </c>
      <c r="AF82" s="48">
        <f>N82-K82</f>
        <v>-100.4489049863123</v>
      </c>
      <c r="AG82" s="424">
        <f>N82/K82</f>
        <v>0.93072489311288809</v>
      </c>
      <c r="AH82" s="602"/>
    </row>
    <row r="83" spans="1:34" ht="19.2" customHeight="1">
      <c r="A83" s="630" t="s">
        <v>666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1576.25</v>
      </c>
      <c r="H83" s="84">
        <f t="shared" ref="H83:H94" si="54">F83*G83</f>
        <v>79868.587500000009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1390.8088235294117</v>
      </c>
      <c r="O83" s="183">
        <f t="shared" ref="O83:O90" si="56">N83/M83</f>
        <v>77.267156862745097</v>
      </c>
      <c r="P83" s="54">
        <f t="shared" ref="P83:P90" si="57">M83-J83</f>
        <v>0</v>
      </c>
      <c r="Q83" s="88">
        <f t="shared" ref="Q83:Q90" si="58">O83-L83</f>
        <v>-6.066176470588232</v>
      </c>
      <c r="R83" s="185">
        <f t="shared" ref="R83:R90" si="59">O83/L83</f>
        <v>0.92720588235294121</v>
      </c>
      <c r="S83" s="602">
        <f>R95</f>
        <v>0.85585742675009224</v>
      </c>
      <c r="T83" s="50">
        <v>0.33333333333333331</v>
      </c>
      <c r="U83" s="50">
        <v>0.38055555555555554</v>
      </c>
      <c r="V83" s="422">
        <v>5</v>
      </c>
      <c r="W83" s="433">
        <f t="shared" ref="W83:W93" si="60">(U83-T83)*24*60</f>
        <v>68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-109.19117647058829</v>
      </c>
      <c r="AG83" s="424">
        <f t="shared" ref="AG83:AG173" si="62">N83/K83</f>
        <v>0.9272058823529411</v>
      </c>
      <c r="AH83" s="602">
        <f>AG95</f>
        <v>0.85712798896800046</v>
      </c>
    </row>
    <row r="84" spans="1:34" ht="19.2" customHeight="1">
      <c r="A84" s="631"/>
      <c r="B84" s="110" t="s">
        <v>128</v>
      </c>
      <c r="C84" s="429"/>
      <c r="D84" s="186" t="s">
        <v>185</v>
      </c>
      <c r="E84" s="43"/>
      <c r="F84" s="362">
        <v>61.02</v>
      </c>
      <c r="G84" s="44">
        <v>1751</v>
      </c>
      <c r="H84" s="84">
        <f t="shared" si="54"/>
        <v>106846.02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1329.8734177215197</v>
      </c>
      <c r="O84" s="183">
        <f t="shared" si="56"/>
        <v>78.227848101265863</v>
      </c>
      <c r="P84" s="54">
        <f t="shared" si="57"/>
        <v>0</v>
      </c>
      <c r="Q84" s="88">
        <f t="shared" si="58"/>
        <v>-6.4780342516753109</v>
      </c>
      <c r="R84" s="185">
        <f t="shared" si="59"/>
        <v>0.92352320675105537</v>
      </c>
      <c r="S84" s="602"/>
      <c r="T84" s="50">
        <v>0.39583333333333331</v>
      </c>
      <c r="U84" s="50">
        <v>0.4506944444444444</v>
      </c>
      <c r="V84" s="422">
        <v>22</v>
      </c>
      <c r="W84" s="433">
        <f t="shared" si="60"/>
        <v>78.999999999999957</v>
      </c>
      <c r="X84" s="53">
        <v>0.38472222222222219</v>
      </c>
      <c r="Y84" s="53">
        <v>0.39444444444444443</v>
      </c>
      <c r="Z84" s="54"/>
      <c r="AA84" s="54"/>
      <c r="AB84" s="588"/>
      <c r="AC84" s="588"/>
      <c r="AD84" s="420"/>
      <c r="AE84" s="420"/>
      <c r="AF84" s="48">
        <f t="shared" si="61"/>
        <v>-110.12658227848033</v>
      </c>
      <c r="AG84" s="424">
        <f t="shared" si="62"/>
        <v>0.92352320675105537</v>
      </c>
      <c r="AH84" s="602"/>
    </row>
    <row r="85" spans="1:34" ht="19.2" customHeight="1">
      <c r="A85" s="631"/>
      <c r="B85" s="110" t="s">
        <v>130</v>
      </c>
      <c r="C85" s="122"/>
      <c r="D85" s="186" t="s">
        <v>143</v>
      </c>
      <c r="E85" s="43"/>
      <c r="F85" s="362">
        <v>36.92</v>
      </c>
      <c r="G85" s="44">
        <v>1549.8</v>
      </c>
      <c r="H85" s="84">
        <f t="shared" si="54"/>
        <v>57218.616000000002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1452.9374999999995</v>
      </c>
      <c r="O85" s="183">
        <f t="shared" si="56"/>
        <v>121.07812499999996</v>
      </c>
      <c r="P85" s="54">
        <f t="shared" si="57"/>
        <v>0</v>
      </c>
      <c r="Q85" s="88">
        <f t="shared" si="58"/>
        <v>-45.5885416666667</v>
      </c>
      <c r="R85" s="185">
        <f t="shared" si="59"/>
        <v>0.72646874999999977</v>
      </c>
      <c r="S85" s="602"/>
      <c r="T85" s="50">
        <v>0.45555555555555549</v>
      </c>
      <c r="U85" s="50">
        <v>0.49999999999999994</v>
      </c>
      <c r="V85" s="422">
        <v>7</v>
      </c>
      <c r="W85" s="433">
        <f t="shared" si="60"/>
        <v>64.000000000000014</v>
      </c>
      <c r="X85" s="53"/>
      <c r="Y85" s="53"/>
      <c r="Z85" s="54"/>
      <c r="AA85" s="54"/>
      <c r="AB85" s="588"/>
      <c r="AC85" s="588"/>
      <c r="AD85" s="420"/>
      <c r="AE85" s="420">
        <v>1</v>
      </c>
      <c r="AF85" s="48">
        <f t="shared" si="61"/>
        <v>-547.06250000000045</v>
      </c>
      <c r="AG85" s="424">
        <f t="shared" si="62"/>
        <v>0.72646874999999977</v>
      </c>
      <c r="AH85" s="602"/>
    </row>
    <row r="86" spans="1:34" ht="19.2" customHeight="1">
      <c r="A86" s="631"/>
      <c r="B86" s="110" t="s">
        <v>132</v>
      </c>
      <c r="C86" s="97"/>
      <c r="D86" s="186" t="s">
        <v>190</v>
      </c>
      <c r="E86" s="43"/>
      <c r="F86" s="362">
        <v>54.09</v>
      </c>
      <c r="G86" s="44">
        <v>788</v>
      </c>
      <c r="H86" s="84">
        <f t="shared" si="54"/>
        <v>42622.920000000006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1074.5454545454545</v>
      </c>
      <c r="O86" s="183">
        <f t="shared" si="56"/>
        <v>53.727272727272727</v>
      </c>
      <c r="P86" s="54">
        <f t="shared" si="57"/>
        <v>0</v>
      </c>
      <c r="Q86" s="88">
        <f t="shared" si="58"/>
        <v>-11.272727272727273</v>
      </c>
      <c r="R86" s="185">
        <f t="shared" si="59"/>
        <v>0.82657342657342658</v>
      </c>
      <c r="S86" s="602"/>
      <c r="T86" s="50">
        <v>0.54027777777777775</v>
      </c>
      <c r="U86" s="50">
        <v>0.5708333333333333</v>
      </c>
      <c r="V86" s="422">
        <v>8</v>
      </c>
      <c r="W86" s="433">
        <f t="shared" si="60"/>
        <v>44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-225.4545454545455</v>
      </c>
      <c r="AG86" s="424">
        <f t="shared" si="62"/>
        <v>0.82657342657342658</v>
      </c>
      <c r="AH86" s="602"/>
    </row>
    <row r="87" spans="1:34" ht="19.2" customHeight="1">
      <c r="A87" s="631"/>
      <c r="B87" s="110" t="s">
        <v>128</v>
      </c>
      <c r="C87" s="97"/>
      <c r="D87" s="186" t="s">
        <v>203</v>
      </c>
      <c r="E87" s="43"/>
      <c r="F87" s="362">
        <v>61.09</v>
      </c>
      <c r="G87" s="44">
        <v>1618</v>
      </c>
      <c r="H87" s="84">
        <f t="shared" si="54"/>
        <v>98843.62000000001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1260.7792207792199</v>
      </c>
      <c r="O87" s="183">
        <f t="shared" si="56"/>
        <v>74.163483575248236</v>
      </c>
      <c r="P87" s="54">
        <f t="shared" si="57"/>
        <v>0</v>
      </c>
      <c r="Q87" s="88">
        <f t="shared" si="58"/>
        <v>-10.542398777692938</v>
      </c>
      <c r="R87" s="185">
        <f t="shared" si="59"/>
        <v>0.87554112554112506</v>
      </c>
      <c r="S87" s="602"/>
      <c r="T87" s="50">
        <v>0.58611111111111103</v>
      </c>
      <c r="U87" s="50">
        <v>0.63958333333333328</v>
      </c>
      <c r="V87" s="422">
        <v>22</v>
      </c>
      <c r="W87" s="433">
        <f t="shared" si="60"/>
        <v>77.000000000000043</v>
      </c>
      <c r="X87" s="53">
        <v>0.57500000000000007</v>
      </c>
      <c r="Y87" s="53">
        <v>0.58472222222222225</v>
      </c>
      <c r="Z87" s="54"/>
      <c r="AA87" s="54"/>
      <c r="AB87" s="588"/>
      <c r="AC87" s="588"/>
      <c r="AD87" s="420"/>
      <c r="AE87" s="420"/>
      <c r="AF87" s="48">
        <f t="shared" si="61"/>
        <v>-179.22077922078006</v>
      </c>
      <c r="AG87" s="424">
        <f t="shared" si="62"/>
        <v>0.87554112554112495</v>
      </c>
      <c r="AH87" s="602"/>
    </row>
    <row r="88" spans="1:34" ht="19.2" customHeight="1">
      <c r="A88" s="631"/>
      <c r="B88" s="110" t="s">
        <v>129</v>
      </c>
      <c r="C88" s="429"/>
      <c r="D88" s="186" t="s">
        <v>186</v>
      </c>
      <c r="E88" s="43"/>
      <c r="F88" s="362">
        <v>56.43</v>
      </c>
      <c r="G88" s="57">
        <v>537.59999999999991</v>
      </c>
      <c r="H88" s="84">
        <f t="shared" si="54"/>
        <v>30336.767999999996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1343.9999999999957</v>
      </c>
      <c r="O88" s="183">
        <f t="shared" si="56"/>
        <v>83.99999999999973</v>
      </c>
      <c r="P88" s="54">
        <f t="shared" si="57"/>
        <v>0</v>
      </c>
      <c r="Q88" s="88">
        <f t="shared" si="58"/>
        <v>-9.75000000000027</v>
      </c>
      <c r="R88" s="185">
        <f t="shared" si="59"/>
        <v>0.89599999999999713</v>
      </c>
      <c r="S88" s="602"/>
      <c r="T88" s="50">
        <v>0.64444444444444438</v>
      </c>
      <c r="U88" s="50">
        <v>0.66111111111111109</v>
      </c>
      <c r="V88" s="422">
        <v>7</v>
      </c>
      <c r="W88" s="433">
        <f t="shared" si="60"/>
        <v>24.000000000000075</v>
      </c>
      <c r="X88" s="53"/>
      <c r="Y88" s="53"/>
      <c r="Z88" s="54"/>
      <c r="AA88" s="54"/>
      <c r="AB88" s="588"/>
      <c r="AC88" s="588"/>
      <c r="AD88" s="420">
        <v>1</v>
      </c>
      <c r="AE88" s="420"/>
      <c r="AF88" s="48">
        <f t="shared" si="61"/>
        <v>-156.00000000000432</v>
      </c>
      <c r="AG88" s="424">
        <f t="shared" si="62"/>
        <v>0.89599999999999713</v>
      </c>
      <c r="AH88" s="602"/>
    </row>
    <row r="89" spans="1:34" ht="19.2" customHeight="1">
      <c r="A89" s="631"/>
      <c r="B89" s="110" t="s">
        <v>130</v>
      </c>
      <c r="C89" s="429"/>
      <c r="D89" s="42" t="s">
        <v>61</v>
      </c>
      <c r="E89" s="43"/>
      <c r="F89" s="362">
        <v>43.14</v>
      </c>
      <c r="G89" s="114">
        <v>491.04999999999995</v>
      </c>
      <c r="H89" s="84">
        <f t="shared" si="54"/>
        <v>21183.896999999997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1280.9999999999957</v>
      </c>
      <c r="O89" s="183">
        <f t="shared" si="56"/>
        <v>80.06249999999973</v>
      </c>
      <c r="P89" s="54">
        <f t="shared" si="57"/>
        <v>0</v>
      </c>
      <c r="Q89" s="88">
        <f t="shared" si="58"/>
        <v>-9.93750000000027</v>
      </c>
      <c r="R89" s="185">
        <f t="shared" si="59"/>
        <v>0.88958333333333028</v>
      </c>
      <c r="S89" s="602"/>
      <c r="T89" s="50">
        <v>0.66597222222222219</v>
      </c>
      <c r="U89" s="50">
        <v>0.68194444444444446</v>
      </c>
      <c r="V89" s="422">
        <v>7</v>
      </c>
      <c r="W89" s="433">
        <f t="shared" si="60"/>
        <v>23.000000000000078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-159.00000000000432</v>
      </c>
      <c r="AG89" s="424">
        <f t="shared" si="62"/>
        <v>0.88958333333333028</v>
      </c>
      <c r="AH89" s="602"/>
    </row>
    <row r="90" spans="1:34" ht="19.2" customHeight="1">
      <c r="A90" s="631"/>
      <c r="B90" s="110" t="s">
        <v>129</v>
      </c>
      <c r="C90" s="429"/>
      <c r="D90" s="42" t="s">
        <v>210</v>
      </c>
      <c r="E90" s="43"/>
      <c r="F90" s="362">
        <v>44.3</v>
      </c>
      <c r="G90" s="127">
        <v>1690.92</v>
      </c>
      <c r="H90" s="84">
        <f t="shared" si="54"/>
        <v>74907.755999999994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16</v>
      </c>
      <c r="N90" s="57">
        <f t="shared" si="55"/>
        <v>1371.0162162162153</v>
      </c>
      <c r="O90" s="183">
        <f t="shared" si="56"/>
        <v>85.688513513513456</v>
      </c>
      <c r="P90" s="54">
        <f t="shared" si="57"/>
        <v>-1</v>
      </c>
      <c r="Q90" s="88">
        <f t="shared" si="58"/>
        <v>-10.546780604133602</v>
      </c>
      <c r="R90" s="185">
        <f t="shared" si="59"/>
        <v>0.89040631401572667</v>
      </c>
      <c r="S90" s="602"/>
      <c r="T90" s="50">
        <v>0.68680555555555556</v>
      </c>
      <c r="U90" s="50">
        <v>0.73819444444444449</v>
      </c>
      <c r="V90" s="422">
        <v>7</v>
      </c>
      <c r="W90" s="433">
        <f t="shared" si="60"/>
        <v>74.000000000000057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-264.9837837837847</v>
      </c>
      <c r="AG90" s="424">
        <f t="shared" si="62"/>
        <v>0.83802947201480149</v>
      </c>
      <c r="AH90" s="602"/>
    </row>
    <row r="91" spans="1:34" ht="19.2" customHeight="1">
      <c r="A91" s="631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2" customHeight="1">
      <c r="A92" s="631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2" customHeight="1">
      <c r="A93" s="631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2" customHeight="1">
      <c r="A94" s="631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2" customHeight="1">
      <c r="A95" s="631"/>
      <c r="B95" s="200">
        <v>0</v>
      </c>
      <c r="C95" s="100" t="s">
        <v>667</v>
      </c>
      <c r="D95" s="617" t="s">
        <v>655</v>
      </c>
      <c r="E95" s="617"/>
      <c r="F95" s="356"/>
      <c r="G95" s="70"/>
      <c r="H95" s="201"/>
      <c r="I95" s="103"/>
      <c r="J95" s="202">
        <v>16.625</v>
      </c>
      <c r="K95" s="202">
        <v>1532</v>
      </c>
      <c r="L95" s="203">
        <v>95.549632352941174</v>
      </c>
      <c r="M95" s="202">
        <f t="shared" ref="M95:O95" si="63">AVERAGE(M83:M94)</f>
        <v>16.5</v>
      </c>
      <c r="N95" s="202">
        <f t="shared" si="63"/>
        <v>1313.1200790989767</v>
      </c>
      <c r="O95" s="203">
        <f t="shared" si="63"/>
        <v>81.776862472505599</v>
      </c>
      <c r="P95" s="204">
        <f>M95-J95</f>
        <v>-0.125</v>
      </c>
      <c r="Q95" s="205">
        <f t="shared" ref="Q95:Q103" si="64">O95-L95</f>
        <v>-13.772769880435575</v>
      </c>
      <c r="R95" s="206">
        <f>O95/L95</f>
        <v>0.85585742675009224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1</v>
      </c>
      <c r="AF95" s="65">
        <f t="shared" si="61"/>
        <v>-218.8799209010233</v>
      </c>
      <c r="AG95" s="425">
        <f t="shared" si="62"/>
        <v>0.85712798896800046</v>
      </c>
      <c r="AH95" s="603"/>
    </row>
    <row r="96" spans="1:34" ht="19.2" customHeight="1">
      <c r="A96" s="633" t="s">
        <v>668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1467</v>
      </c>
      <c r="H96" s="45">
        <f t="shared" ref="H96:H105" si="65">F96*G96</f>
        <v>43217.82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1143.1168831168836</v>
      </c>
      <c r="O96" s="47">
        <f t="shared" ref="O96:O103" si="67">N96/M96</f>
        <v>71.444805194805227</v>
      </c>
      <c r="P96" s="48">
        <f t="shared" ref="P96:P103" si="68">M96-J96</f>
        <v>0</v>
      </c>
      <c r="Q96" s="49">
        <f t="shared" si="64"/>
        <v>-18.555194805194773</v>
      </c>
      <c r="R96" s="424">
        <f t="shared" ref="R96:R103" si="69">O96/L96</f>
        <v>0.79383116883116922</v>
      </c>
      <c r="S96" s="602">
        <f>R108</f>
        <v>0.84870473162076732</v>
      </c>
      <c r="T96" s="89">
        <v>0.33333333333333331</v>
      </c>
      <c r="U96" s="89">
        <v>0.38680555555555551</v>
      </c>
      <c r="V96" s="420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-296.88311688311637</v>
      </c>
      <c r="AG96" s="421">
        <f t="shared" si="62"/>
        <v>0.79383116883116922</v>
      </c>
      <c r="AH96" s="611">
        <f>AG108</f>
        <v>0.84643743447071973</v>
      </c>
    </row>
    <row r="97" spans="1:34" s="215" customFormat="1" ht="19.2" customHeight="1">
      <c r="A97" s="633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2802</v>
      </c>
      <c r="H97" s="210">
        <f t="shared" si="65"/>
        <v>81575.045871559618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1334.2857142857147</v>
      </c>
      <c r="O97" s="47">
        <f t="shared" si="67"/>
        <v>66.714285714285737</v>
      </c>
      <c r="P97" s="48">
        <f t="shared" si="68"/>
        <v>0</v>
      </c>
      <c r="Q97" s="49">
        <f t="shared" si="64"/>
        <v>-8.2857142857142634</v>
      </c>
      <c r="R97" s="424">
        <f t="shared" si="69"/>
        <v>0.88952380952380983</v>
      </c>
      <c r="S97" s="602"/>
      <c r="T97" s="211">
        <v>0.40347222222222218</v>
      </c>
      <c r="U97" s="211">
        <v>0.49097222222222214</v>
      </c>
      <c r="V97" s="212">
        <v>24</v>
      </c>
      <c r="W97" s="90">
        <f t="shared" si="70"/>
        <v>125.99999999999996</v>
      </c>
      <c r="X97" s="53">
        <v>0.39166666666666666</v>
      </c>
      <c r="Y97" s="53">
        <v>0.40277777777777773</v>
      </c>
      <c r="Z97" s="54"/>
      <c r="AA97" s="54"/>
      <c r="AB97" s="588"/>
      <c r="AC97" s="588"/>
      <c r="AD97" s="212"/>
      <c r="AE97" s="212"/>
      <c r="AF97" s="213">
        <f t="shared" si="61"/>
        <v>-165.71428571428532</v>
      </c>
      <c r="AG97" s="214">
        <f t="shared" si="62"/>
        <v>0.88952380952380983</v>
      </c>
      <c r="AH97" s="611"/>
    </row>
    <row r="98" spans="1:34" s="218" customFormat="1" ht="19.2" customHeight="1">
      <c r="A98" s="633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308</v>
      </c>
      <c r="H98" s="210">
        <f t="shared" si="65"/>
        <v>23823.8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1087.0588235294156</v>
      </c>
      <c r="O98" s="47">
        <f t="shared" si="67"/>
        <v>60.39215686274531</v>
      </c>
      <c r="P98" s="48">
        <f t="shared" si="68"/>
        <v>-1</v>
      </c>
      <c r="Q98" s="49">
        <f t="shared" si="64"/>
        <v>-15.397316821465211</v>
      </c>
      <c r="R98" s="424">
        <f t="shared" si="69"/>
        <v>0.79684095860566739</v>
      </c>
      <c r="S98" s="602"/>
      <c r="T98" s="89">
        <v>0.53124999999999989</v>
      </c>
      <c r="U98" s="89">
        <v>0.5430555555555554</v>
      </c>
      <c r="V98" s="420">
        <v>5</v>
      </c>
      <c r="W98" s="90">
        <f t="shared" si="70"/>
        <v>16.99999999999994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-352.94117647058442</v>
      </c>
      <c r="AG98" s="421">
        <f t="shared" si="62"/>
        <v>0.75490196078431637</v>
      </c>
      <c r="AH98" s="611"/>
    </row>
    <row r="99" spans="1:34" ht="19.2" customHeight="1">
      <c r="A99" s="633"/>
      <c r="B99" s="422" t="s">
        <v>128</v>
      </c>
      <c r="C99" s="81"/>
      <c r="D99" s="82" t="s">
        <v>58</v>
      </c>
      <c r="E99" s="83"/>
      <c r="F99" s="366">
        <v>77.34</v>
      </c>
      <c r="G99" s="57">
        <v>885</v>
      </c>
      <c r="H99" s="210">
        <f t="shared" si="65"/>
        <v>68445.900000000009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1264.285714285714</v>
      </c>
      <c r="O99" s="47">
        <f t="shared" si="67"/>
        <v>70.238095238095227</v>
      </c>
      <c r="P99" s="48">
        <f t="shared" si="68"/>
        <v>0</v>
      </c>
      <c r="Q99" s="49">
        <f t="shared" si="64"/>
        <v>-9.7619047619047734</v>
      </c>
      <c r="R99" s="424">
        <f t="shared" si="69"/>
        <v>0.87797619047619035</v>
      </c>
      <c r="S99" s="602"/>
      <c r="T99" s="89">
        <v>0.5479166666666665</v>
      </c>
      <c r="U99" s="89">
        <v>0.57708333333333317</v>
      </c>
      <c r="V99" s="420">
        <v>7</v>
      </c>
      <c r="W99" s="90">
        <f t="shared" si="70"/>
        <v>42.000000000000014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-175.71428571428601</v>
      </c>
      <c r="AG99" s="214">
        <f t="shared" si="62"/>
        <v>0.87797619047619024</v>
      </c>
      <c r="AH99" s="611"/>
    </row>
    <row r="100" spans="1:34" s="218" customFormat="1" ht="19.2" customHeight="1">
      <c r="A100" s="633"/>
      <c r="B100" s="422" t="s">
        <v>128</v>
      </c>
      <c r="C100" s="55"/>
      <c r="D100" s="42" t="s">
        <v>57</v>
      </c>
      <c r="E100" s="83"/>
      <c r="F100" s="366">
        <v>71.55</v>
      </c>
      <c r="G100" s="57">
        <v>697</v>
      </c>
      <c r="H100" s="210">
        <f t="shared" si="65"/>
        <v>49870.35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1229.9999999999984</v>
      </c>
      <c r="O100" s="47">
        <f t="shared" si="67"/>
        <v>68.333333333333243</v>
      </c>
      <c r="P100" s="48">
        <f t="shared" si="68"/>
        <v>0</v>
      </c>
      <c r="Q100" s="49">
        <f t="shared" si="64"/>
        <v>-8.6111111111111995</v>
      </c>
      <c r="R100" s="424">
        <f t="shared" si="69"/>
        <v>0.88808664259927683</v>
      </c>
      <c r="S100" s="602"/>
      <c r="T100" s="211">
        <v>0.58124999999999982</v>
      </c>
      <c r="U100" s="211">
        <v>0.60486111111111096</v>
      </c>
      <c r="V100" s="212">
        <v>6</v>
      </c>
      <c r="W100" s="90">
        <f t="shared" si="70"/>
        <v>34.000000000000043</v>
      </c>
      <c r="X100" s="219"/>
      <c r="Y100" s="219"/>
      <c r="Z100" s="217"/>
      <c r="AA100" s="217"/>
      <c r="AB100" s="588"/>
      <c r="AC100" s="588"/>
      <c r="AD100" s="420">
        <v>1</v>
      </c>
      <c r="AE100" s="420"/>
      <c r="AF100" s="54">
        <f t="shared" si="61"/>
        <v>-155.00000000000159</v>
      </c>
      <c r="AG100" s="421">
        <f t="shared" si="62"/>
        <v>0.88808664259927683</v>
      </c>
      <c r="AH100" s="611"/>
    </row>
    <row r="101" spans="1:34" s="218" customFormat="1" ht="19.2" customHeight="1">
      <c r="A101" s="633"/>
      <c r="B101" s="422" t="s">
        <v>128</v>
      </c>
      <c r="C101" s="55"/>
      <c r="D101" s="82" t="s">
        <v>56</v>
      </c>
      <c r="E101" s="83"/>
      <c r="F101" s="366">
        <v>59.34</v>
      </c>
      <c r="G101" s="57">
        <v>523</v>
      </c>
      <c r="H101" s="210">
        <f t="shared" si="65"/>
        <v>31034.820000000003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1120.7142857142833</v>
      </c>
      <c r="O101" s="47">
        <f t="shared" si="67"/>
        <v>65.924369747899021</v>
      </c>
      <c r="P101" s="48">
        <f t="shared" si="68"/>
        <v>0</v>
      </c>
      <c r="Q101" s="49">
        <f t="shared" si="64"/>
        <v>-18.781512605042153</v>
      </c>
      <c r="R101" s="424">
        <f t="shared" si="69"/>
        <v>0.77827380952380787</v>
      </c>
      <c r="S101" s="602"/>
      <c r="T101" s="211">
        <v>0.60902777777777761</v>
      </c>
      <c r="U101" s="89">
        <v>0.6284722222222221</v>
      </c>
      <c r="V101" s="212">
        <v>6</v>
      </c>
      <c r="W101" s="90">
        <f t="shared" si="70"/>
        <v>28.00000000000006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-319.28571428571672</v>
      </c>
      <c r="AG101" s="214">
        <f t="shared" si="62"/>
        <v>0.77827380952380787</v>
      </c>
      <c r="AH101" s="611"/>
    </row>
    <row r="102" spans="1:34" s="218" customFormat="1" ht="19.2" customHeight="1">
      <c r="A102" s="633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713</v>
      </c>
      <c r="H102" s="210">
        <f t="shared" si="65"/>
        <v>36897.75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1296.3636363636347</v>
      </c>
      <c r="O102" s="47">
        <f t="shared" si="67"/>
        <v>61.73160173160165</v>
      </c>
      <c r="P102" s="48">
        <f t="shared" si="68"/>
        <v>0</v>
      </c>
      <c r="Q102" s="49">
        <f t="shared" si="64"/>
        <v>-9.6969696969697807</v>
      </c>
      <c r="R102" s="424">
        <f t="shared" si="69"/>
        <v>0.86424242424242304</v>
      </c>
      <c r="S102" s="602"/>
      <c r="T102" s="211">
        <v>0.64444444444444438</v>
      </c>
      <c r="U102" s="211">
        <v>0.66736111111111107</v>
      </c>
      <c r="V102" s="212">
        <v>23</v>
      </c>
      <c r="W102" s="90">
        <f t="shared" si="70"/>
        <v>33.000000000000043</v>
      </c>
      <c r="X102" s="220">
        <v>0.6333333333333333</v>
      </c>
      <c r="Y102" s="220">
        <v>0.6430555555555556</v>
      </c>
      <c r="Z102" s="217"/>
      <c r="AA102" s="217"/>
      <c r="AB102" s="588"/>
      <c r="AC102" s="588"/>
      <c r="AD102" s="420"/>
      <c r="AE102" s="420"/>
      <c r="AF102" s="54">
        <f t="shared" si="61"/>
        <v>-203.63636363636533</v>
      </c>
      <c r="AG102" s="421">
        <f t="shared" si="62"/>
        <v>0.86424242424242315</v>
      </c>
      <c r="AH102" s="611"/>
    </row>
    <row r="103" spans="1:34" s="218" customFormat="1" ht="19.2" customHeight="1">
      <c r="A103" s="633"/>
      <c r="B103" s="422" t="s">
        <v>127</v>
      </c>
      <c r="C103" s="221"/>
      <c r="D103" s="82" t="s">
        <v>52</v>
      </c>
      <c r="E103" s="83"/>
      <c r="F103" s="366">
        <v>37.83</v>
      </c>
      <c r="G103" s="57">
        <v>3071.25</v>
      </c>
      <c r="H103" s="210">
        <f t="shared" si="65"/>
        <v>116185.3875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2142.7325581395344</v>
      </c>
      <c r="O103" s="47">
        <f t="shared" si="67"/>
        <v>107.13662790697671</v>
      </c>
      <c r="P103" s="48">
        <f t="shared" si="68"/>
        <v>0</v>
      </c>
      <c r="Q103" s="49">
        <f t="shared" si="64"/>
        <v>-12.863372093023287</v>
      </c>
      <c r="R103" s="424">
        <f t="shared" si="69"/>
        <v>0.89280523255813926</v>
      </c>
      <c r="S103" s="602"/>
      <c r="T103" s="211">
        <v>0.67291666666666661</v>
      </c>
      <c r="U103" s="211">
        <v>0.73263888888888884</v>
      </c>
      <c r="V103" s="212">
        <v>8</v>
      </c>
      <c r="W103" s="90">
        <f t="shared" si="70"/>
        <v>86.000000000000014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-257.26744186046562</v>
      </c>
      <c r="AG103" s="421">
        <f t="shared" si="62"/>
        <v>0.89280523255813937</v>
      </c>
      <c r="AH103" s="611"/>
    </row>
    <row r="104" spans="1:34" s="218" customFormat="1" ht="19.2" customHeight="1">
      <c r="A104" s="633"/>
      <c r="B104" s="422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2" customHeight="1">
      <c r="A105" s="633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2" customHeight="1">
      <c r="A106" s="633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2" customHeight="1">
      <c r="A107" s="633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2" customHeight="1">
      <c r="A108" s="633"/>
      <c r="B108" s="110">
        <v>0</v>
      </c>
      <c r="C108" s="100" t="s">
        <v>669</v>
      </c>
      <c r="D108" s="617" t="s">
        <v>655</v>
      </c>
      <c r="E108" s="617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1327.3197019293973</v>
      </c>
      <c r="O108" s="104">
        <f t="shared" si="71"/>
        <v>71.489409466217765</v>
      </c>
      <c r="P108" s="54">
        <f t="shared" ref="P108:P116" si="72">M108-J108</f>
        <v>-0.125</v>
      </c>
      <c r="Q108" s="88">
        <f t="shared" ref="Q108:Q116" si="73">O108-L108</f>
        <v>-12.744137022553176</v>
      </c>
      <c r="R108" s="105">
        <f t="shared" ref="R108:R116" si="74">O108/L108</f>
        <v>0.84870473162076732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-240.8052980706027</v>
      </c>
      <c r="AG108" s="421">
        <f t="shared" si="62"/>
        <v>0.84643743447071973</v>
      </c>
      <c r="AH108" s="611"/>
    </row>
    <row r="109" spans="1:34" ht="19.2" customHeight="1">
      <c r="A109" s="634" t="s">
        <v>670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806</v>
      </c>
      <c r="H109" s="45">
        <f t="shared" ref="H109:H119" si="75">F109*G109</f>
        <v>45482.58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1272.6315789473674</v>
      </c>
      <c r="O109" s="47">
        <f t="shared" ref="O109:O116" si="77">N109/M109</f>
        <v>70.701754385964861</v>
      </c>
      <c r="P109" s="48">
        <f t="shared" si="72"/>
        <v>0</v>
      </c>
      <c r="Q109" s="49">
        <f t="shared" si="73"/>
        <v>-12.631578947368467</v>
      </c>
      <c r="R109" s="424">
        <f t="shared" si="74"/>
        <v>0.84842105263157841</v>
      </c>
      <c r="S109" s="637">
        <f>R121</f>
        <v>0.90230273997113786</v>
      </c>
      <c r="T109" s="226">
        <v>0.5</v>
      </c>
      <c r="U109" s="226">
        <v>0.52638888888888891</v>
      </c>
      <c r="V109" s="227">
        <v>5</v>
      </c>
      <c r="W109" s="433">
        <f t="shared" si="70"/>
        <v>38.000000000000028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-227.36842105263258</v>
      </c>
      <c r="AG109" s="125">
        <f t="shared" si="62"/>
        <v>0.8484210526315783</v>
      </c>
      <c r="AH109" s="611">
        <f>AG121</f>
        <v>0.89351863466918946</v>
      </c>
    </row>
    <row r="110" spans="1:34" ht="19.2" customHeight="1">
      <c r="A110" s="635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1128</v>
      </c>
      <c r="H110" s="45">
        <f t="shared" si="75"/>
        <v>67161.119999999995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1276.9811320754725</v>
      </c>
      <c r="O110" s="47">
        <f t="shared" si="77"/>
        <v>70.943396226415132</v>
      </c>
      <c r="P110" s="48">
        <f t="shared" si="72"/>
        <v>0</v>
      </c>
      <c r="Q110" s="49">
        <f t="shared" si="73"/>
        <v>-6.001048218029311</v>
      </c>
      <c r="R110" s="424">
        <f t="shared" si="74"/>
        <v>0.92200803759961902</v>
      </c>
      <c r="S110" s="638"/>
      <c r="T110" s="226">
        <v>0.53125</v>
      </c>
      <c r="U110" s="226">
        <v>0.56805555555555554</v>
      </c>
      <c r="V110" s="227">
        <v>7</v>
      </c>
      <c r="W110" s="433">
        <f t="shared" si="70"/>
        <v>52.999999999999972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-108.01886792452751</v>
      </c>
      <c r="AG110" s="125">
        <f t="shared" si="62"/>
        <v>0.92200803759961913</v>
      </c>
      <c r="AH110" s="611"/>
    </row>
    <row r="111" spans="1:34" ht="19.2" customHeight="1">
      <c r="A111" s="635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1222</v>
      </c>
      <c r="H111" s="45">
        <f t="shared" si="75"/>
        <v>61918.740000000005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1383.396226415095</v>
      </c>
      <c r="O111" s="47">
        <f t="shared" si="77"/>
        <v>76.855345911949726</v>
      </c>
      <c r="P111" s="48">
        <f t="shared" si="72"/>
        <v>0</v>
      </c>
      <c r="Q111" s="49">
        <f t="shared" si="73"/>
        <v>-6.4779874213836024</v>
      </c>
      <c r="R111" s="424">
        <f t="shared" si="74"/>
        <v>0.92226415094339675</v>
      </c>
      <c r="S111" s="638"/>
      <c r="T111" s="226">
        <v>0.58402777777777781</v>
      </c>
      <c r="U111" s="226">
        <v>0.62083333333333335</v>
      </c>
      <c r="V111" s="227">
        <v>23</v>
      </c>
      <c r="W111" s="433">
        <f t="shared" si="70"/>
        <v>52.999999999999972</v>
      </c>
      <c r="X111" s="53">
        <v>0.57291666666666663</v>
      </c>
      <c r="Y111" s="53">
        <v>0.58333333333333337</v>
      </c>
      <c r="Z111" s="54"/>
      <c r="AA111" s="54"/>
      <c r="AB111" s="588"/>
      <c r="AC111" s="588"/>
      <c r="AD111" s="420"/>
      <c r="AE111" s="420"/>
      <c r="AF111" s="48">
        <f t="shared" si="61"/>
        <v>-116.60377358490496</v>
      </c>
      <c r="AG111" s="125">
        <f t="shared" si="62"/>
        <v>0.92226415094339664</v>
      </c>
      <c r="AH111" s="611"/>
    </row>
    <row r="112" spans="1:34" ht="19.2" customHeight="1">
      <c r="A112" s="635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1472</v>
      </c>
      <c r="H112" s="45">
        <f t="shared" si="75"/>
        <v>42055.040000000001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1424.5161290322558</v>
      </c>
      <c r="O112" s="47">
        <f t="shared" si="77"/>
        <v>118.70967741935465</v>
      </c>
      <c r="P112" s="48">
        <f t="shared" si="72"/>
        <v>0</v>
      </c>
      <c r="Q112" s="49">
        <f t="shared" si="73"/>
        <v>-6.290322580645352</v>
      </c>
      <c r="R112" s="424">
        <f t="shared" si="74"/>
        <v>0.94967741935483718</v>
      </c>
      <c r="S112" s="638"/>
      <c r="T112" s="226">
        <v>0.70833333333333337</v>
      </c>
      <c r="U112" s="226">
        <v>0.75138888888888899</v>
      </c>
      <c r="V112" s="227">
        <v>6</v>
      </c>
      <c r="W112" s="433">
        <f t="shared" si="70"/>
        <v>62.000000000000099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-75.483870967744224</v>
      </c>
      <c r="AG112" s="125">
        <f t="shared" si="62"/>
        <v>0.94967741935483718</v>
      </c>
      <c r="AH112" s="611"/>
    </row>
    <row r="113" spans="1:34" s="218" customFormat="1" ht="19.2" customHeight="1">
      <c r="A113" s="635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337</v>
      </c>
      <c r="H113" s="45">
        <f t="shared" si="75"/>
        <v>6881.5400000000009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1444.2857142857195</v>
      </c>
      <c r="O113" s="47">
        <f t="shared" si="77"/>
        <v>120.35714285714329</v>
      </c>
      <c r="P113" s="48">
        <f t="shared" si="72"/>
        <v>0</v>
      </c>
      <c r="Q113" s="49">
        <f t="shared" si="73"/>
        <v>-4.6428571428567125</v>
      </c>
      <c r="R113" s="424">
        <f t="shared" si="74"/>
        <v>0.9628571428571463</v>
      </c>
      <c r="S113" s="638"/>
      <c r="T113" s="226">
        <v>0.75486111111111109</v>
      </c>
      <c r="U113" s="226">
        <v>0.76458333333333328</v>
      </c>
      <c r="V113" s="227">
        <v>5</v>
      </c>
      <c r="W113" s="433">
        <f t="shared" si="70"/>
        <v>13.99999999999995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-55.71428571428055</v>
      </c>
      <c r="AG113" s="125">
        <f t="shared" si="62"/>
        <v>0.9628571428571463</v>
      </c>
      <c r="AH113" s="611"/>
    </row>
    <row r="114" spans="1:34" s="218" customFormat="1" ht="19.2" customHeight="1">
      <c r="A114" s="635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931</v>
      </c>
      <c r="H114" s="45">
        <f t="shared" si="75"/>
        <v>41876.379999999997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1214.3478260869565</v>
      </c>
      <c r="O114" s="47">
        <f t="shared" si="77"/>
        <v>63.913043478260867</v>
      </c>
      <c r="P114" s="48">
        <f t="shared" si="72"/>
        <v>0</v>
      </c>
      <c r="Q114" s="49">
        <f t="shared" si="73"/>
        <v>-15.034324942791763</v>
      </c>
      <c r="R114" s="424">
        <f t="shared" si="74"/>
        <v>0.80956521739130438</v>
      </c>
      <c r="S114" s="638"/>
      <c r="T114" s="226">
        <v>0.76944444444444438</v>
      </c>
      <c r="U114" s="226">
        <v>0.80138888888888882</v>
      </c>
      <c r="V114" s="227">
        <v>7</v>
      </c>
      <c r="W114" s="433">
        <f t="shared" si="70"/>
        <v>46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-285.6521739130435</v>
      </c>
      <c r="AG114" s="125">
        <f t="shared" si="62"/>
        <v>0.80956521739130438</v>
      </c>
      <c r="AH114" s="611"/>
    </row>
    <row r="115" spans="1:34" s="218" customFormat="1" ht="19.2" customHeight="1">
      <c r="A115" s="635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777</v>
      </c>
      <c r="H115" s="45">
        <f t="shared" si="75"/>
        <v>41709.360000000001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1226.842105263157</v>
      </c>
      <c r="O115" s="47">
        <f t="shared" si="77"/>
        <v>61.342105263157848</v>
      </c>
      <c r="P115" s="48">
        <f t="shared" si="72"/>
        <v>0</v>
      </c>
      <c r="Q115" s="49">
        <f t="shared" si="73"/>
        <v>-13.657894736842152</v>
      </c>
      <c r="R115" s="424">
        <f t="shared" si="74"/>
        <v>0.81789473684210467</v>
      </c>
      <c r="S115" s="638"/>
      <c r="T115" s="226">
        <v>0.81666666666666654</v>
      </c>
      <c r="U115" s="226">
        <v>0.84305555555555545</v>
      </c>
      <c r="V115" s="227">
        <v>22</v>
      </c>
      <c r="W115" s="433">
        <f t="shared" si="70"/>
        <v>38.000000000000028</v>
      </c>
      <c r="X115" s="216">
        <v>0.80555555555555547</v>
      </c>
      <c r="Y115" s="216">
        <v>0.81597222222222221</v>
      </c>
      <c r="Z115" s="217"/>
      <c r="AA115" s="217"/>
      <c r="AB115" s="588"/>
      <c r="AC115" s="588"/>
      <c r="AD115" s="221"/>
      <c r="AE115" s="221">
        <v>1</v>
      </c>
      <c r="AF115" s="48">
        <f t="shared" si="61"/>
        <v>-273.15789473684299</v>
      </c>
      <c r="AG115" s="125">
        <f t="shared" si="62"/>
        <v>0.81789473684210467</v>
      </c>
      <c r="AH115" s="611"/>
    </row>
    <row r="116" spans="1:34" s="218" customFormat="1" ht="19.2" customHeight="1">
      <c r="A116" s="635"/>
      <c r="B116" s="422" t="s">
        <v>132</v>
      </c>
      <c r="C116" s="55"/>
      <c r="D116" s="82" t="s">
        <v>81</v>
      </c>
      <c r="E116" s="83"/>
      <c r="F116" s="355">
        <v>55.56</v>
      </c>
      <c r="G116" s="229">
        <v>926</v>
      </c>
      <c r="H116" s="45">
        <f t="shared" si="75"/>
        <v>51448.560000000005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1322.8571428571424</v>
      </c>
      <c r="O116" s="47">
        <f t="shared" si="77"/>
        <v>82.678571428571402</v>
      </c>
      <c r="P116" s="48">
        <f t="shared" si="72"/>
        <v>0</v>
      </c>
      <c r="Q116" s="49">
        <f t="shared" si="73"/>
        <v>-7.3214285714285978</v>
      </c>
      <c r="R116" s="424">
        <f t="shared" si="74"/>
        <v>0.91865079365079338</v>
      </c>
      <c r="S116" s="638"/>
      <c r="T116" s="226">
        <v>0.84791666666666654</v>
      </c>
      <c r="U116" s="226">
        <v>0.87708333333333321</v>
      </c>
      <c r="V116" s="227">
        <v>7</v>
      </c>
      <c r="W116" s="433">
        <f t="shared" si="70"/>
        <v>42.000000000000014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-117.14285714285757</v>
      </c>
      <c r="AG116" s="125">
        <f t="shared" si="62"/>
        <v>0.91865079365079338</v>
      </c>
      <c r="AH116" s="611"/>
    </row>
    <row r="117" spans="1:34" s="218" customFormat="1" ht="19.2" customHeight="1">
      <c r="A117" s="635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2" customHeight="1">
      <c r="A118" s="635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2" customHeight="1">
      <c r="A119" s="635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2" customHeight="1">
      <c r="A120" s="635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2" customHeight="1">
      <c r="A121" s="636"/>
      <c r="B121" s="121">
        <v>0</v>
      </c>
      <c r="C121" s="100" t="s">
        <v>671</v>
      </c>
      <c r="D121" s="232" t="s">
        <v>655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1320.7322318703957</v>
      </c>
      <c r="O121" s="203">
        <f t="shared" si="78"/>
        <v>83.187629621352215</v>
      </c>
      <c r="P121" s="48">
        <f t="shared" ref="P121:P128" si="79">M121-J121</f>
        <v>0</v>
      </c>
      <c r="Q121" s="49">
        <f t="shared" ref="Q121:Q128" si="80">O121-L121</f>
        <v>-9.0071803201682457</v>
      </c>
      <c r="R121" s="172">
        <f t="shared" ref="R121:R128" si="81">O121/L121</f>
        <v>0.90230273997113786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1</v>
      </c>
      <c r="AF121" s="48">
        <f>N121-K121</f>
        <v>-157.39276812960429</v>
      </c>
      <c r="AG121" s="125">
        <f>N121/K121</f>
        <v>0.89351863466918946</v>
      </c>
      <c r="AH121" s="611"/>
    </row>
    <row r="122" spans="1:34" ht="19.2" customHeight="1">
      <c r="A122" s="639" t="s">
        <v>672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1331</v>
      </c>
      <c r="H122" s="45">
        <f t="shared" ref="H122:H132" si="82">F122*G122</f>
        <v>78089.77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1267.6190476190488</v>
      </c>
      <c r="O122" s="237">
        <f t="shared" ref="O122:O128" si="84">N122/M122</f>
        <v>66.716791979949946</v>
      </c>
      <c r="P122" s="108">
        <f t="shared" si="79"/>
        <v>0</v>
      </c>
      <c r="Q122" s="182">
        <f t="shared" si="80"/>
        <v>-9.0726817042605745</v>
      </c>
      <c r="R122" s="109">
        <f t="shared" si="81"/>
        <v>0.88029100529100635</v>
      </c>
      <c r="S122" s="602">
        <f>R134</f>
        <v>0.87928686786945198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-172.38095238095116</v>
      </c>
      <c r="AG122" s="424">
        <f t="shared" si="62"/>
        <v>0.88029100529100612</v>
      </c>
      <c r="AH122" s="616">
        <f>AG134</f>
        <v>0.87833020805257933</v>
      </c>
    </row>
    <row r="123" spans="1:34" ht="19.2" customHeight="1">
      <c r="A123" s="639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1677</v>
      </c>
      <c r="H123" s="45">
        <f t="shared" si="82"/>
        <v>99815.040000000008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1242.2222222222217</v>
      </c>
      <c r="O123" s="86">
        <f t="shared" si="84"/>
        <v>59.15343915343913</v>
      </c>
      <c r="P123" s="54">
        <f t="shared" si="79"/>
        <v>0</v>
      </c>
      <c r="Q123" s="88">
        <f t="shared" si="80"/>
        <v>-6.7989417989418186</v>
      </c>
      <c r="R123" s="421">
        <f t="shared" si="81"/>
        <v>0.8969113517849977</v>
      </c>
      <c r="S123" s="602"/>
      <c r="T123" s="50">
        <v>0.54861111111111105</v>
      </c>
      <c r="U123" s="50">
        <v>0.60486111111111107</v>
      </c>
      <c r="V123" s="227">
        <v>7</v>
      </c>
      <c r="W123" s="433">
        <f t="shared" si="70"/>
        <v>81.000000000000028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-142.77777777777828</v>
      </c>
      <c r="AG123" s="424">
        <f t="shared" si="62"/>
        <v>0.89691135178499759</v>
      </c>
      <c r="AH123" s="602"/>
    </row>
    <row r="124" spans="1:34" ht="19.2" customHeight="1">
      <c r="A124" s="639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1241</v>
      </c>
      <c r="H124" s="45">
        <f t="shared" si="82"/>
        <v>70476.39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1353.8181818181827</v>
      </c>
      <c r="O124" s="237">
        <f t="shared" si="84"/>
        <v>75.212121212121261</v>
      </c>
      <c r="P124" s="108">
        <f t="shared" si="79"/>
        <v>0</v>
      </c>
      <c r="Q124" s="182">
        <f t="shared" si="80"/>
        <v>-15.676767676767625</v>
      </c>
      <c r="R124" s="109">
        <f t="shared" si="81"/>
        <v>0.82751722605023392</v>
      </c>
      <c r="S124" s="640"/>
      <c r="T124" s="50">
        <v>0.70833333333333337</v>
      </c>
      <c r="U124" s="50">
        <v>0.74652777777777779</v>
      </c>
      <c r="V124" s="227">
        <v>5</v>
      </c>
      <c r="W124" s="433">
        <f t="shared" si="70"/>
        <v>54.999999999999964</v>
      </c>
      <c r="X124" s="188"/>
      <c r="Y124" s="188"/>
      <c r="Z124" s="54"/>
      <c r="AA124" s="54"/>
      <c r="AB124" s="588"/>
      <c r="AC124" s="588"/>
      <c r="AD124" s="420"/>
      <c r="AE124" s="420">
        <v>1</v>
      </c>
      <c r="AF124" s="108">
        <f t="shared" si="61"/>
        <v>-282.18181818181733</v>
      </c>
      <c r="AG124" s="109">
        <f t="shared" si="62"/>
        <v>0.82751722605023392</v>
      </c>
      <c r="AH124" s="602"/>
    </row>
    <row r="125" spans="1:34" ht="19.2" customHeight="1">
      <c r="A125" s="639"/>
      <c r="B125" s="130" t="s">
        <v>132</v>
      </c>
      <c r="C125" s="97"/>
      <c r="D125" s="42" t="s">
        <v>85</v>
      </c>
      <c r="E125" s="43"/>
      <c r="F125" s="355">
        <v>56.87</v>
      </c>
      <c r="G125" s="44">
        <v>1031</v>
      </c>
      <c r="H125" s="45">
        <f t="shared" si="82"/>
        <v>58632.969999999994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1344.7826086956522</v>
      </c>
      <c r="O125" s="237">
        <f t="shared" si="84"/>
        <v>74.710144927536234</v>
      </c>
      <c r="P125" s="108">
        <f t="shared" si="79"/>
        <v>0</v>
      </c>
      <c r="Q125" s="182">
        <f t="shared" si="80"/>
        <v>-16.178743961352652</v>
      </c>
      <c r="R125" s="109">
        <f t="shared" si="81"/>
        <v>0.82199425959391947</v>
      </c>
      <c r="S125" s="640"/>
      <c r="T125" s="50">
        <v>0.75138888888888888</v>
      </c>
      <c r="U125" s="50">
        <v>0.78333333333333333</v>
      </c>
      <c r="V125" s="227">
        <v>7</v>
      </c>
      <c r="W125" s="433">
        <f t="shared" si="70"/>
        <v>46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-291.21739130434776</v>
      </c>
      <c r="AG125" s="424">
        <f t="shared" si="62"/>
        <v>0.82199425959391947</v>
      </c>
      <c r="AH125" s="603"/>
    </row>
    <row r="126" spans="1:34" ht="19.2" customHeight="1">
      <c r="A126" s="639"/>
      <c r="B126" s="130" t="s">
        <v>132</v>
      </c>
      <c r="C126" s="420"/>
      <c r="D126" s="404" t="s">
        <v>86</v>
      </c>
      <c r="E126" s="177"/>
      <c r="F126" s="355">
        <v>47.6</v>
      </c>
      <c r="G126" s="57">
        <v>1276</v>
      </c>
      <c r="H126" s="45">
        <f t="shared" si="82"/>
        <v>60737.599999999999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1276.0000000000011</v>
      </c>
      <c r="O126" s="86">
        <f t="shared" si="84"/>
        <v>67.157894736842167</v>
      </c>
      <c r="P126" s="54">
        <f t="shared" si="79"/>
        <v>0</v>
      </c>
      <c r="Q126" s="88">
        <f t="shared" si="80"/>
        <v>-8.6315789473683537</v>
      </c>
      <c r="R126" s="421">
        <f t="shared" si="81"/>
        <v>0.88611111111111196</v>
      </c>
      <c r="S126" s="640"/>
      <c r="T126" s="50">
        <v>0.78819444444444442</v>
      </c>
      <c r="U126" s="50">
        <v>0.82986111111111105</v>
      </c>
      <c r="V126" s="227">
        <v>7</v>
      </c>
      <c r="W126" s="433">
        <f t="shared" si="70"/>
        <v>59.999999999999943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-163.99999999999886</v>
      </c>
      <c r="AG126" s="109">
        <f t="shared" si="62"/>
        <v>0.88611111111111185</v>
      </c>
      <c r="AH126" s="603"/>
    </row>
    <row r="127" spans="1:34" ht="19.2" customHeight="1">
      <c r="A127" s="639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1138</v>
      </c>
      <c r="H127" s="45">
        <f t="shared" si="82"/>
        <v>57662.46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1338.8235294117653</v>
      </c>
      <c r="O127" s="86">
        <f t="shared" si="84"/>
        <v>74.379084967320296</v>
      </c>
      <c r="P127" s="54">
        <f t="shared" si="79"/>
        <v>0</v>
      </c>
      <c r="Q127" s="88">
        <f t="shared" si="80"/>
        <v>-8.954248366013033</v>
      </c>
      <c r="R127" s="421">
        <f t="shared" si="81"/>
        <v>0.89254901960784361</v>
      </c>
      <c r="S127" s="640"/>
      <c r="T127" s="50">
        <v>0.84513888888888877</v>
      </c>
      <c r="U127" s="50">
        <v>0.88055555555555542</v>
      </c>
      <c r="V127" s="422">
        <v>22</v>
      </c>
      <c r="W127" s="433">
        <f t="shared" si="70"/>
        <v>50.999999999999979</v>
      </c>
      <c r="X127" s="64">
        <v>0.83472222222222225</v>
      </c>
      <c r="Y127" s="64">
        <v>0.84583333333333333</v>
      </c>
      <c r="Z127" s="54"/>
      <c r="AA127" s="54"/>
      <c r="AB127" s="588"/>
      <c r="AC127" s="588"/>
      <c r="AD127" s="420"/>
      <c r="AE127" s="420"/>
      <c r="AF127" s="108">
        <f t="shared" si="61"/>
        <v>-161.17647058823468</v>
      </c>
      <c r="AG127" s="109">
        <f t="shared" si="62"/>
        <v>0.8925490196078435</v>
      </c>
      <c r="AH127" s="603"/>
    </row>
    <row r="128" spans="1:34" ht="19.2" customHeight="1">
      <c r="A128" s="639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1379</v>
      </c>
      <c r="H128" s="45">
        <f t="shared" si="82"/>
        <v>80216.430000000008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1379.0000000000014</v>
      </c>
      <c r="O128" s="86">
        <f t="shared" si="84"/>
        <v>86.187500000000085</v>
      </c>
      <c r="P128" s="54">
        <f t="shared" si="79"/>
        <v>0</v>
      </c>
      <c r="Q128" s="88">
        <f t="shared" si="80"/>
        <v>-3.8124999999999147</v>
      </c>
      <c r="R128" s="421">
        <f t="shared" si="81"/>
        <v>0.95763888888888982</v>
      </c>
      <c r="S128" s="640"/>
      <c r="T128" s="50">
        <v>0.88541666666666652</v>
      </c>
      <c r="U128" s="50">
        <v>0.92708333333333315</v>
      </c>
      <c r="V128" s="422">
        <v>7</v>
      </c>
      <c r="W128" s="433">
        <f t="shared" si="70"/>
        <v>59.999999999999943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-60.999999999998636</v>
      </c>
      <c r="AG128" s="424">
        <f t="shared" si="62"/>
        <v>0.95763888888888982</v>
      </c>
      <c r="AH128" s="603"/>
    </row>
    <row r="129" spans="1:34" ht="19.2" customHeight="1">
      <c r="A129" s="639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2" customHeight="1">
      <c r="A130" s="639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2" customHeight="1">
      <c r="A131" s="639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2" customHeight="1">
      <c r="A132" s="639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2" customHeight="1">
      <c r="A133" s="639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2" customHeight="1">
      <c r="A134" s="639"/>
      <c r="B134" s="168">
        <v>0</v>
      </c>
      <c r="C134" s="100" t="s">
        <v>673</v>
      </c>
      <c r="D134" s="617" t="s">
        <v>655</v>
      </c>
      <c r="E134" s="617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1314.6093699666962</v>
      </c>
      <c r="O134" s="243">
        <f t="shared" si="85"/>
        <v>71.930996711029891</v>
      </c>
      <c r="P134" s="51">
        <f t="shared" ref="P134:P143" si="86">M134-J134</f>
        <v>0</v>
      </c>
      <c r="Q134" s="139">
        <f t="shared" ref="Q134:Q143" si="87">O134-L134</f>
        <v>-9.8750660649576929</v>
      </c>
      <c r="R134" s="244">
        <f t="shared" ref="R134:R143" si="88">O134/L134</f>
        <v>0.87928686786945198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-182.10491574758953</v>
      </c>
      <c r="AG134" s="424">
        <f t="shared" si="62"/>
        <v>0.87833020805257933</v>
      </c>
      <c r="AH134" s="603"/>
    </row>
    <row r="135" spans="1:34" ht="19.2" customHeight="1">
      <c r="A135" s="641" t="s">
        <v>674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1559.2</v>
      </c>
      <c r="H135" s="245">
        <f t="shared" ref="H135:H146" si="89">F135*G135</f>
        <v>84337.128000000012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995.23404255319167</v>
      </c>
      <c r="O135" s="115">
        <f t="shared" ref="O135:O143" si="91">N135/M135</f>
        <v>55.290780141843982</v>
      </c>
      <c r="P135" s="54">
        <f t="shared" si="86"/>
        <v>0</v>
      </c>
      <c r="Q135" s="88">
        <f t="shared" si="87"/>
        <v>-28.042553191489347</v>
      </c>
      <c r="R135" s="421">
        <f t="shared" si="88"/>
        <v>0.6634893617021278</v>
      </c>
      <c r="S135" s="638">
        <f>R147</f>
        <v>0.89311321509413211</v>
      </c>
      <c r="T135" s="246">
        <v>0.5</v>
      </c>
      <c r="U135" s="50">
        <v>0.56527777777777777</v>
      </c>
      <c r="V135" s="142">
        <v>5</v>
      </c>
      <c r="W135" s="247">
        <f t="shared" ref="W135:W147" si="92">(U135-T135)*24*60</f>
        <v>93.999999999999986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-504.76595744680833</v>
      </c>
      <c r="AG135" s="120">
        <f t="shared" si="62"/>
        <v>0.6634893617021278</v>
      </c>
      <c r="AH135" s="611">
        <f>AG147</f>
        <v>0.90021397954501581</v>
      </c>
    </row>
    <row r="136" spans="1:34" ht="19.2" customHeight="1">
      <c r="A136" s="64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1345</v>
      </c>
      <c r="H136" s="84">
        <f t="shared" si="89"/>
        <v>77653.574999999997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1391.3793103448286</v>
      </c>
      <c r="O136" s="86">
        <f t="shared" si="91"/>
        <v>86.961206896551786</v>
      </c>
      <c r="P136" s="54">
        <f t="shared" si="86"/>
        <v>0</v>
      </c>
      <c r="Q136" s="88">
        <f t="shared" si="87"/>
        <v>-10.851293103448214</v>
      </c>
      <c r="R136" s="421">
        <f t="shared" si="88"/>
        <v>0.88906026220116841</v>
      </c>
      <c r="S136" s="638"/>
      <c r="T136" s="246">
        <v>0.58125000000000004</v>
      </c>
      <c r="U136" s="50">
        <v>0.62152777777777779</v>
      </c>
      <c r="V136" s="142">
        <v>23</v>
      </c>
      <c r="W136" s="247">
        <f t="shared" si="92"/>
        <v>57.999999999999957</v>
      </c>
      <c r="X136" s="53">
        <v>0.56944444444444442</v>
      </c>
      <c r="Y136" s="53">
        <v>0.5805555555555556</v>
      </c>
      <c r="Z136" s="54"/>
      <c r="AA136" s="54"/>
      <c r="AB136" s="588"/>
      <c r="AC136" s="588"/>
      <c r="AD136" s="420"/>
      <c r="AE136" s="420"/>
      <c r="AF136" s="48">
        <f t="shared" si="61"/>
        <v>-173.62068965517142</v>
      </c>
      <c r="AG136" s="125">
        <f t="shared" si="62"/>
        <v>0.88906026220116841</v>
      </c>
      <c r="AH136" s="611"/>
    </row>
    <row r="137" spans="1:34" ht="19.2" customHeight="1">
      <c r="A137" s="64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1234</v>
      </c>
      <c r="H137" s="84">
        <f t="shared" si="89"/>
        <v>65735.180000000008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1346.1818181818192</v>
      </c>
      <c r="O137" s="86">
        <f t="shared" si="91"/>
        <v>84.136363636363697</v>
      </c>
      <c r="P137" s="54">
        <f t="shared" si="86"/>
        <v>0</v>
      </c>
      <c r="Q137" s="88">
        <f t="shared" si="87"/>
        <v>-9.6136363636363029</v>
      </c>
      <c r="R137" s="421">
        <f t="shared" si="88"/>
        <v>0.89745454545454606</v>
      </c>
      <c r="S137" s="638"/>
      <c r="T137" s="50">
        <v>0.62638888888888888</v>
      </c>
      <c r="U137" s="50">
        <v>0.6645833333333333</v>
      </c>
      <c r="V137" s="249">
        <v>7</v>
      </c>
      <c r="W137" s="247">
        <f t="shared" si="92"/>
        <v>54.999999999999964</v>
      </c>
      <c r="X137" s="53"/>
      <c r="Y137" s="53"/>
      <c r="Z137" s="54"/>
      <c r="AA137" s="54"/>
      <c r="AB137" s="588"/>
      <c r="AC137" s="588"/>
      <c r="AD137" s="420">
        <v>1</v>
      </c>
      <c r="AE137" s="420"/>
      <c r="AF137" s="48">
        <f t="shared" si="61"/>
        <v>-153.81818181818085</v>
      </c>
      <c r="AG137" s="125">
        <f t="shared" si="62"/>
        <v>0.89745454545454606</v>
      </c>
      <c r="AH137" s="611"/>
    </row>
    <row r="138" spans="1:34" ht="19.2" customHeight="1">
      <c r="A138" s="64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1194</v>
      </c>
      <c r="H138" s="84">
        <f t="shared" si="89"/>
        <v>60870.119999999995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1351.698113207548</v>
      </c>
      <c r="O138" s="86">
        <f t="shared" si="91"/>
        <v>67.584905660377402</v>
      </c>
      <c r="P138" s="54">
        <f t="shared" si="86"/>
        <v>0</v>
      </c>
      <c r="Q138" s="88">
        <f t="shared" si="87"/>
        <v>-4.4150943396225983</v>
      </c>
      <c r="R138" s="426">
        <f t="shared" si="88"/>
        <v>0.93867924528301949</v>
      </c>
      <c r="S138" s="638"/>
      <c r="T138" s="50">
        <v>0.70833333333333337</v>
      </c>
      <c r="U138" s="50">
        <v>0.74513888888888891</v>
      </c>
      <c r="V138" s="249">
        <v>5</v>
      </c>
      <c r="W138" s="247">
        <f t="shared" si="92"/>
        <v>52.999999999999972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-88.301886792452024</v>
      </c>
      <c r="AG138" s="125">
        <f t="shared" si="62"/>
        <v>0.93867924528301938</v>
      </c>
      <c r="AH138" s="611"/>
    </row>
    <row r="139" spans="1:34" ht="19.2" customHeight="1">
      <c r="A139" s="64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878</v>
      </c>
      <c r="H139" s="84">
        <f t="shared" si="89"/>
        <v>44488.26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1423.7837837837828</v>
      </c>
      <c r="O139" s="86">
        <f t="shared" si="91"/>
        <v>83.751987281398996</v>
      </c>
      <c r="P139" s="54">
        <f t="shared" si="86"/>
        <v>0</v>
      </c>
      <c r="Q139" s="88">
        <f t="shared" si="87"/>
        <v>-4.4833068362480617</v>
      </c>
      <c r="R139" s="421">
        <f t="shared" si="88"/>
        <v>0.9491891891891886</v>
      </c>
      <c r="S139" s="638"/>
      <c r="T139" s="50">
        <v>0.75</v>
      </c>
      <c r="U139" s="50">
        <v>0.77569444444444446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-76.216216216217163</v>
      </c>
      <c r="AG139" s="125">
        <f t="shared" si="62"/>
        <v>0.9491891891891886</v>
      </c>
      <c r="AH139" s="611"/>
    </row>
    <row r="140" spans="1:34" ht="19.2" customHeight="1">
      <c r="A140" s="64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1460</v>
      </c>
      <c r="H140" s="84">
        <f t="shared" si="89"/>
        <v>74343.199999999997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1347.692307692309</v>
      </c>
      <c r="O140" s="86">
        <f t="shared" si="91"/>
        <v>70.93117408906889</v>
      </c>
      <c r="P140" s="54">
        <f t="shared" si="86"/>
        <v>0</v>
      </c>
      <c r="Q140" s="88">
        <f t="shared" si="87"/>
        <v>-4.8582995951416308</v>
      </c>
      <c r="R140" s="421">
        <f t="shared" si="88"/>
        <v>0.93589743589743679</v>
      </c>
      <c r="S140" s="645"/>
      <c r="T140" s="63">
        <v>0.79097222222222219</v>
      </c>
      <c r="U140" s="252">
        <v>0.83611111111111103</v>
      </c>
      <c r="V140" s="253">
        <v>22</v>
      </c>
      <c r="W140" s="247">
        <f t="shared" si="92"/>
        <v>64.999999999999929</v>
      </c>
      <c r="X140" s="53">
        <v>0.78055555555555556</v>
      </c>
      <c r="Y140" s="53">
        <v>0.79027777777777775</v>
      </c>
      <c r="Z140" s="54"/>
      <c r="AA140" s="54"/>
      <c r="AB140" s="588"/>
      <c r="AC140" s="588"/>
      <c r="AD140" s="420"/>
      <c r="AE140" s="420"/>
      <c r="AF140" s="48">
        <f t="shared" si="61"/>
        <v>-92.307692307691013</v>
      </c>
      <c r="AG140" s="125">
        <f t="shared" si="62"/>
        <v>0.93589743589743679</v>
      </c>
      <c r="AH140" s="611"/>
    </row>
    <row r="141" spans="1:34" ht="19.2" customHeight="1">
      <c r="A141" s="64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925</v>
      </c>
      <c r="H141" s="84">
        <f t="shared" si="89"/>
        <v>48895.5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1353.6585365853653</v>
      </c>
      <c r="O141" s="86">
        <f t="shared" si="91"/>
        <v>75.203252032520297</v>
      </c>
      <c r="P141" s="54">
        <f t="shared" si="86"/>
        <v>0</v>
      </c>
      <c r="Q141" s="88">
        <f t="shared" si="87"/>
        <v>-4.7967479674797033</v>
      </c>
      <c r="R141" s="421">
        <f t="shared" si="88"/>
        <v>0.94004065040650375</v>
      </c>
      <c r="S141" s="645"/>
      <c r="T141" s="63">
        <v>0.84097222222222212</v>
      </c>
      <c r="U141" s="252">
        <v>0.86944444444444435</v>
      </c>
      <c r="V141" s="55">
        <v>7</v>
      </c>
      <c r="W141" s="247">
        <f t="shared" si="92"/>
        <v>41.000000000000014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-86.341463414634745</v>
      </c>
      <c r="AG141" s="125">
        <f t="shared" si="62"/>
        <v>0.94004065040650364</v>
      </c>
      <c r="AH141" s="611"/>
    </row>
    <row r="142" spans="1:34" ht="19.2" customHeight="1">
      <c r="A142" s="64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864</v>
      </c>
      <c r="H142" s="84">
        <f t="shared" si="89"/>
        <v>43778.880000000005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1364.2105263157885</v>
      </c>
      <c r="O142" s="86">
        <f t="shared" si="91"/>
        <v>80.247678018575797</v>
      </c>
      <c r="P142" s="54">
        <f t="shared" si="86"/>
        <v>0</v>
      </c>
      <c r="Q142" s="88">
        <f t="shared" si="87"/>
        <v>-4.4582043343653766</v>
      </c>
      <c r="R142" s="421">
        <f t="shared" si="88"/>
        <v>0.94736842105263097</v>
      </c>
      <c r="S142" s="645"/>
      <c r="T142" s="63">
        <v>0.87430555555555545</v>
      </c>
      <c r="U142" s="252">
        <v>0.90069444444444435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-75.789473684211544</v>
      </c>
      <c r="AG142" s="125">
        <f t="shared" si="62"/>
        <v>0.94736842105263086</v>
      </c>
      <c r="AH142" s="611"/>
    </row>
    <row r="143" spans="1:34" ht="19.2" customHeight="1">
      <c r="A143" s="64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1094</v>
      </c>
      <c r="H143" s="84">
        <f t="shared" si="89"/>
        <v>55236.060000000005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1367.5000000000005</v>
      </c>
      <c r="O143" s="86">
        <f t="shared" si="91"/>
        <v>91.1666666666667</v>
      </c>
      <c r="P143" s="54">
        <f t="shared" si="86"/>
        <v>1</v>
      </c>
      <c r="Q143" s="88">
        <f t="shared" si="87"/>
        <v>-11.690476190476161</v>
      </c>
      <c r="R143" s="421">
        <f t="shared" si="88"/>
        <v>0.88634259259259285</v>
      </c>
      <c r="S143" s="645"/>
      <c r="T143" s="63">
        <v>0.90555555555555545</v>
      </c>
      <c r="U143" s="252">
        <v>0.93888888888888877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-72.499999999999545</v>
      </c>
      <c r="AG143" s="125">
        <f t="shared" si="62"/>
        <v>0.94965277777777812</v>
      </c>
      <c r="AH143" s="611"/>
    </row>
    <row r="144" spans="1:34" ht="19.2" customHeight="1">
      <c r="A144" s="64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2" customHeight="1">
      <c r="A145" s="64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2" customHeight="1">
      <c r="A146" s="64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2" customHeight="1">
      <c r="A147" s="644"/>
      <c r="B147" s="257">
        <v>0</v>
      </c>
      <c r="C147" s="100" t="s">
        <v>675</v>
      </c>
      <c r="D147" s="617" t="s">
        <v>655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1326.8153820738482</v>
      </c>
      <c r="O147" s="243">
        <f t="shared" si="93"/>
        <v>77.252668269263069</v>
      </c>
      <c r="P147" s="51">
        <f t="shared" ref="P147:P152" si="94">M147-J147</f>
        <v>0.11111111111111072</v>
      </c>
      <c r="Q147" s="139">
        <f t="shared" ref="Q147:Q152" si="95">O147-L147</f>
        <v>-9.2455124357674947</v>
      </c>
      <c r="R147" s="258">
        <f t="shared" ref="R147:R152" si="96">O147/L147</f>
        <v>0.89311321509413211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-147.07350681504067</v>
      </c>
      <c r="AG147" s="259">
        <f t="shared" si="62"/>
        <v>0.90021397954501581</v>
      </c>
      <c r="AH147" s="611"/>
    </row>
    <row r="148" spans="1:34" ht="19.2" customHeight="1">
      <c r="A148" s="648" t="s">
        <v>676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293.40000000000003</v>
      </c>
      <c r="H148" s="84">
        <f t="shared" ref="H148:H172" si="97">F148*G148</f>
        <v>8643.5640000000021</v>
      </c>
      <c r="I148" s="260"/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1100.2500000000039</v>
      </c>
      <c r="O148" s="47">
        <f t="shared" ref="O148:O152" si="99">N148/M148</f>
        <v>68.765625000000242</v>
      </c>
      <c r="P148" s="48">
        <f t="shared" si="94"/>
        <v>0</v>
      </c>
      <c r="Q148" s="49">
        <f t="shared" si="95"/>
        <v>-21.234374999999758</v>
      </c>
      <c r="R148" s="424">
        <f t="shared" si="96"/>
        <v>0.76406250000000264</v>
      </c>
      <c r="S148" s="649">
        <f>R160</f>
        <v>0.82085862737922399</v>
      </c>
      <c r="T148" s="246">
        <v>0.75</v>
      </c>
      <c r="U148" s="50">
        <v>0.76111111111111107</v>
      </c>
      <c r="V148" s="422">
        <v>5</v>
      </c>
      <c r="W148" s="433">
        <f>(U148-T148)*24*60</f>
        <v>15.999999999999943</v>
      </c>
      <c r="X148" s="53"/>
      <c r="Y148" s="53"/>
      <c r="Z148" s="54"/>
      <c r="AA148" s="54"/>
      <c r="AB148" s="588"/>
      <c r="AC148" s="588"/>
      <c r="AD148" s="420">
        <v>1</v>
      </c>
      <c r="AE148" s="420"/>
      <c r="AF148" s="48">
        <f t="shared" si="61"/>
        <v>-339.74999999999613</v>
      </c>
      <c r="AG148" s="125">
        <f t="shared" si="62"/>
        <v>0.76406250000000264</v>
      </c>
      <c r="AH148" s="611">
        <f>AG160</f>
        <v>0.8430650755617628</v>
      </c>
    </row>
    <row r="149" spans="1:34" ht="19.2" customHeight="1">
      <c r="A149" s="648"/>
      <c r="B149" s="420" t="s">
        <v>129</v>
      </c>
      <c r="C149" s="221"/>
      <c r="D149" s="251" t="s">
        <v>62</v>
      </c>
      <c r="E149" s="60"/>
      <c r="F149" s="362">
        <v>38.39</v>
      </c>
      <c r="G149" s="57">
        <v>657.65</v>
      </c>
      <c r="H149" s="84">
        <f t="shared" si="97"/>
        <v>25247.183499999999</v>
      </c>
      <c r="I149" s="260"/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1315.2999999999977</v>
      </c>
      <c r="O149" s="47">
        <f t="shared" si="99"/>
        <v>77.37058823529398</v>
      </c>
      <c r="P149" s="48">
        <f t="shared" si="94"/>
        <v>1</v>
      </c>
      <c r="Q149" s="49">
        <f t="shared" si="95"/>
        <v>-24.87941176470602</v>
      </c>
      <c r="R149" s="424">
        <f t="shared" si="96"/>
        <v>0.75668056953832741</v>
      </c>
      <c r="S149" s="650"/>
      <c r="T149" s="246">
        <v>0.76597222222222217</v>
      </c>
      <c r="U149" s="50">
        <v>0.78680555555555554</v>
      </c>
      <c r="V149" s="422">
        <v>7</v>
      </c>
      <c r="W149" s="433">
        <f t="shared" ref="W149:W159" si="100">(U149-T149)*24*60</f>
        <v>30.000000000000053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-320.70000000000232</v>
      </c>
      <c r="AG149" s="125">
        <f t="shared" si="62"/>
        <v>0.80397310513447295</v>
      </c>
      <c r="AH149" s="652"/>
    </row>
    <row r="150" spans="1:34" ht="19.2" customHeight="1">
      <c r="A150" s="648"/>
      <c r="B150" s="420" t="s">
        <v>129</v>
      </c>
      <c r="C150" s="221"/>
      <c r="D150" s="176" t="s">
        <v>206</v>
      </c>
      <c r="E150" s="60"/>
      <c r="F150" s="362">
        <v>50.67</v>
      </c>
      <c r="G150" s="57">
        <v>848.75</v>
      </c>
      <c r="H150" s="84">
        <f t="shared" si="97"/>
        <v>43006.162499999999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1340.1315789473674</v>
      </c>
      <c r="O150" s="47">
        <f t="shared" si="99"/>
        <v>74.451754385964861</v>
      </c>
      <c r="P150" s="48">
        <f t="shared" si="94"/>
        <v>0</v>
      </c>
      <c r="Q150" s="49">
        <f t="shared" si="95"/>
        <v>-8.8815789473684674</v>
      </c>
      <c r="R150" s="424">
        <f t="shared" si="96"/>
        <v>0.89342105263157834</v>
      </c>
      <c r="S150" s="650"/>
      <c r="T150" s="246">
        <v>0.79166666666666663</v>
      </c>
      <c r="U150" s="50">
        <v>0.81805555555555554</v>
      </c>
      <c r="V150" s="422">
        <v>7</v>
      </c>
      <c r="W150" s="433">
        <f t="shared" si="100"/>
        <v>38.000000000000028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-159.86842105263258</v>
      </c>
      <c r="AG150" s="125">
        <f t="shared" si="62"/>
        <v>0.89342105263157823</v>
      </c>
      <c r="AH150" s="652"/>
    </row>
    <row r="151" spans="1:34" s="218" customFormat="1" ht="19.2" customHeight="1">
      <c r="A151" s="648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1257</v>
      </c>
      <c r="H151" s="84">
        <f t="shared" si="97"/>
        <v>64182.420000000006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1236.3934426229521</v>
      </c>
      <c r="O151" s="47">
        <f t="shared" si="99"/>
        <v>77.274590163934505</v>
      </c>
      <c r="P151" s="48">
        <f t="shared" si="94"/>
        <v>0</v>
      </c>
      <c r="Q151" s="49">
        <f t="shared" si="95"/>
        <v>-12.725409836065495</v>
      </c>
      <c r="R151" s="424">
        <f t="shared" si="96"/>
        <v>0.85860655737705005</v>
      </c>
      <c r="S151" s="650"/>
      <c r="T151" s="246">
        <v>0.83333333333333326</v>
      </c>
      <c r="U151" s="50">
        <v>0.87569444444444433</v>
      </c>
      <c r="V151" s="422">
        <v>22</v>
      </c>
      <c r="W151" s="433">
        <f t="shared" si="100"/>
        <v>60.999999999999943</v>
      </c>
      <c r="X151" s="216">
        <v>0.8222222222222223</v>
      </c>
      <c r="Y151" s="216">
        <v>0.83194444444444438</v>
      </c>
      <c r="Z151" s="217"/>
      <c r="AA151" s="217"/>
      <c r="AB151" s="588"/>
      <c r="AC151" s="588"/>
      <c r="AD151" s="221"/>
      <c r="AE151" s="221"/>
      <c r="AF151" s="48">
        <f t="shared" si="61"/>
        <v>-203.60655737704792</v>
      </c>
      <c r="AG151" s="125">
        <f t="shared" si="62"/>
        <v>0.85860655737705005</v>
      </c>
      <c r="AH151" s="652"/>
    </row>
    <row r="152" spans="1:34" s="218" customFormat="1" ht="19.2" customHeight="1">
      <c r="A152" s="648"/>
      <c r="B152" s="420" t="s">
        <v>132</v>
      </c>
      <c r="C152" s="221"/>
      <c r="D152" s="59" t="s">
        <v>208</v>
      </c>
      <c r="E152" s="60"/>
      <c r="F152" s="362">
        <v>56.43</v>
      </c>
      <c r="G152" s="57">
        <v>1186</v>
      </c>
      <c r="H152" s="84">
        <f t="shared" si="97"/>
        <v>66925.98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1293.8181818181827</v>
      </c>
      <c r="O152" s="47">
        <f t="shared" si="99"/>
        <v>76.106951871657799</v>
      </c>
      <c r="P152" s="48">
        <f t="shared" si="94"/>
        <v>1</v>
      </c>
      <c r="Q152" s="49">
        <f t="shared" si="95"/>
        <v>-13.893048128342201</v>
      </c>
      <c r="R152" s="424">
        <f t="shared" si="96"/>
        <v>0.84563279857397555</v>
      </c>
      <c r="S152" s="650"/>
      <c r="T152" s="261">
        <v>0.88055555555555542</v>
      </c>
      <c r="U152" s="63">
        <v>0.91874999999999984</v>
      </c>
      <c r="V152" s="435">
        <v>7</v>
      </c>
      <c r="W152" s="433">
        <f t="shared" si="100"/>
        <v>54.999999999999964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-146.18181818181733</v>
      </c>
      <c r="AG152" s="125">
        <f t="shared" si="62"/>
        <v>0.89848484848484911</v>
      </c>
      <c r="AH152" s="652"/>
    </row>
    <row r="153" spans="1:34" s="218" customFormat="1" ht="19.2" customHeight="1">
      <c r="A153" s="648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2" customHeight="1">
      <c r="A154" s="648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2" customHeight="1">
      <c r="A155" s="648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2" customHeight="1">
      <c r="A156" s="648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2" customHeight="1">
      <c r="A157" s="648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2" customHeight="1">
      <c r="A158" s="648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2" customHeight="1">
      <c r="A159" s="648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2" customHeight="1">
      <c r="A160" s="648"/>
      <c r="B160" s="267">
        <v>0</v>
      </c>
      <c r="C160" s="268" t="s">
        <v>677</v>
      </c>
      <c r="D160" s="647" t="s">
        <v>655</v>
      </c>
      <c r="E160" s="608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1257.1786406777007</v>
      </c>
      <c r="O160" s="270">
        <f t="shared" si="101"/>
        <v>74.793901931370286</v>
      </c>
      <c r="P160" s="65">
        <f t="shared" ref="P160:P163" si="102">M160-J160</f>
        <v>0.40000000000000213</v>
      </c>
      <c r="Q160" s="74">
        <f t="shared" ref="Q160:Q163" si="103">O160-L160</f>
        <v>-16.322764735296374</v>
      </c>
      <c r="R160" s="271">
        <f>O160/L160</f>
        <v>0.82085862737922399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-234.0213593222993</v>
      </c>
      <c r="AG160" s="129">
        <f t="shared" si="62"/>
        <v>0.8430650755617628</v>
      </c>
      <c r="AH160" s="652"/>
    </row>
    <row r="161" spans="1:36" ht="19.2" customHeight="1">
      <c r="A161" s="610" t="s">
        <v>678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2774</v>
      </c>
      <c r="H161" s="84">
        <f t="shared" ref="H161:H170" si="104">F161*G161</f>
        <v>94954.01999999999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2219.1999999999994</v>
      </c>
      <c r="O161" s="86">
        <f t="shared" ref="O161:O165" si="106">N161/M161</f>
        <v>170.70769230769227</v>
      </c>
      <c r="P161" s="54">
        <f t="shared" si="102"/>
        <v>0</v>
      </c>
      <c r="Q161" s="88">
        <f t="shared" si="103"/>
        <v>-2.3692307692307963</v>
      </c>
      <c r="R161" s="421">
        <f t="shared" ref="R161:R163" si="107">O161/L161</f>
        <v>0.98631111111111092</v>
      </c>
      <c r="S161" s="611">
        <f>R173</f>
        <v>0.96239026636457947</v>
      </c>
      <c r="T161" s="89">
        <v>0.16666666666666666</v>
      </c>
      <c r="U161" s="89">
        <v>0.21875</v>
      </c>
      <c r="V161" s="420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-30.800000000000637</v>
      </c>
      <c r="AG161" s="421">
        <f t="shared" si="62"/>
        <v>0.98631111111111081</v>
      </c>
      <c r="AH161" s="611">
        <f>AG173</f>
        <v>0.96480152831449584</v>
      </c>
    </row>
    <row r="162" spans="1:36" ht="19.2" customHeight="1">
      <c r="A162" s="610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2701</v>
      </c>
      <c r="H162" s="84">
        <f t="shared" si="104"/>
        <v>92455.23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2189.9999999999995</v>
      </c>
      <c r="O162" s="86">
        <f t="shared" si="106"/>
        <v>168.46153846153842</v>
      </c>
      <c r="P162" s="54">
        <f t="shared" si="102"/>
        <v>0</v>
      </c>
      <c r="Q162" s="88">
        <f t="shared" si="103"/>
        <v>-4.6153846153846416</v>
      </c>
      <c r="R162" s="421">
        <f t="shared" si="107"/>
        <v>0.97333333333333316</v>
      </c>
      <c r="S162" s="611"/>
      <c r="T162" s="89">
        <v>0.22361111111111112</v>
      </c>
      <c r="U162" s="89">
        <v>0.27500000000000002</v>
      </c>
      <c r="V162" s="420">
        <v>7</v>
      </c>
      <c r="W162" s="90">
        <f t="shared" si="108"/>
        <v>74.000000000000014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-60.000000000000455</v>
      </c>
      <c r="AG162" s="421">
        <f t="shared" si="62"/>
        <v>0.97333333333333316</v>
      </c>
      <c r="AH162" s="611"/>
    </row>
    <row r="163" spans="1:36" ht="19.2" customHeight="1">
      <c r="A163" s="610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2653.7</v>
      </c>
      <c r="H163" s="84">
        <f t="shared" si="104"/>
        <v>95082.070999999982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2242.5633802816901</v>
      </c>
      <c r="O163" s="86">
        <f t="shared" si="106"/>
        <v>203.86939820742637</v>
      </c>
      <c r="P163" s="54">
        <f t="shared" si="102"/>
        <v>0</v>
      </c>
      <c r="Q163" s="88">
        <f t="shared" si="103"/>
        <v>-0.67605633802816101</v>
      </c>
      <c r="R163" s="421">
        <f t="shared" si="107"/>
        <v>0.99669483568075123</v>
      </c>
      <c r="S163" s="611"/>
      <c r="T163" s="89">
        <v>0.29097222222222224</v>
      </c>
      <c r="U163" s="89">
        <v>0.34027777777777779</v>
      </c>
      <c r="V163" s="420">
        <v>23</v>
      </c>
      <c r="W163" s="90">
        <f t="shared" si="108"/>
        <v>70.999999999999986</v>
      </c>
      <c r="X163" s="96">
        <v>0.27916666666666667</v>
      </c>
      <c r="Y163" s="96">
        <v>0.2902777777777778</v>
      </c>
      <c r="Z163" s="54"/>
      <c r="AA163" s="54"/>
      <c r="AB163" s="588"/>
      <c r="AC163" s="588"/>
      <c r="AD163" s="420">
        <v>1</v>
      </c>
      <c r="AE163" s="420"/>
      <c r="AF163" s="54">
        <f t="shared" si="61"/>
        <v>-7.4366197183098848</v>
      </c>
      <c r="AG163" s="421">
        <f t="shared" si="62"/>
        <v>0.99669483568075112</v>
      </c>
      <c r="AH163" s="611"/>
    </row>
    <row r="164" spans="1:36" ht="19.2" customHeight="1">
      <c r="A164" s="610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5212</v>
      </c>
      <c r="H164" s="84">
        <f t="shared" si="104"/>
        <v>189768.91999999998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2501.7599999999993</v>
      </c>
      <c r="O164" s="86">
        <f t="shared" si="106"/>
        <v>250.17599999999993</v>
      </c>
      <c r="P164" s="54">
        <f>M164-J164</f>
        <v>0</v>
      </c>
      <c r="Q164" s="88">
        <f>O164-L164</f>
        <v>-26.724000000000046</v>
      </c>
      <c r="R164" s="421">
        <f>O164/L164</f>
        <v>0.90348862405200414</v>
      </c>
      <c r="S164" s="611"/>
      <c r="T164" s="89">
        <v>0.38055555555555554</v>
      </c>
      <c r="U164" s="89">
        <v>0.46736111111111112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-267.24000000000069</v>
      </c>
      <c r="AG164" s="421">
        <f>N164/K164</f>
        <v>0.90348862405200403</v>
      </c>
      <c r="AH164" s="611"/>
    </row>
    <row r="165" spans="1:36" ht="19.2" customHeight="1">
      <c r="A165" s="610"/>
      <c r="B165" s="121" t="s">
        <v>131</v>
      </c>
      <c r="C165" s="81"/>
      <c r="D165" s="82" t="s">
        <v>95</v>
      </c>
      <c r="E165" s="83"/>
      <c r="F165" s="358">
        <v>35.83</v>
      </c>
      <c r="G165" s="57">
        <v>1137.3</v>
      </c>
      <c r="H165" s="84">
        <f t="shared" si="104"/>
        <v>40749.458999999995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2201.2258064516145</v>
      </c>
      <c r="O165" s="86">
        <f t="shared" si="106"/>
        <v>200.11143695014678</v>
      </c>
      <c r="P165" s="54">
        <f>M165-J165</f>
        <v>0</v>
      </c>
      <c r="Q165" s="88">
        <f>O165-L165</f>
        <v>-4.4340175953077505</v>
      </c>
      <c r="R165" s="421">
        <f>O165/L165</f>
        <v>0.97832258064516209</v>
      </c>
      <c r="S165" s="611"/>
      <c r="T165" s="89">
        <v>0.48333333333333334</v>
      </c>
      <c r="U165" s="89">
        <v>0.50486111111111109</v>
      </c>
      <c r="V165" s="420">
        <v>23</v>
      </c>
      <c r="W165" s="90">
        <f t="shared" si="108"/>
        <v>30.999999999999972</v>
      </c>
      <c r="X165" s="96">
        <v>0.47222222222222227</v>
      </c>
      <c r="Y165" s="96">
        <v>0.4826388888888889</v>
      </c>
      <c r="Z165" s="54"/>
      <c r="AA165" s="54"/>
      <c r="AB165" s="588"/>
      <c r="AC165" s="588"/>
      <c r="AD165" s="420"/>
      <c r="AE165" s="420"/>
      <c r="AF165" s="54">
        <f>N165-K165</f>
        <v>-48.774193548385483</v>
      </c>
      <c r="AG165" s="421">
        <f>N165/K165</f>
        <v>0.97832258064516198</v>
      </c>
      <c r="AH165" s="611"/>
    </row>
    <row r="166" spans="1:36" ht="19.2" customHeight="1">
      <c r="A166" s="610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611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0</v>
      </c>
      <c r="AG166" s="421" t="e">
        <f>N166/K166</f>
        <v>#DIV/0!</v>
      </c>
      <c r="AH166" s="611"/>
    </row>
    <row r="167" spans="1:36" ht="19.2" customHeight="1">
      <c r="A167" s="610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2" customHeight="1">
      <c r="A168" s="610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2" customHeight="1">
      <c r="A169" s="610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2" customHeight="1">
      <c r="A170" s="610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2" customHeight="1">
      <c r="A171" s="610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2" customHeight="1">
      <c r="A172" s="610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2" customHeight="1">
      <c r="A173" s="610"/>
      <c r="B173" s="121">
        <v>0</v>
      </c>
      <c r="C173" s="100" t="s">
        <v>679</v>
      </c>
      <c r="D173" s="617" t="s">
        <v>655</v>
      </c>
      <c r="E173" s="617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2270.9498373466604</v>
      </c>
      <c r="O173" s="104">
        <f t="shared" si="109"/>
        <v>198.66521318536076</v>
      </c>
      <c r="P173" s="54">
        <f>M173-J173</f>
        <v>0</v>
      </c>
      <c r="Q173" s="88">
        <f>O173-L173</f>
        <v>-7.7637378635903076</v>
      </c>
      <c r="R173" s="105">
        <f>O173/L173</f>
        <v>0.96239026636457947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-82.850162653339794</v>
      </c>
      <c r="AG173" s="421">
        <f t="shared" si="62"/>
        <v>0.96480152831449584</v>
      </c>
      <c r="AH173" s="611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680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681</v>
      </c>
    </row>
    <row r="186" spans="23:36">
      <c r="W186" s="33"/>
      <c r="AJ186" s="275" t="s">
        <v>682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5" priority="4" operator="greaterThan">
      <formula>0</formula>
    </cfRule>
  </conditionalFormatting>
  <conditionalFormatting sqref="Q5:Q173">
    <cfRule type="cellIs" dxfId="54" priority="9" operator="lessThan">
      <formula>0</formula>
    </cfRule>
  </conditionalFormatting>
  <conditionalFormatting sqref="R5:R173">
    <cfRule type="cellIs" dxfId="53" priority="5" operator="greaterThan">
      <formula>1</formula>
    </cfRule>
    <cfRule type="cellIs" dxfId="52" priority="6" operator="lessThan">
      <formula>0.8</formula>
    </cfRule>
  </conditionalFormatting>
  <conditionalFormatting sqref="S5:S11">
    <cfRule type="cellIs" dxfId="51" priority="3014" operator="lessThan">
      <formula>0.8</formula>
    </cfRule>
  </conditionalFormatting>
  <conditionalFormatting sqref="S21:S29 AH21:AH29">
    <cfRule type="cellIs" dxfId="50" priority="2944" operator="lessThan">
      <formula>0.8</formula>
    </cfRule>
  </conditionalFormatting>
  <conditionalFormatting sqref="S43:S72">
    <cfRule type="cellIs" dxfId="49" priority="2918" operator="lessThan">
      <formula>0.8</formula>
    </cfRule>
  </conditionalFormatting>
  <conditionalFormatting sqref="S82:S91 AH82:AH91">
    <cfRule type="cellIs" dxfId="48" priority="2938" operator="lessThan">
      <formula>0.8</formula>
    </cfRule>
  </conditionalFormatting>
  <conditionalFormatting sqref="S95:S104">
    <cfRule type="cellIs" dxfId="47" priority="2908" operator="lessThan">
      <formula>0.8</formula>
    </cfRule>
  </conditionalFormatting>
  <conditionalFormatting sqref="S108:S109">
    <cfRule type="cellIs" dxfId="46" priority="2917" operator="lessThan">
      <formula>0.8</formula>
    </cfRule>
  </conditionalFormatting>
  <conditionalFormatting sqref="S122:S135 AH135">
    <cfRule type="cellIs" dxfId="45" priority="3031" operator="lessThan">
      <formula>0.8</formula>
    </cfRule>
  </conditionalFormatting>
  <conditionalFormatting sqref="S137 AH137">
    <cfRule type="cellIs" dxfId="44" priority="2988" operator="lessThan">
      <formula>0.8</formula>
    </cfRule>
  </conditionalFormatting>
  <conditionalFormatting sqref="S139:S146 AH139:AH146">
    <cfRule type="cellIs" dxfId="43" priority="2930" operator="lessThan">
      <formula>0.8</formula>
    </cfRule>
  </conditionalFormatting>
  <conditionalFormatting sqref="S148:S150">
    <cfRule type="cellIs" dxfId="42" priority="2946" operator="lessThan">
      <formula>0.8</formula>
    </cfRule>
  </conditionalFormatting>
  <conditionalFormatting sqref="S161">
    <cfRule type="cellIs" dxfId="41" priority="3099" operator="lessThan">
      <formula>0.8</formula>
    </cfRule>
  </conditionalFormatting>
  <conditionalFormatting sqref="AF5:AF173">
    <cfRule type="cellIs" dxfId="40" priority="3" operator="lessThan">
      <formula>0</formula>
    </cfRule>
  </conditionalFormatting>
  <conditionalFormatting sqref="AG5:AG173">
    <cfRule type="cellIs" dxfId="39" priority="1" operator="greaterThan">
      <formula>1</formula>
    </cfRule>
    <cfRule type="cellIs" dxfId="38" priority="2" operator="lessThan">
      <formula>0.8</formula>
    </cfRule>
  </conditionalFormatting>
  <conditionalFormatting sqref="AH5:AH9 S17:S18 AH17:AH18 AH57 AH95">
    <cfRule type="cellIs" dxfId="37" priority="3105" operator="lessThan">
      <formula>0.8</formula>
    </cfRule>
  </conditionalFormatting>
  <conditionalFormatting sqref="AH31 S31:S32">
    <cfRule type="cellIs" dxfId="36" priority="3035" operator="lessThan">
      <formula>0.8</formula>
    </cfRule>
  </conditionalFormatting>
  <conditionalFormatting sqref="AH70:AH72">
    <cfRule type="cellIs" dxfId="35" priority="3008" operator="lessThan">
      <formula>0.8</formula>
    </cfRule>
  </conditionalFormatting>
  <conditionalFormatting sqref="AH97:AH98">
    <cfRule type="cellIs" dxfId="34" priority="2999" operator="lessThan">
      <formula>0.8</formula>
    </cfRule>
  </conditionalFormatting>
  <conditionalFormatting sqref="AH100:AH107">
    <cfRule type="cellIs" dxfId="33" priority="2961" operator="lessThan">
      <formula>0.8</formula>
    </cfRule>
  </conditionalFormatting>
  <conditionalFormatting sqref="AH109">
    <cfRule type="cellIs" dxfId="32" priority="3054" operator="lessThan">
      <formula>0.8</formula>
    </cfRule>
  </conditionalFormatting>
  <conditionalFormatting sqref="AH148">
    <cfRule type="cellIs" dxfId="31" priority="3047" operator="lessThan">
      <formula>0.8</formula>
    </cfRule>
  </conditionalFormatting>
  <conditionalFormatting sqref="AH150">
    <cfRule type="cellIs" dxfId="30" priority="2947" operator="lessThan">
      <formula>0.8</formula>
    </cfRule>
  </conditionalFormatting>
  <dataValidations count="1">
    <dataValidation type="list" allowBlank="1" showInputMessage="1" showErrorMessage="1" sqref="AB5:AC173" xr:uid="{00000000-0002-0000-0E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7" t="s">
        <v>0</v>
      </c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  <c r="N1" s="1"/>
      <c r="O1" s="1"/>
    </row>
    <row r="2" spans="2:17" ht="27.75" customHeight="1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9"/>
      <c r="N2" s="1"/>
      <c r="O2" s="1"/>
    </row>
    <row r="3" spans="2:17" ht="46.5" customHeight="1">
      <c r="B3" s="510" t="s">
        <v>1</v>
      </c>
      <c r="C3" s="511"/>
      <c r="D3" s="512" t="s">
        <v>623</v>
      </c>
      <c r="E3" s="513"/>
      <c r="F3" s="510" t="s">
        <v>2</v>
      </c>
      <c r="G3" s="511"/>
      <c r="H3" s="514">
        <v>256801.74999999997</v>
      </c>
      <c r="I3" s="515"/>
      <c r="J3" s="510" t="s">
        <v>3</v>
      </c>
      <c r="K3" s="511"/>
      <c r="L3" s="505">
        <v>8569043.5486293323</v>
      </c>
      <c r="M3" s="506"/>
      <c r="N3" s="372"/>
      <c r="O3" s="372"/>
      <c r="P3" s="372"/>
      <c r="Q3" s="372"/>
    </row>
    <row r="4" spans="2:17" ht="24" customHeight="1">
      <c r="B4" s="510" t="s">
        <v>135</v>
      </c>
      <c r="C4" s="511"/>
      <c r="D4" s="527" t="s">
        <v>135</v>
      </c>
      <c r="E4" s="528"/>
      <c r="F4" s="503" t="s">
        <v>136</v>
      </c>
      <c r="G4" s="504"/>
      <c r="H4" s="503" t="s">
        <v>137</v>
      </c>
      <c r="I4" s="504"/>
      <c r="J4" s="503" t="s">
        <v>138</v>
      </c>
      <c r="K4" s="504"/>
      <c r="L4" s="505" t="s">
        <v>139</v>
      </c>
      <c r="M4" s="506"/>
      <c r="N4" s="519" t="s">
        <v>4</v>
      </c>
      <c r="O4" s="520"/>
      <c r="P4" s="520" t="s">
        <v>5</v>
      </c>
      <c r="Q4" s="520"/>
    </row>
    <row r="5" spans="2:17" ht="24" customHeight="1">
      <c r="B5" s="521" t="s">
        <v>35</v>
      </c>
      <c r="C5" s="522"/>
      <c r="D5" s="527" t="s">
        <v>140</v>
      </c>
      <c r="E5" s="528"/>
      <c r="F5" s="527" t="s">
        <v>6</v>
      </c>
      <c r="G5" s="528"/>
      <c r="H5" s="529" t="s">
        <v>7</v>
      </c>
      <c r="I5" s="530"/>
      <c r="J5" s="531" t="s">
        <v>8</v>
      </c>
      <c r="K5" s="532"/>
      <c r="L5" s="533" t="s">
        <v>9</v>
      </c>
      <c r="M5" s="534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3"/>
      <c r="C6" s="524"/>
      <c r="D6" s="510" t="s">
        <v>10</v>
      </c>
      <c r="E6" s="511"/>
      <c r="F6" s="535">
        <f>AVERAGE(D13:O13,P13:Q13,D30:E30,G30:H30,J30:M30)</f>
        <v>378.73676018363716</v>
      </c>
      <c r="G6" s="536"/>
      <c r="H6" s="548">
        <f>AVERAGE(D13:P13,Q13)</f>
        <v>133.01490886000133</v>
      </c>
      <c r="I6" s="549"/>
      <c r="J6" s="548">
        <f>AVERAGE(D30:E30,G30:H30)</f>
        <v>736.25</v>
      </c>
      <c r="K6" s="549"/>
      <c r="L6" s="550">
        <f>AVERAGE(J30:M30)</f>
        <v>881.25</v>
      </c>
      <c r="M6" s="551"/>
      <c r="N6" s="552">
        <v>0</v>
      </c>
      <c r="O6" s="539">
        <v>0</v>
      </c>
      <c r="P6" s="516">
        <v>6</v>
      </c>
      <c r="Q6" s="539">
        <v>5</v>
      </c>
    </row>
    <row r="7" spans="2:17" s="5" customFormat="1" ht="39.6" customHeight="1">
      <c r="B7" s="523"/>
      <c r="C7" s="524"/>
      <c r="D7" s="540" t="s">
        <v>11</v>
      </c>
      <c r="E7" s="541"/>
      <c r="F7" s="542">
        <f>AVERAGE(D14:O14,P14:Q14,D31:E31,J31:M31,G31:H31)</f>
        <v>363.33291104427332</v>
      </c>
      <c r="G7" s="543"/>
      <c r="H7" s="544">
        <f>AVERAGE(D14:P14,Q14)</f>
        <v>120.13690231442595</v>
      </c>
      <c r="I7" s="545"/>
      <c r="J7" s="544">
        <f>AVERAGE(D31:E31,G31:H31)</f>
        <v>737.9885132041702</v>
      </c>
      <c r="K7" s="545"/>
      <c r="L7" s="546">
        <f>AVERAGE(J31:M31)</f>
        <v>839.8633394388421</v>
      </c>
      <c r="M7" s="547"/>
      <c r="N7" s="552"/>
      <c r="O7" s="539"/>
      <c r="P7" s="516"/>
      <c r="Q7" s="539"/>
    </row>
    <row r="8" spans="2:17" s="5" customFormat="1" ht="39.6" customHeight="1">
      <c r="B8" s="525"/>
      <c r="C8" s="526"/>
      <c r="D8" s="540" t="s">
        <v>12</v>
      </c>
      <c r="E8" s="541"/>
      <c r="F8" s="517">
        <f>AVERAGE(D15:O15,P15:Q15,D32:E32,G32:H32,J32:M32)</f>
        <v>0.91385535342718893</v>
      </c>
      <c r="G8" s="518"/>
      <c r="H8" s="517">
        <f>AVERAGE(D15:O15,P15:Q15)</f>
        <v>0.89483939954429226</v>
      </c>
      <c r="I8" s="518"/>
      <c r="J8" s="517">
        <f>AVERAGE(D32:E32,G32:H32)</f>
        <v>0.93762546121953982</v>
      </c>
      <c r="K8" s="518"/>
      <c r="L8" s="517">
        <f>AVERAGE(J32:M32)</f>
        <v>0.95664108422497585</v>
      </c>
      <c r="M8" s="518"/>
      <c r="N8" s="552"/>
      <c r="O8" s="539"/>
      <c r="P8" s="516"/>
      <c r="Q8" s="539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53" t="s">
        <v>145</v>
      </c>
      <c r="C10" s="554"/>
      <c r="D10" s="555" t="s">
        <v>146</v>
      </c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7"/>
    </row>
    <row r="11" spans="2:17" ht="17.25" customHeight="1">
      <c r="B11" s="558" t="s">
        <v>147</v>
      </c>
      <c r="C11" s="522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559"/>
      <c r="C12" s="526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560" t="s">
        <v>35</v>
      </c>
      <c r="C13" s="14" t="s">
        <v>161</v>
      </c>
      <c r="D13" s="19">
        <v>142.82913165266106</v>
      </c>
      <c r="E13" s="19">
        <v>117.19852941176471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95.806722689075627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" customHeight="1">
      <c r="B14" s="561"/>
      <c r="C14" s="14" t="s">
        <v>162</v>
      </c>
      <c r="D14" s="19">
        <v>130.59809731453939</v>
      </c>
      <c r="E14" s="19">
        <v>103.93923054412812</v>
      </c>
      <c r="F14" s="19">
        <v>112.55115432304179</v>
      </c>
      <c r="G14" s="19">
        <v>236.21402264057332</v>
      </c>
      <c r="H14" s="19">
        <v>217.53337689731438</v>
      </c>
      <c r="I14" s="19">
        <v>79.095917425139703</v>
      </c>
      <c r="J14" s="19">
        <v>81.269603086735856</v>
      </c>
      <c r="K14" s="19">
        <v>73.387814011234994</v>
      </c>
      <c r="L14" s="19">
        <v>83.490314763080249</v>
      </c>
      <c r="M14" s="19">
        <v>71.380263918379711</v>
      </c>
      <c r="N14" s="19">
        <v>77.074865513610035</v>
      </c>
      <c r="O14" s="19">
        <v>74.032361920249215</v>
      </c>
      <c r="P14" s="19">
        <v>194.92241224173861</v>
      </c>
      <c r="Q14" s="9">
        <v>146.42719780219781</v>
      </c>
    </row>
    <row r="15" spans="2:17" ht="39.9" customHeight="1">
      <c r="B15" s="562"/>
      <c r="C15" s="373" t="s">
        <v>163</v>
      </c>
      <c r="D15" s="10">
        <f t="shared" ref="D15:Q15" si="0">D14/D13</f>
        <v>0.91436596864660835</v>
      </c>
      <c r="E15" s="10">
        <f t="shared" si="0"/>
        <v>0.8868646310308943</v>
      </c>
      <c r="F15" s="10">
        <f t="shared" si="0"/>
        <v>0.83695329407832664</v>
      </c>
      <c r="G15" s="10">
        <f t="shared" si="0"/>
        <v>0.88186568452480718</v>
      </c>
      <c r="H15" s="10">
        <f t="shared" si="0"/>
        <v>0.96172650838812679</v>
      </c>
      <c r="I15" s="10">
        <f t="shared" si="0"/>
        <v>0.92432783952366804</v>
      </c>
      <c r="J15" s="10">
        <f t="shared" si="0"/>
        <v>0.84826618431028566</v>
      </c>
      <c r="K15" s="10">
        <f t="shared" si="0"/>
        <v>0.87124212466844453</v>
      </c>
      <c r="L15" s="10">
        <f t="shared" si="0"/>
        <v>0.90558584388902685</v>
      </c>
      <c r="M15" s="10">
        <f t="shared" si="0"/>
        <v>0.87255469211179126</v>
      </c>
      <c r="N15" s="10">
        <f t="shared" si="0"/>
        <v>0.891057648674078</v>
      </c>
      <c r="O15" s="10">
        <f t="shared" si="0"/>
        <v>0.81250077102889218</v>
      </c>
      <c r="P15" s="375">
        <f t="shared" si="0"/>
        <v>0.94425908406382464</v>
      </c>
      <c r="Q15" s="11">
        <f t="shared" si="0"/>
        <v>0.97618131868131874</v>
      </c>
    </row>
    <row r="16" spans="2:17" ht="22.8" customHeight="1">
      <c r="B16" s="563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8" customHeight="1">
      <c r="B17" s="564"/>
      <c r="C17" s="373" t="s">
        <v>36</v>
      </c>
      <c r="D17" s="12">
        <v>0.67361111111111094</v>
      </c>
      <c r="E17" s="12">
        <v>0.61736111111111092</v>
      </c>
      <c r="F17" s="12">
        <v>0.64861111111111103</v>
      </c>
      <c r="G17" s="12">
        <v>0.67083333333333317</v>
      </c>
      <c r="H17" s="12">
        <v>0.65833333333333333</v>
      </c>
      <c r="I17" s="12">
        <v>0.72291666666666665</v>
      </c>
      <c r="J17" s="12">
        <v>0.75902777777777763</v>
      </c>
      <c r="K17" s="12">
        <v>0.77013888888888871</v>
      </c>
      <c r="L17" s="12">
        <v>0.90208333333333313</v>
      </c>
      <c r="M17" s="12">
        <v>0.95833333333333337</v>
      </c>
      <c r="N17" s="12">
        <v>0.97361111111111109</v>
      </c>
      <c r="O17" s="22">
        <v>0.96180555555555547</v>
      </c>
      <c r="P17" s="12">
        <v>0.55694444444444435</v>
      </c>
      <c r="Q17" s="376">
        <v>0.53125</v>
      </c>
    </row>
    <row r="18" spans="2:23" ht="22.8" customHeight="1">
      <c r="B18" s="537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538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537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>
        <v>1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538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>
        <v>1</v>
      </c>
      <c r="P21" s="378" t="s">
        <v>15</v>
      </c>
      <c r="Q21" s="379"/>
    </row>
    <row r="22" spans="2:23" ht="22.8" customHeight="1">
      <c r="B22" s="565" t="s">
        <v>169</v>
      </c>
      <c r="C22" s="511"/>
      <c r="D22" s="380">
        <v>18.285714285714285</v>
      </c>
      <c r="E22" s="380">
        <v>17.166666666666668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16.714285714285715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11.333333333333334</v>
      </c>
    </row>
    <row r="23" spans="2:23" ht="22.8" customHeight="1">
      <c r="B23" s="565" t="s">
        <v>170</v>
      </c>
      <c r="C23" s="511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5" t="s">
        <v>171</v>
      </c>
      <c r="C24" s="51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6" t="s">
        <v>172</v>
      </c>
      <c r="C25" s="56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53"/>
      <c r="C27" s="578"/>
      <c r="D27" s="570" t="s">
        <v>173</v>
      </c>
      <c r="E27" s="571"/>
      <c r="F27" s="571"/>
      <c r="G27" s="571"/>
      <c r="H27" s="572"/>
      <c r="I27" s="573" t="s">
        <v>174</v>
      </c>
      <c r="J27" s="574"/>
      <c r="K27" s="574"/>
      <c r="L27" s="574"/>
      <c r="M27" s="575"/>
      <c r="N27" s="372"/>
      <c r="O27" s="372"/>
      <c r="P27" s="372"/>
      <c r="Q27" s="372"/>
    </row>
    <row r="28" spans="2:23" ht="17.25" customHeight="1">
      <c r="B28" s="558" t="s">
        <v>147</v>
      </c>
      <c r="C28" s="57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9"/>
      <c r="C29" s="577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560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561"/>
      <c r="C31" s="386" t="s">
        <v>162</v>
      </c>
      <c r="D31" s="388">
        <v>192.00000000000006</v>
      </c>
      <c r="E31" s="8">
        <v>830.47368331028724</v>
      </c>
      <c r="F31" s="8">
        <v>0</v>
      </c>
      <c r="G31" s="8">
        <v>915.26732295482236</v>
      </c>
      <c r="H31" s="389">
        <v>1014.213046551571</v>
      </c>
      <c r="I31" s="388">
        <v>0</v>
      </c>
      <c r="J31" s="8">
        <v>928.99999999999591</v>
      </c>
      <c r="K31" s="8">
        <v>637.74999999999955</v>
      </c>
      <c r="L31" s="8">
        <v>878.94603174603049</v>
      </c>
      <c r="M31" s="389">
        <v>913.75732600934214</v>
      </c>
      <c r="N31" s="372"/>
      <c r="O31" s="372"/>
      <c r="P31" s="372"/>
      <c r="Q31" s="372"/>
    </row>
    <row r="32" spans="2:23" ht="39.9" customHeight="1">
      <c r="B32" s="562"/>
      <c r="C32" s="407" t="s">
        <v>163</v>
      </c>
      <c r="D32" s="390">
        <f t="shared" ref="D32:M32" si="1">D31/D30</f>
        <v>0.6000000000000002</v>
      </c>
      <c r="E32" s="10">
        <f t="shared" si="1"/>
        <v>1.006634767648833</v>
      </c>
      <c r="F32" s="10">
        <f t="shared" si="1"/>
        <v>0</v>
      </c>
      <c r="G32" s="10">
        <f t="shared" si="1"/>
        <v>1.0169636921720249</v>
      </c>
      <c r="H32" s="10">
        <f t="shared" si="1"/>
        <v>1.1269033850573011</v>
      </c>
      <c r="I32" s="388">
        <f t="shared" si="1"/>
        <v>0</v>
      </c>
      <c r="J32" s="10">
        <f t="shared" si="1"/>
        <v>1.1260606060606011</v>
      </c>
      <c r="K32" s="10">
        <f t="shared" si="1"/>
        <v>0.70861111111111064</v>
      </c>
      <c r="L32" s="10">
        <f t="shared" si="1"/>
        <v>0.97660670194003385</v>
      </c>
      <c r="M32" s="11">
        <f t="shared" si="1"/>
        <v>1.0152859177881579</v>
      </c>
      <c r="N32" s="372"/>
      <c r="O32" s="372"/>
      <c r="P32" s="372"/>
      <c r="Q32" s="372"/>
    </row>
    <row r="33" spans="2:17" ht="25.8" customHeight="1">
      <c r="B33" s="563" t="s">
        <v>164</v>
      </c>
      <c r="C33" s="407" t="s">
        <v>165</v>
      </c>
      <c r="D33" s="391">
        <v>0.33680555555555558</v>
      </c>
      <c r="E33" s="12">
        <v>0.18055555555555555</v>
      </c>
      <c r="F33" s="12">
        <v>0</v>
      </c>
      <c r="G33" s="12">
        <v>3127.49999999998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4.8611111111111112E-2</v>
      </c>
      <c r="N33" s="372"/>
      <c r="O33" s="372"/>
      <c r="P33" s="372"/>
      <c r="Q33" s="372"/>
    </row>
    <row r="34" spans="2:17" ht="25.8" customHeight="1">
      <c r="B34" s="564"/>
      <c r="C34" s="407" t="s">
        <v>36</v>
      </c>
      <c r="D34" s="391">
        <v>0.35416666666666669</v>
      </c>
      <c r="E34" s="12">
        <v>0.33958333333333335</v>
      </c>
      <c r="F34" s="12">
        <v>0</v>
      </c>
      <c r="G34" s="12">
        <v>1131.999999999998</v>
      </c>
      <c r="H34" s="376">
        <v>0.51597222222222217</v>
      </c>
      <c r="I34" s="23">
        <v>0</v>
      </c>
      <c r="J34" s="12">
        <v>0.73611111111111116</v>
      </c>
      <c r="K34" s="12">
        <v>0.78472222222222221</v>
      </c>
      <c r="L34" s="12">
        <v>46180.055555555555</v>
      </c>
      <c r="M34" s="13">
        <v>46180.034722222219</v>
      </c>
      <c r="N34" s="372"/>
      <c r="O34" s="372"/>
      <c r="P34" s="372"/>
      <c r="Q34" s="372"/>
    </row>
    <row r="35" spans="2:17" ht="25.8" customHeight="1">
      <c r="B35" s="565" t="s">
        <v>169</v>
      </c>
      <c r="C35" s="5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565" t="s">
        <v>170</v>
      </c>
      <c r="C36" s="5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565" t="s">
        <v>171</v>
      </c>
      <c r="C37" s="5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566" t="s">
        <v>172</v>
      </c>
      <c r="C38" s="569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F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6394" priority="4" operator="lessThan">
      <formula>0.8</formula>
    </cfRule>
  </conditionalFormatting>
  <conditionalFormatting sqref="J32:L32">
    <cfRule type="cellIs" dxfId="6393" priority="3" operator="lessThan">
      <formula>0.8</formula>
    </cfRule>
  </conditionalFormatting>
  <conditionalFormatting sqref="M32">
    <cfRule type="cellIs" dxfId="6392" priority="2" operator="lessThan">
      <formula>0.8</formula>
    </cfRule>
  </conditionalFormatting>
  <conditionalFormatting sqref="H32">
    <cfRule type="cellIs" dxfId="6391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0.79998168889431442"/>
    <pageSetUpPr fitToPage="1"/>
  </sheetPr>
  <dimension ref="A1:R126"/>
  <sheetViews>
    <sheetView zoomScale="85" zoomScaleNormal="85" workbookViewId="0">
      <selection activeCell="M27" sqref="M2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800</v>
      </c>
      <c r="B1" s="277"/>
      <c r="C1" s="278"/>
      <c r="D1" s="279" t="s">
        <v>626</v>
      </c>
      <c r="E1" s="280">
        <f>SUM(G5:G124)</f>
        <v>82307</v>
      </c>
      <c r="F1" s="281" t="s">
        <v>3</v>
      </c>
      <c r="G1" s="282">
        <f>SUM(H5:H124)</f>
        <v>1569267.8557287159</v>
      </c>
      <c r="H1" s="283" t="s">
        <v>801</v>
      </c>
      <c r="I1" s="284">
        <f>+J16+J64+J24+J38+J51+J81+J100+J91+J57+J124+J111</f>
        <v>44.828571428571429</v>
      </c>
      <c r="J1" s="487" t="s">
        <v>802</v>
      </c>
      <c r="K1" s="488"/>
      <c r="L1" s="489"/>
      <c r="M1" s="487" t="s">
        <v>628</v>
      </c>
      <c r="N1" s="488"/>
      <c r="O1" s="488"/>
      <c r="P1" s="488"/>
      <c r="Q1" s="488"/>
      <c r="R1" s="489"/>
    </row>
    <row r="2" spans="1:18" ht="26.25" customHeight="1" thickBot="1">
      <c r="A2" s="493" t="s">
        <v>803</v>
      </c>
      <c r="B2" s="494"/>
      <c r="C2" s="286"/>
      <c r="D2" s="414" t="s">
        <v>635</v>
      </c>
      <c r="E2" s="287">
        <f>AVERAGE(L16,L24,L38,L51,L100,L111,L91)</f>
        <v>602.43281880975178</v>
      </c>
      <c r="F2" s="288" t="s">
        <v>40</v>
      </c>
      <c r="G2" s="289">
        <f>G1/E1</f>
        <v>19.066031512856938</v>
      </c>
      <c r="H2" s="290" t="s">
        <v>804</v>
      </c>
      <c r="I2" s="291">
        <f>COUNT(I5:I124)</f>
        <v>0</v>
      </c>
      <c r="J2" s="490"/>
      <c r="K2" s="491"/>
      <c r="L2" s="492"/>
      <c r="M2" s="490"/>
      <c r="N2" s="491"/>
      <c r="O2" s="491"/>
      <c r="P2" s="491"/>
      <c r="Q2" s="491"/>
      <c r="R2" s="492"/>
    </row>
    <row r="3" spans="1:18" ht="23.25" customHeight="1">
      <c r="A3" s="495" t="s">
        <v>636</v>
      </c>
      <c r="B3" s="497" t="s">
        <v>805</v>
      </c>
      <c r="C3" s="416"/>
      <c r="D3" s="498" t="s">
        <v>637</v>
      </c>
      <c r="E3" s="498"/>
      <c r="F3" s="499" t="s">
        <v>43</v>
      </c>
      <c r="G3" s="500" t="s">
        <v>806</v>
      </c>
      <c r="H3" s="498" t="s">
        <v>807</v>
      </c>
      <c r="I3" s="501" t="s">
        <v>638</v>
      </c>
      <c r="J3" s="468" t="s">
        <v>640</v>
      </c>
      <c r="K3" s="480" t="s">
        <v>639</v>
      </c>
      <c r="L3" s="482" t="s">
        <v>635</v>
      </c>
      <c r="M3" s="484" t="s">
        <v>48</v>
      </c>
      <c r="N3" s="484"/>
      <c r="O3" s="468" t="s">
        <v>106</v>
      </c>
      <c r="P3" s="485" t="s">
        <v>643</v>
      </c>
      <c r="Q3" s="468" t="s">
        <v>644</v>
      </c>
      <c r="R3" s="468"/>
    </row>
    <row r="4" spans="1:18" ht="15.75" customHeight="1">
      <c r="A4" s="496"/>
      <c r="B4" s="497"/>
      <c r="C4" s="416"/>
      <c r="D4" s="498"/>
      <c r="E4" s="498"/>
      <c r="F4" s="499"/>
      <c r="G4" s="500"/>
      <c r="H4" s="498"/>
      <c r="I4" s="502"/>
      <c r="J4" s="479"/>
      <c r="K4" s="481"/>
      <c r="L4" s="483"/>
      <c r="M4" s="419" t="s">
        <v>50</v>
      </c>
      <c r="N4" s="419" t="s">
        <v>51</v>
      </c>
      <c r="O4" s="479"/>
      <c r="P4" s="486"/>
      <c r="Q4" s="292" t="s">
        <v>648</v>
      </c>
      <c r="R4" s="292" t="s">
        <v>808</v>
      </c>
    </row>
    <row r="5" spans="1:18">
      <c r="A5" s="469" t="s">
        <v>809</v>
      </c>
      <c r="B5" s="293" t="s">
        <v>131</v>
      </c>
      <c r="C5" s="293"/>
      <c r="D5" s="294" t="s">
        <v>810</v>
      </c>
      <c r="E5" s="294"/>
      <c r="F5" s="295">
        <v>29.965493443754308</v>
      </c>
      <c r="G5" s="416">
        <v>1633</v>
      </c>
      <c r="H5" s="296">
        <f>F5*G5</f>
        <v>48933.650793650784</v>
      </c>
      <c r="I5" s="417"/>
      <c r="J5" s="297">
        <v>13</v>
      </c>
      <c r="K5" s="298">
        <f t="shared" ref="K5:K10" si="0">G5/P5*60</f>
        <v>1224.7500000000007</v>
      </c>
      <c r="L5" s="299">
        <f t="shared" ref="L5:L10" si="1">K5/J5</f>
        <v>94.21153846153851</v>
      </c>
      <c r="M5" s="300">
        <v>0.17361111111111113</v>
      </c>
      <c r="N5" s="300">
        <v>0.22916666666666666</v>
      </c>
      <c r="O5" s="292">
        <v>10</v>
      </c>
      <c r="P5" s="411">
        <f t="shared" ref="P5:P10" si="2">(N5-M5)*24*60</f>
        <v>79.999999999999957</v>
      </c>
      <c r="Q5" s="301"/>
      <c r="R5" s="301"/>
    </row>
    <row r="6" spans="1:18">
      <c r="A6" s="469"/>
      <c r="B6" s="293">
        <v>0</v>
      </c>
      <c r="C6" s="293"/>
      <c r="D6" s="294" t="s">
        <v>192</v>
      </c>
      <c r="E6" s="294"/>
      <c r="F6" s="295" t="s">
        <v>133</v>
      </c>
      <c r="G6" s="416">
        <v>1938</v>
      </c>
      <c r="H6" s="296">
        <f t="shared" ref="H6:H15" si="3">F6*G6</f>
        <v>0</v>
      </c>
      <c r="I6" s="417"/>
      <c r="J6" s="297">
        <v>9</v>
      </c>
      <c r="K6" s="298">
        <f t="shared" si="0"/>
        <v>1661.1428571428567</v>
      </c>
      <c r="L6" s="299">
        <f t="shared" si="1"/>
        <v>184.57142857142853</v>
      </c>
      <c r="M6" s="300">
        <v>0.23263888888888887</v>
      </c>
      <c r="N6" s="300">
        <v>0.28125</v>
      </c>
      <c r="O6" s="292">
        <v>5</v>
      </c>
      <c r="P6" s="411">
        <f t="shared" si="2"/>
        <v>70.000000000000028</v>
      </c>
      <c r="Q6" s="292"/>
      <c r="R6" s="292"/>
    </row>
    <row r="7" spans="1:18">
      <c r="A7" s="469"/>
      <c r="B7" s="293">
        <v>0</v>
      </c>
      <c r="C7" s="293"/>
      <c r="D7" s="294" t="s">
        <v>193</v>
      </c>
      <c r="E7" s="294"/>
      <c r="F7" s="295" t="s">
        <v>133</v>
      </c>
      <c r="G7" s="416">
        <v>1864</v>
      </c>
      <c r="H7" s="296">
        <f t="shared" si="3"/>
        <v>0</v>
      </c>
      <c r="I7" s="417"/>
      <c r="J7" s="297">
        <v>9</v>
      </c>
      <c r="K7" s="298">
        <f t="shared" si="0"/>
        <v>1597.714285714286</v>
      </c>
      <c r="L7" s="299">
        <f t="shared" si="1"/>
        <v>177.52380952380955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469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1532</v>
      </c>
      <c r="H8" s="296">
        <f t="shared" si="3"/>
        <v>55841.4</v>
      </c>
      <c r="I8" s="417"/>
      <c r="J8" s="297">
        <v>13</v>
      </c>
      <c r="K8" s="298">
        <f t="shared" si="0"/>
        <v>1531.9999999999993</v>
      </c>
      <c r="L8" s="299">
        <f t="shared" si="1"/>
        <v>117.8461538461538</v>
      </c>
      <c r="M8" s="300">
        <v>0.3576388888888889</v>
      </c>
      <c r="N8" s="300">
        <v>0.39930555555555558</v>
      </c>
      <c r="O8" s="292">
        <v>5</v>
      </c>
      <c r="P8" s="411">
        <f t="shared" si="2"/>
        <v>60.000000000000028</v>
      </c>
      <c r="Q8" s="301">
        <v>0.40625</v>
      </c>
      <c r="R8" s="301">
        <v>0.4375</v>
      </c>
    </row>
    <row r="9" spans="1:18">
      <c r="A9" s="469"/>
      <c r="B9" s="293" t="s">
        <v>134</v>
      </c>
      <c r="C9" s="293"/>
      <c r="D9" s="294" t="s">
        <v>195</v>
      </c>
      <c r="E9" s="294"/>
      <c r="F9" s="295">
        <v>29.85</v>
      </c>
      <c r="G9" s="302">
        <v>1938</v>
      </c>
      <c r="H9" s="296">
        <f t="shared" si="3"/>
        <v>57849.3</v>
      </c>
      <c r="I9" s="417"/>
      <c r="J9" s="297">
        <v>12</v>
      </c>
      <c r="K9" s="298">
        <f t="shared" si="0"/>
        <v>1788.923076923079</v>
      </c>
      <c r="L9" s="299">
        <f t="shared" si="1"/>
        <v>149.07692307692324</v>
      </c>
      <c r="M9" s="300">
        <v>0.44097222222222227</v>
      </c>
      <c r="N9" s="300">
        <v>0.4861111111111111</v>
      </c>
      <c r="O9" s="292">
        <v>5</v>
      </c>
      <c r="P9" s="411">
        <f t="shared" si="2"/>
        <v>64.999999999999929</v>
      </c>
      <c r="Q9" s="301"/>
      <c r="R9" s="301"/>
    </row>
    <row r="10" spans="1:18">
      <c r="A10" s="469"/>
      <c r="B10" s="293" t="s">
        <v>134</v>
      </c>
      <c r="C10" s="293"/>
      <c r="D10" s="294" t="s">
        <v>196</v>
      </c>
      <c r="E10" s="294"/>
      <c r="F10" s="295">
        <v>29.52</v>
      </c>
      <c r="G10" s="302">
        <v>1864</v>
      </c>
      <c r="H10" s="296">
        <f t="shared" si="3"/>
        <v>55025.279999999999</v>
      </c>
      <c r="I10" s="417"/>
      <c r="J10" s="297">
        <v>12</v>
      </c>
      <c r="K10" s="298">
        <f t="shared" si="0"/>
        <v>1863.9999999999991</v>
      </c>
      <c r="L10" s="299">
        <f t="shared" si="1"/>
        <v>155.33333333333326</v>
      </c>
      <c r="M10" s="300">
        <v>0.48958333333333331</v>
      </c>
      <c r="N10" s="300">
        <v>0.53125</v>
      </c>
      <c r="O10" s="292">
        <v>5</v>
      </c>
      <c r="P10" s="411">
        <f t="shared" si="2"/>
        <v>60.000000000000028</v>
      </c>
      <c r="Q10" s="301"/>
      <c r="R10" s="301"/>
    </row>
    <row r="11" spans="1:18">
      <c r="A11" s="469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70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70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70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70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71"/>
      <c r="B16" s="293">
        <v>0</v>
      </c>
      <c r="C16" s="293" t="s">
        <v>771</v>
      </c>
      <c r="D16" s="455" t="s">
        <v>655</v>
      </c>
      <c r="E16" s="455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1611.4217032967033</v>
      </c>
      <c r="L16" s="309">
        <f>AVERAGE(L5:L15)</f>
        <v>146.42719780219781</v>
      </c>
      <c r="M16" s="300"/>
      <c r="N16" s="300"/>
      <c r="O16" s="298"/>
      <c r="P16" s="298"/>
      <c r="Q16" s="299"/>
      <c r="R16" s="299"/>
    </row>
    <row r="17" spans="1:18" ht="15.75" customHeight="1">
      <c r="A17" s="472" t="s">
        <v>772</v>
      </c>
      <c r="B17" s="293" t="s">
        <v>134</v>
      </c>
      <c r="C17" s="416"/>
      <c r="D17" s="475" t="s">
        <v>180</v>
      </c>
      <c r="E17" s="476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1920.0000000000005</v>
      </c>
      <c r="L17" s="299">
        <f>K17/J17</f>
        <v>192.00000000000006</v>
      </c>
      <c r="M17" s="300">
        <v>0.33680555555555558</v>
      </c>
      <c r="N17" s="300">
        <v>0.35416666666666669</v>
      </c>
      <c r="O17" s="292">
        <v>5</v>
      </c>
      <c r="P17" s="411">
        <f>(N17-M17)*24*60</f>
        <v>24.999999999999993</v>
      </c>
      <c r="Q17" s="292"/>
      <c r="R17" s="292"/>
    </row>
    <row r="18" spans="1:18" ht="15.75" customHeight="1">
      <c r="A18" s="472"/>
      <c r="B18" s="293">
        <v>0</v>
      </c>
      <c r="C18" s="416"/>
      <c r="D18" s="477"/>
      <c r="E18" s="478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2"/>
      <c r="B19" s="293">
        <v>0</v>
      </c>
      <c r="C19" s="416"/>
      <c r="D19" s="477"/>
      <c r="E19" s="478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3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3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3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3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474"/>
      <c r="B24" s="293">
        <v>0</v>
      </c>
      <c r="C24" s="6" t="s">
        <v>773</v>
      </c>
      <c r="D24" s="455" t="s">
        <v>655</v>
      </c>
      <c r="E24" s="455"/>
      <c r="F24" s="304"/>
      <c r="G24" s="313"/>
      <c r="H24" s="306"/>
      <c r="I24" s="307"/>
      <c r="J24" s="308">
        <f>AVERAGE(J17:J23)</f>
        <v>10</v>
      </c>
      <c r="K24" s="308">
        <f>AVERAGE(K17:K23)</f>
        <v>1920.0000000000005</v>
      </c>
      <c r="L24" s="309">
        <f>AVERAGE(L17:L23)</f>
        <v>192.00000000000006</v>
      </c>
      <c r="M24" s="300"/>
      <c r="N24" s="300"/>
      <c r="O24" s="292"/>
      <c r="P24" s="292"/>
      <c r="Q24" s="292"/>
      <c r="R24" s="292"/>
    </row>
    <row r="25" spans="1:18">
      <c r="A25" s="459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923</v>
      </c>
      <c r="H25" s="296">
        <f t="shared" ref="H25:H37" si="6">F25*G25</f>
        <v>13872.689999999999</v>
      </c>
      <c r="I25" s="417"/>
      <c r="J25" s="297">
        <v>4</v>
      </c>
      <c r="K25" s="298">
        <f t="shared" ref="K25:K28" si="7">G25/P25*60</f>
        <v>2914.7368421052611</v>
      </c>
      <c r="L25" s="299">
        <f t="shared" ref="L25:L28" si="8">K25/J25</f>
        <v>728.68421052631527</v>
      </c>
      <c r="M25" s="300">
        <v>0.18055555555555555</v>
      </c>
      <c r="N25" s="300">
        <v>0.19375000000000001</v>
      </c>
      <c r="O25" s="292">
        <v>20</v>
      </c>
      <c r="P25" s="411">
        <f t="shared" ref="P25:P28" si="9">(N25-M25)*24*60</f>
        <v>19.000000000000014</v>
      </c>
      <c r="Q25" s="301"/>
      <c r="R25" s="301"/>
    </row>
    <row r="26" spans="1:18">
      <c r="A26" s="459"/>
      <c r="B26" s="293" t="s">
        <v>131</v>
      </c>
      <c r="C26" s="314"/>
      <c r="D26" s="312" t="s">
        <v>107</v>
      </c>
      <c r="E26" s="317"/>
      <c r="F26" s="295">
        <v>18.18</v>
      </c>
      <c r="G26" s="416">
        <v>2655</v>
      </c>
      <c r="H26" s="296">
        <f t="shared" si="6"/>
        <v>48267.9</v>
      </c>
      <c r="I26" s="417"/>
      <c r="J26" s="297">
        <v>4</v>
      </c>
      <c r="K26" s="298">
        <f t="shared" si="7"/>
        <v>2844.6428571428569</v>
      </c>
      <c r="L26" s="299">
        <f t="shared" si="8"/>
        <v>711.16071428571422</v>
      </c>
      <c r="M26" s="300">
        <v>0.2076388888888889</v>
      </c>
      <c r="N26" s="300">
        <v>0.24652777777777779</v>
      </c>
      <c r="O26" s="292">
        <v>20</v>
      </c>
      <c r="P26" s="411">
        <f t="shared" si="9"/>
        <v>56</v>
      </c>
      <c r="Q26" s="301"/>
      <c r="R26" s="301"/>
    </row>
    <row r="27" spans="1:18">
      <c r="A27" s="459"/>
      <c r="B27" s="293" t="s">
        <v>131</v>
      </c>
      <c r="C27" s="314"/>
      <c r="D27" s="316" t="s">
        <v>109</v>
      </c>
      <c r="E27" s="317"/>
      <c r="F27" s="295">
        <v>18.53</v>
      </c>
      <c r="G27" s="416">
        <v>1561</v>
      </c>
      <c r="H27" s="296">
        <f t="shared" si="6"/>
        <v>28925.33</v>
      </c>
      <c r="I27" s="417"/>
      <c r="J27" s="297">
        <v>3</v>
      </c>
      <c r="K27" s="298">
        <f t="shared" si="7"/>
        <v>2601.6666666666702</v>
      </c>
      <c r="L27" s="299">
        <f t="shared" si="8"/>
        <v>867.22222222222342</v>
      </c>
      <c r="M27" s="300">
        <v>0.26041666666666669</v>
      </c>
      <c r="N27" s="300">
        <v>0.28541666666666665</v>
      </c>
      <c r="O27" s="292">
        <v>20</v>
      </c>
      <c r="P27" s="411">
        <f t="shared" si="9"/>
        <v>35.99999999999995</v>
      </c>
      <c r="Q27" s="301"/>
      <c r="R27" s="301"/>
    </row>
    <row r="28" spans="1:18">
      <c r="A28" s="459"/>
      <c r="B28" s="293" t="s">
        <v>131</v>
      </c>
      <c r="C28" s="416"/>
      <c r="D28" s="312" t="s">
        <v>776</v>
      </c>
      <c r="E28" s="317"/>
      <c r="F28" s="295">
        <v>24.93</v>
      </c>
      <c r="G28" s="416">
        <v>2943</v>
      </c>
      <c r="H28" s="296">
        <f t="shared" si="6"/>
        <v>73368.990000000005</v>
      </c>
      <c r="I28" s="417"/>
      <c r="J28" s="297">
        <v>3</v>
      </c>
      <c r="K28" s="298">
        <f t="shared" si="7"/>
        <v>3044.4827586206879</v>
      </c>
      <c r="L28" s="299">
        <f t="shared" si="8"/>
        <v>1014.8275862068959</v>
      </c>
      <c r="M28" s="300">
        <v>0.29930555555555555</v>
      </c>
      <c r="N28" s="300">
        <v>0.33958333333333335</v>
      </c>
      <c r="O28" s="292">
        <v>20</v>
      </c>
      <c r="P28" s="411">
        <f t="shared" si="9"/>
        <v>58.000000000000036</v>
      </c>
      <c r="Q28" s="301"/>
      <c r="R28" s="301"/>
    </row>
    <row r="29" spans="1:18">
      <c r="A29" s="459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59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59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59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59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59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59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59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59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460"/>
      <c r="B38" s="293">
        <v>0</v>
      </c>
      <c r="C38" s="6" t="s">
        <v>27</v>
      </c>
      <c r="D38" s="450" t="s">
        <v>108</v>
      </c>
      <c r="E38" s="450"/>
      <c r="F38" s="304"/>
      <c r="G38" s="320"/>
      <c r="H38" s="306"/>
      <c r="I38" s="307"/>
      <c r="J38" s="308">
        <f>AVERAGE(J25:J37)</f>
        <v>3.5</v>
      </c>
      <c r="K38" s="308">
        <f>AVERAGE(K25:K37)</f>
        <v>2851.3822811338691</v>
      </c>
      <c r="L38" s="309">
        <f>AVERAGE(L25:L37)</f>
        <v>830.47368331028724</v>
      </c>
      <c r="M38" s="300"/>
      <c r="N38" s="300"/>
      <c r="O38" s="298"/>
      <c r="P38" s="298"/>
      <c r="Q38" s="299"/>
      <c r="R38" s="299"/>
    </row>
    <row r="39" spans="1:18" ht="16.2" customHeight="1">
      <c r="A39" s="461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62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62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62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62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62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62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62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62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63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63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63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64"/>
      <c r="B51" s="293">
        <v>0</v>
      </c>
      <c r="C51" s="6" t="s">
        <v>28</v>
      </c>
      <c r="D51" s="455" t="s">
        <v>655</v>
      </c>
      <c r="E51" s="455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5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849</v>
      </c>
      <c r="H52" s="296">
        <f>F52*G52</f>
        <v>15434.82</v>
      </c>
      <c r="I52" s="417"/>
      <c r="J52" s="297">
        <v>3</v>
      </c>
      <c r="K52" s="298">
        <f>G52/P52*60</f>
        <v>3395.9999999999941</v>
      </c>
      <c r="L52" s="299">
        <f>K52/J52</f>
        <v>1131.999999999998</v>
      </c>
      <c r="M52" s="300">
        <v>0.2986111111111111</v>
      </c>
      <c r="N52" s="300">
        <v>0.30902777777777779</v>
      </c>
      <c r="O52" s="298">
        <v>10</v>
      </c>
      <c r="P52" s="411">
        <f>(N52-M52)*24*60</f>
        <v>15.000000000000027</v>
      </c>
      <c r="Q52" s="301"/>
      <c r="R52" s="301"/>
    </row>
    <row r="53" spans="1:18" ht="15.6" customHeight="1">
      <c r="A53" s="466"/>
      <c r="B53" s="293" t="s">
        <v>131</v>
      </c>
      <c r="C53" s="416"/>
      <c r="D53" s="315" t="s">
        <v>110</v>
      </c>
      <c r="E53" s="331"/>
      <c r="F53" s="295">
        <v>25.03</v>
      </c>
      <c r="G53" s="302">
        <v>551</v>
      </c>
      <c r="H53" s="296">
        <f t="shared" ref="H53:H116" si="11">F53*G53</f>
        <v>13791.53</v>
      </c>
      <c r="I53" s="417"/>
      <c r="J53" s="297">
        <v>4</v>
      </c>
      <c r="K53" s="298">
        <f t="shared" ref="K53:K57" si="12">G53/P53*60</f>
        <v>3306.0000000000118</v>
      </c>
      <c r="L53" s="299">
        <f t="shared" ref="L53:L57" si="13">K53/J53</f>
        <v>826.50000000000296</v>
      </c>
      <c r="M53" s="300">
        <v>0.32291666666666669</v>
      </c>
      <c r="N53" s="300">
        <v>0.3298611111111111</v>
      </c>
      <c r="O53" s="298">
        <v>20</v>
      </c>
      <c r="P53" s="411">
        <f t="shared" ref="P53:P57" si="14">(N53-M53)*24*60</f>
        <v>9.9999999999999645</v>
      </c>
      <c r="Q53" s="301"/>
      <c r="R53" s="301"/>
    </row>
    <row r="54" spans="1:18" ht="15.6" customHeight="1">
      <c r="A54" s="466"/>
      <c r="B54" s="293" t="s">
        <v>131</v>
      </c>
      <c r="C54" s="416"/>
      <c r="D54" s="315" t="s">
        <v>111</v>
      </c>
      <c r="E54" s="413"/>
      <c r="F54" s="295">
        <v>24.82</v>
      </c>
      <c r="G54" s="302">
        <v>782</v>
      </c>
      <c r="H54" s="296">
        <f t="shared" si="11"/>
        <v>19409.240000000002</v>
      </c>
      <c r="I54" s="417"/>
      <c r="J54" s="297">
        <v>4</v>
      </c>
      <c r="K54" s="298">
        <f t="shared" si="12"/>
        <v>3351.4285714285834</v>
      </c>
      <c r="L54" s="299">
        <f t="shared" si="13"/>
        <v>837.85714285714585</v>
      </c>
      <c r="M54" s="300">
        <v>0.34375</v>
      </c>
      <c r="N54" s="300">
        <v>0.35347222222222219</v>
      </c>
      <c r="O54" s="298">
        <v>20</v>
      </c>
      <c r="P54" s="411">
        <f t="shared" si="14"/>
        <v>13.99999999999995</v>
      </c>
      <c r="Q54" s="301"/>
      <c r="R54" s="301"/>
    </row>
    <row r="55" spans="1:18" ht="15.6" customHeight="1">
      <c r="A55" s="466"/>
      <c r="B55" s="293" t="s">
        <v>131</v>
      </c>
      <c r="C55" s="416"/>
      <c r="D55" s="315" t="s">
        <v>112</v>
      </c>
      <c r="E55" s="317"/>
      <c r="F55" s="295">
        <v>30</v>
      </c>
      <c r="G55" s="302">
        <v>1118</v>
      </c>
      <c r="H55" s="296">
        <f t="shared" si="11"/>
        <v>33540</v>
      </c>
      <c r="I55" s="417"/>
      <c r="J55" s="297">
        <v>4</v>
      </c>
      <c r="K55" s="298">
        <f t="shared" si="12"/>
        <v>3353.999999999985</v>
      </c>
      <c r="L55" s="299">
        <f t="shared" si="13"/>
        <v>838.49999999999625</v>
      </c>
      <c r="M55" s="300">
        <v>0.36736111111111108</v>
      </c>
      <c r="N55" s="300">
        <v>0.38125000000000003</v>
      </c>
      <c r="O55" s="298">
        <v>20</v>
      </c>
      <c r="P55" s="411">
        <f t="shared" si="14"/>
        <v>20.000000000000089</v>
      </c>
      <c r="Q55" s="301">
        <v>0.38125000000000003</v>
      </c>
      <c r="R55" s="301">
        <v>0.42291666666666666</v>
      </c>
    </row>
    <row r="56" spans="1:18" ht="15.6" customHeight="1">
      <c r="A56" s="466"/>
      <c r="B56" s="293" t="s">
        <v>131</v>
      </c>
      <c r="C56" s="416"/>
      <c r="D56" s="316" t="s">
        <v>779</v>
      </c>
      <c r="E56" s="317"/>
      <c r="F56" s="295">
        <v>23.72</v>
      </c>
      <c r="G56" s="302">
        <v>834</v>
      </c>
      <c r="H56" s="296">
        <f t="shared" si="11"/>
        <v>19782.48</v>
      </c>
      <c r="I56" s="417"/>
      <c r="J56" s="297">
        <v>4</v>
      </c>
      <c r="K56" s="298">
        <f t="shared" si="12"/>
        <v>3127.49999999998</v>
      </c>
      <c r="L56" s="299">
        <f t="shared" si="13"/>
        <v>781.874999999995</v>
      </c>
      <c r="M56" s="300">
        <v>0.4368055555555555</v>
      </c>
      <c r="N56" s="300">
        <v>0.44791666666666669</v>
      </c>
      <c r="O56" s="298">
        <v>20</v>
      </c>
      <c r="P56" s="411">
        <f t="shared" si="14"/>
        <v>16.000000000000103</v>
      </c>
      <c r="Q56" s="301"/>
      <c r="R56" s="301"/>
    </row>
    <row r="57" spans="1:18" ht="15.75" customHeight="1">
      <c r="A57" s="466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2096</v>
      </c>
      <c r="H57" s="296">
        <f t="shared" si="11"/>
        <v>35778.720000000001</v>
      </c>
      <c r="I57" s="417"/>
      <c r="J57" s="297">
        <v>3</v>
      </c>
      <c r="K57" s="298">
        <f t="shared" si="12"/>
        <v>3224.6153846153893</v>
      </c>
      <c r="L57" s="299">
        <f t="shared" si="13"/>
        <v>1074.8717948717965</v>
      </c>
      <c r="M57" s="300">
        <v>0.46180555555555558</v>
      </c>
      <c r="N57" s="300">
        <v>0.48888888888888887</v>
      </c>
      <c r="O57" s="298">
        <v>20</v>
      </c>
      <c r="P57" s="411">
        <f t="shared" si="14"/>
        <v>38.999999999999943</v>
      </c>
      <c r="Q57" s="301"/>
      <c r="R57" s="301"/>
    </row>
    <row r="58" spans="1:18" ht="15.6" customHeight="1">
      <c r="A58" s="46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7"/>
      <c r="B64" s="293">
        <v>0</v>
      </c>
      <c r="C64" s="6" t="s">
        <v>781</v>
      </c>
      <c r="D64" s="455" t="s">
        <v>655</v>
      </c>
      <c r="E64" s="455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3293.2573260073241</v>
      </c>
      <c r="L64" s="309">
        <f>AVERAGE(L52:L63)</f>
        <v>915.26732295482236</v>
      </c>
      <c r="M64" s="300"/>
      <c r="N64" s="300"/>
      <c r="O64" s="292"/>
      <c r="P64" s="292"/>
      <c r="Q64" s="292"/>
      <c r="R64" s="292"/>
    </row>
    <row r="65" spans="1:18" ht="15.6" customHeight="1">
      <c r="A65" s="452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555</v>
      </c>
      <c r="H65" s="296">
        <f>F65*G65</f>
        <v>12366.40909090909</v>
      </c>
      <c r="I65" s="417"/>
      <c r="J65" s="297">
        <v>4</v>
      </c>
      <c r="K65" s="298">
        <f t="shared" ref="K65:K72" si="15">G65/P65*60</f>
        <v>3329.9999999999986</v>
      </c>
      <c r="L65" s="299">
        <f t="shared" ref="L65:L72" si="16">K65/J65</f>
        <v>832.49999999999966</v>
      </c>
      <c r="M65" s="300">
        <v>0.18055555555555555</v>
      </c>
      <c r="N65" s="300">
        <v>0.1875</v>
      </c>
      <c r="O65" s="298">
        <v>20</v>
      </c>
      <c r="P65" s="411">
        <f>(N65-M65)*24*60</f>
        <v>10.000000000000004</v>
      </c>
      <c r="Q65" s="301"/>
      <c r="R65" s="301"/>
    </row>
    <row r="66" spans="1:18" ht="15.6" customHeight="1">
      <c r="A66" s="453"/>
      <c r="B66" s="293" t="s">
        <v>131</v>
      </c>
      <c r="C66" s="416"/>
      <c r="D66" s="316" t="s">
        <v>115</v>
      </c>
      <c r="E66" s="331"/>
      <c r="F66" s="295">
        <v>18.18</v>
      </c>
      <c r="G66" s="302">
        <v>1285</v>
      </c>
      <c r="H66" s="296">
        <f t="shared" ref="H66:H74" si="17">F66*G66</f>
        <v>23361.3</v>
      </c>
      <c r="I66" s="417"/>
      <c r="J66" s="297">
        <v>3</v>
      </c>
      <c r="K66" s="298">
        <f t="shared" si="15"/>
        <v>3212.499999999995</v>
      </c>
      <c r="L66" s="299">
        <f t="shared" si="16"/>
        <v>1070.8333333333317</v>
      </c>
      <c r="M66" s="300">
        <v>0.20138888888888887</v>
      </c>
      <c r="N66" s="300">
        <v>0.21805555555555556</v>
      </c>
      <c r="O66" s="298">
        <v>20</v>
      </c>
      <c r="P66" s="411">
        <f t="shared" ref="P66:P72" si="18">(N66-M66)*24*60</f>
        <v>24.000000000000036</v>
      </c>
      <c r="Q66" s="301"/>
      <c r="R66" s="301"/>
    </row>
    <row r="67" spans="1:18" ht="15.6" customHeight="1">
      <c r="A67" s="453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1462</v>
      </c>
      <c r="H67" s="296">
        <f t="shared" si="17"/>
        <v>26156.50909090909</v>
      </c>
      <c r="I67" s="417"/>
      <c r="J67" s="297">
        <v>3</v>
      </c>
      <c r="K67" s="298">
        <f t="shared" si="15"/>
        <v>3248.888888888886</v>
      </c>
      <c r="L67" s="299">
        <f t="shared" si="16"/>
        <v>1082.9629629629619</v>
      </c>
      <c r="M67" s="300">
        <v>0.23194444444444443</v>
      </c>
      <c r="N67" s="300">
        <v>0.25069444444444444</v>
      </c>
      <c r="O67" s="298">
        <v>20</v>
      </c>
      <c r="P67" s="411">
        <f t="shared" si="18"/>
        <v>27.000000000000025</v>
      </c>
      <c r="Q67" s="301">
        <v>0.25069444444444444</v>
      </c>
      <c r="R67" s="301">
        <v>0.29236111111111113</v>
      </c>
    </row>
    <row r="68" spans="1:18" ht="15.6" customHeight="1">
      <c r="A68" s="453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3817</v>
      </c>
      <c r="H68" s="296">
        <f t="shared" si="17"/>
        <v>54528.57142857142</v>
      </c>
      <c r="I68" s="417"/>
      <c r="J68" s="297">
        <v>3</v>
      </c>
      <c r="K68" s="298">
        <f t="shared" si="15"/>
        <v>3225.6338028168984</v>
      </c>
      <c r="L68" s="299">
        <f t="shared" si="16"/>
        <v>1075.2112676056329</v>
      </c>
      <c r="M68" s="300">
        <v>0.30624999999999997</v>
      </c>
      <c r="N68" s="300">
        <v>0.35555555555555557</v>
      </c>
      <c r="O68" s="298">
        <v>20</v>
      </c>
      <c r="P68" s="411">
        <f t="shared" si="18"/>
        <v>71.000000000000071</v>
      </c>
      <c r="Q68" s="301"/>
      <c r="R68" s="301"/>
    </row>
    <row r="69" spans="1:18" ht="15.6" customHeight="1">
      <c r="A69" s="453"/>
      <c r="B69" s="293" t="s">
        <v>131</v>
      </c>
      <c r="C69" s="416"/>
      <c r="D69" s="316" t="s">
        <v>785</v>
      </c>
      <c r="E69" s="317"/>
      <c r="F69" s="295">
        <v>16.66</v>
      </c>
      <c r="G69" s="302">
        <v>2530</v>
      </c>
      <c r="H69" s="296">
        <f t="shared" si="17"/>
        <v>42149.8</v>
      </c>
      <c r="I69" s="417"/>
      <c r="J69" s="297">
        <v>4</v>
      </c>
      <c r="K69" s="298">
        <f t="shared" si="15"/>
        <v>3229.7872340425538</v>
      </c>
      <c r="L69" s="299">
        <f t="shared" si="16"/>
        <v>807.44680851063845</v>
      </c>
      <c r="M69" s="300">
        <v>0.36944444444444446</v>
      </c>
      <c r="N69" s="300">
        <v>0.40208333333333335</v>
      </c>
      <c r="O69" s="298">
        <v>20</v>
      </c>
      <c r="P69" s="411">
        <f t="shared" si="18"/>
        <v>46.999999999999993</v>
      </c>
      <c r="Q69" s="301"/>
      <c r="R69" s="301"/>
    </row>
    <row r="70" spans="1:18" ht="15.75" customHeight="1">
      <c r="A70" s="453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2583</v>
      </c>
      <c r="H70" s="296">
        <f t="shared" si="17"/>
        <v>36239.49</v>
      </c>
      <c r="I70" s="417"/>
      <c r="J70" s="297">
        <v>3</v>
      </c>
      <c r="K70" s="298">
        <f t="shared" si="15"/>
        <v>3228.7499999999955</v>
      </c>
      <c r="L70" s="299">
        <f t="shared" si="16"/>
        <v>1076.2499999999984</v>
      </c>
      <c r="M70" s="300">
        <v>0.41597222222222219</v>
      </c>
      <c r="N70" s="300">
        <v>0.44930555555555557</v>
      </c>
      <c r="O70" s="298">
        <v>20</v>
      </c>
      <c r="P70" s="411">
        <f t="shared" si="18"/>
        <v>48.000000000000071</v>
      </c>
      <c r="Q70" s="301"/>
      <c r="R70" s="301"/>
    </row>
    <row r="71" spans="1:18" ht="15.6" customHeight="1">
      <c r="A71" s="453"/>
      <c r="B71" s="293" t="s">
        <v>131</v>
      </c>
      <c r="C71" s="314"/>
      <c r="D71" s="332" t="s">
        <v>786</v>
      </c>
      <c r="E71" s="317"/>
      <c r="F71" s="295">
        <v>25.2</v>
      </c>
      <c r="G71" s="334">
        <v>878</v>
      </c>
      <c r="H71" s="296">
        <f t="shared" si="17"/>
        <v>22125.599999999999</v>
      </c>
      <c r="I71" s="417"/>
      <c r="J71" s="297">
        <v>3</v>
      </c>
      <c r="K71" s="298">
        <f t="shared" si="15"/>
        <v>3292.5000000000114</v>
      </c>
      <c r="L71" s="299">
        <f t="shared" si="16"/>
        <v>1097.5000000000039</v>
      </c>
      <c r="M71" s="300">
        <v>0.46319444444444446</v>
      </c>
      <c r="N71" s="300">
        <v>0.47430555555555554</v>
      </c>
      <c r="O71" s="298">
        <v>20</v>
      </c>
      <c r="P71" s="411">
        <f t="shared" si="18"/>
        <v>15.999999999999943</v>
      </c>
      <c r="Q71" s="301"/>
      <c r="R71" s="301"/>
    </row>
    <row r="72" spans="1:18" ht="15.6" customHeight="1">
      <c r="A72" s="453"/>
      <c r="B72" s="293" t="s">
        <v>131</v>
      </c>
      <c r="C72" s="416"/>
      <c r="D72" s="332" t="s">
        <v>787</v>
      </c>
      <c r="E72" s="317"/>
      <c r="F72" s="295">
        <v>20.72</v>
      </c>
      <c r="G72" s="302">
        <v>2142</v>
      </c>
      <c r="H72" s="296">
        <f t="shared" si="17"/>
        <v>44382.239999999998</v>
      </c>
      <c r="I72" s="417"/>
      <c r="J72" s="297">
        <v>3</v>
      </c>
      <c r="K72" s="298">
        <f t="shared" si="15"/>
        <v>3213.000000000005</v>
      </c>
      <c r="L72" s="299">
        <f t="shared" si="16"/>
        <v>1071.0000000000016</v>
      </c>
      <c r="M72" s="300">
        <v>0.48819444444444443</v>
      </c>
      <c r="N72" s="300">
        <v>0.51597222222222217</v>
      </c>
      <c r="O72" s="298">
        <v>20</v>
      </c>
      <c r="P72" s="411">
        <f t="shared" si="18"/>
        <v>39.999999999999936</v>
      </c>
      <c r="Q72" s="301"/>
      <c r="R72" s="301"/>
    </row>
    <row r="73" spans="1:18" ht="15.6" customHeight="1">
      <c r="A73" s="453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53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54"/>
      <c r="B75" s="293">
        <v>0</v>
      </c>
      <c r="C75" s="6" t="s">
        <v>788</v>
      </c>
      <c r="D75" s="455" t="s">
        <v>655</v>
      </c>
      <c r="E75" s="455"/>
      <c r="F75" s="304"/>
      <c r="G75" s="309"/>
      <c r="H75" s="327"/>
      <c r="I75" s="328"/>
      <c r="J75" s="308">
        <f>AVERAGE(J65:J74)</f>
        <v>3.25</v>
      </c>
      <c r="K75" s="308">
        <f>AVERAGE(K65:K74)</f>
        <v>3247.6324907185426</v>
      </c>
      <c r="L75" s="309">
        <f>AVERAGE(L65:L74)</f>
        <v>1014.213046551571</v>
      </c>
      <c r="M75" s="300"/>
      <c r="N75" s="300"/>
      <c r="O75" s="292"/>
      <c r="P75" s="292"/>
      <c r="Q75" s="292"/>
      <c r="R75" s="292"/>
    </row>
    <row r="76" spans="1:18" ht="16.2" customHeight="1">
      <c r="A76" s="456" t="s">
        <v>117</v>
      </c>
      <c r="B76" s="293">
        <v>0</v>
      </c>
      <c r="C76" s="293"/>
      <c r="D76" s="457"/>
      <c r="E76" s="458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56"/>
      <c r="B77" s="293">
        <v>0</v>
      </c>
      <c r="C77" s="293"/>
      <c r="D77" s="457"/>
      <c r="E77" s="458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56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56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56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56"/>
      <c r="B81" s="293">
        <v>0</v>
      </c>
      <c r="C81" s="6" t="s">
        <v>31</v>
      </c>
      <c r="D81" s="450" t="s">
        <v>655</v>
      </c>
      <c r="E81" s="450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41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929</v>
      </c>
      <c r="H82" s="341">
        <f t="shared" ref="H82:H90" si="19">F82*G82</f>
        <v>15997.38</v>
      </c>
      <c r="I82" s="417"/>
      <c r="J82" s="297">
        <v>3</v>
      </c>
      <c r="K82" s="298">
        <f t="shared" ref="K82" si="20">G82/P82*60</f>
        <v>2786.9999999999877</v>
      </c>
      <c r="L82" s="299">
        <f t="shared" ref="L82" si="21">K82/J82</f>
        <v>928.99999999999591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42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42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42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42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42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42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42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42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442"/>
      <c r="B91" s="293">
        <v>0</v>
      </c>
      <c r="C91" s="6" t="s">
        <v>774</v>
      </c>
      <c r="D91" s="443" t="s">
        <v>655</v>
      </c>
      <c r="E91" s="443"/>
      <c r="F91" s="304"/>
      <c r="G91" s="344"/>
      <c r="H91" s="345"/>
      <c r="I91" s="307"/>
      <c r="J91" s="308">
        <f>AVERAGE(J82:J90)</f>
        <v>3</v>
      </c>
      <c r="K91" s="308">
        <f>AVERAGE(K82:K90)</f>
        <v>2786.9999999999877</v>
      </c>
      <c r="L91" s="309">
        <f>AVERAGE(L82:L90)</f>
        <v>928.99999999999591</v>
      </c>
      <c r="M91" s="300"/>
      <c r="N91" s="300"/>
      <c r="O91" s="298"/>
      <c r="P91" s="298"/>
      <c r="Q91" s="299"/>
      <c r="R91" s="299"/>
    </row>
    <row r="92" spans="1:18" ht="16.2" customHeight="1">
      <c r="A92" s="444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1452</v>
      </c>
      <c r="H92" s="296">
        <f t="shared" ref="H92:H99" si="23">F92*G92</f>
        <v>35632.080000000002</v>
      </c>
      <c r="I92" s="417"/>
      <c r="J92" s="297">
        <v>3</v>
      </c>
      <c r="K92" s="298">
        <f>G92/P92*60</f>
        <v>2177.9999999999995</v>
      </c>
      <c r="L92" s="299">
        <f t="shared" ref="L92:L93" si="24">K92/J92</f>
        <v>725.99999999999989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5"/>
      <c r="B93" s="293" t="s">
        <v>131</v>
      </c>
      <c r="C93" s="293"/>
      <c r="D93" s="315" t="s">
        <v>793</v>
      </c>
      <c r="E93" s="335"/>
      <c r="F93" s="295">
        <v>23.27</v>
      </c>
      <c r="G93" s="302">
        <v>1099</v>
      </c>
      <c r="H93" s="296">
        <f t="shared" si="23"/>
        <v>25573.73</v>
      </c>
      <c r="I93" s="417"/>
      <c r="J93" s="297">
        <v>4</v>
      </c>
      <c r="K93" s="298">
        <f t="shared" ref="K93" si="25">G93/P93*60</f>
        <v>2197.9999999999964</v>
      </c>
      <c r="L93" s="299">
        <f t="shared" si="24"/>
        <v>549.49999999999909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5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6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6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6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6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6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6"/>
      <c r="B100" s="293">
        <v>0</v>
      </c>
      <c r="C100" s="6" t="s">
        <v>794</v>
      </c>
      <c r="D100" s="447" t="s">
        <v>655</v>
      </c>
      <c r="E100" s="448"/>
      <c r="F100" s="304"/>
      <c r="G100" s="305"/>
      <c r="H100" s="347"/>
      <c r="I100" s="307"/>
      <c r="J100" s="308">
        <f>AVERAGE(J92:J99)</f>
        <v>3.5</v>
      </c>
      <c r="K100" s="308">
        <f>AVERAGE(K92:K99)</f>
        <v>2187.9999999999982</v>
      </c>
      <c r="L100" s="309">
        <f>AVERAGE(L92:L99)</f>
        <v>637.74999999999955</v>
      </c>
      <c r="M100" s="300"/>
      <c r="N100" s="300"/>
      <c r="O100" s="298"/>
      <c r="P100" s="298"/>
      <c r="Q100" s="299"/>
      <c r="R100" s="299"/>
    </row>
    <row r="101" spans="1:18" ht="16.2" customHeight="1">
      <c r="A101" s="449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1105</v>
      </c>
      <c r="H101" s="296">
        <f t="shared" ref="H101:H110" si="26">F101*G101</f>
        <v>27658.15</v>
      </c>
      <c r="I101" s="417"/>
      <c r="J101" s="297">
        <v>4</v>
      </c>
      <c r="K101" s="298">
        <f>G101/P101*60</f>
        <v>2651.9999999999927</v>
      </c>
      <c r="L101" s="299">
        <f t="shared" ref="L101:L105" si="27">K101/J101</f>
        <v>662.99999999999818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9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1718</v>
      </c>
      <c r="H102" s="296">
        <f t="shared" si="26"/>
        <v>42640.76</v>
      </c>
      <c r="I102" s="417"/>
      <c r="J102" s="297">
        <v>4</v>
      </c>
      <c r="K102" s="298">
        <f t="shared" ref="K102:K105" si="29">G102/P102*60</f>
        <v>2945.1428571428542</v>
      </c>
      <c r="L102" s="299">
        <f t="shared" si="27"/>
        <v>736.28571428571354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449"/>
      <c r="B103" s="293" t="s">
        <v>131</v>
      </c>
      <c r="C103" s="6"/>
      <c r="D103" s="315" t="s">
        <v>796</v>
      </c>
      <c r="E103" s="315"/>
      <c r="F103" s="295">
        <v>30</v>
      </c>
      <c r="G103" s="416">
        <v>1922</v>
      </c>
      <c r="H103" s="296">
        <f t="shared" si="26"/>
        <v>57660</v>
      </c>
      <c r="I103" s="417"/>
      <c r="J103" s="297">
        <v>3</v>
      </c>
      <c r="K103" s="298">
        <f t="shared" si="29"/>
        <v>2882.9999999999873</v>
      </c>
      <c r="L103" s="299">
        <f t="shared" si="27"/>
        <v>960.99999999999579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449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3139</v>
      </c>
      <c r="H104" s="296">
        <f t="shared" si="26"/>
        <v>89681.23</v>
      </c>
      <c r="I104" s="417"/>
      <c r="J104" s="297">
        <v>3</v>
      </c>
      <c r="K104" s="298">
        <f t="shared" si="29"/>
        <v>3139.0000000000032</v>
      </c>
      <c r="L104" s="299">
        <f t="shared" si="27"/>
        <v>1046.3333333333344</v>
      </c>
      <c r="M104" s="300">
        <v>0.83333333333333337</v>
      </c>
      <c r="N104" s="300">
        <v>0.875</v>
      </c>
      <c r="O104" s="292">
        <v>20</v>
      </c>
      <c r="P104" s="298">
        <f>(N104-M104)*24*60</f>
        <v>59.999999999999943</v>
      </c>
      <c r="Q104" s="301">
        <v>0.875</v>
      </c>
      <c r="R104" s="301">
        <v>0.91666666666666663</v>
      </c>
    </row>
    <row r="105" spans="1:18">
      <c r="A105" s="449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8893</v>
      </c>
      <c r="H105" s="296">
        <f t="shared" si="26"/>
        <v>127042.85714285712</v>
      </c>
      <c r="I105" s="417"/>
      <c r="J105" s="297">
        <v>3</v>
      </c>
      <c r="K105" s="298">
        <f t="shared" si="29"/>
        <v>2964.3333333333335</v>
      </c>
      <c r="L105" s="299">
        <f t="shared" si="27"/>
        <v>988.1111111111112</v>
      </c>
      <c r="M105" s="300">
        <v>46179.930555555555</v>
      </c>
      <c r="N105" s="300">
        <v>46180.055555555555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449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9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9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9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9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9"/>
      <c r="B111" s="293">
        <v>0</v>
      </c>
      <c r="C111" s="6" t="s">
        <v>781</v>
      </c>
      <c r="D111" s="450" t="s">
        <v>655</v>
      </c>
      <c r="E111" s="451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2916.6952380952343</v>
      </c>
      <c r="L111" s="309">
        <f>AVERAGE(L101:L110)</f>
        <v>878.94603174603049</v>
      </c>
      <c r="M111" s="300"/>
      <c r="N111" s="300"/>
      <c r="O111" s="298"/>
      <c r="P111" s="298"/>
      <c r="Q111" s="299"/>
      <c r="R111" s="292"/>
    </row>
    <row r="112" spans="1:18" ht="16.2" customHeight="1">
      <c r="A112" s="439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1546</v>
      </c>
      <c r="H112" s="341">
        <f t="shared" si="11"/>
        <v>25818.199999999997</v>
      </c>
      <c r="I112" s="417"/>
      <c r="J112" s="297">
        <v>3</v>
      </c>
      <c r="K112" s="298">
        <f t="shared" ref="K112:K118" si="30">G112/P112*60</f>
        <v>3092.0000000000109</v>
      </c>
      <c r="L112" s="299">
        <f t="shared" ref="L112:L118" si="31">K112/J112</f>
        <v>1030.6666666666704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39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1002</v>
      </c>
      <c r="H113" s="341">
        <f t="shared" si="11"/>
        <v>18216.36</v>
      </c>
      <c r="I113" s="417"/>
      <c r="J113" s="297">
        <v>4</v>
      </c>
      <c r="K113" s="298">
        <f t="shared" si="30"/>
        <v>3006.0000000000109</v>
      </c>
      <c r="L113" s="299">
        <f t="shared" si="31"/>
        <v>751.50000000000273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439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1109</v>
      </c>
      <c r="H114" s="341">
        <f t="shared" si="11"/>
        <v>20161.62</v>
      </c>
      <c r="I114" s="417"/>
      <c r="J114" s="297">
        <v>3</v>
      </c>
      <c r="K114" s="298">
        <f t="shared" si="30"/>
        <v>3326.9999999999854</v>
      </c>
      <c r="L114" s="299">
        <f t="shared" si="31"/>
        <v>1108.9999999999952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439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5878</v>
      </c>
      <c r="H115" s="341">
        <f t="shared" si="11"/>
        <v>97927.48</v>
      </c>
      <c r="I115" s="417"/>
      <c r="J115" s="297">
        <v>4</v>
      </c>
      <c r="K115" s="298">
        <f t="shared" si="30"/>
        <v>2938.9999999999986</v>
      </c>
      <c r="L115" s="299">
        <f t="shared" si="31"/>
        <v>734.74999999999966</v>
      </c>
      <c r="M115" s="300">
        <v>0.8125</v>
      </c>
      <c r="N115" s="300">
        <v>0.89583333333333337</v>
      </c>
      <c r="O115" s="292">
        <v>20</v>
      </c>
      <c r="P115" s="411">
        <f t="shared" si="32"/>
        <v>120.00000000000006</v>
      </c>
      <c r="Q115" s="301"/>
      <c r="R115" s="301"/>
    </row>
    <row r="116" spans="1:18">
      <c r="A116" s="439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1084</v>
      </c>
      <c r="H116" s="341">
        <f t="shared" si="11"/>
        <v>24153.49090909091</v>
      </c>
      <c r="I116" s="417"/>
      <c r="J116" s="297">
        <v>4</v>
      </c>
      <c r="K116" s="298">
        <f t="shared" si="30"/>
        <v>3251.9999999999854</v>
      </c>
      <c r="L116" s="299">
        <f t="shared" si="31"/>
        <v>812.99999999999636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439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3880</v>
      </c>
      <c r="H117" s="341">
        <f t="shared" ref="H117:H123" si="33">F117*G117</f>
        <v>69416.727272727265</v>
      </c>
      <c r="I117" s="417"/>
      <c r="J117" s="297">
        <v>3</v>
      </c>
      <c r="K117" s="298">
        <f t="shared" si="30"/>
        <v>2910.0000000423461</v>
      </c>
      <c r="L117" s="299">
        <f t="shared" si="31"/>
        <v>970.00000001411536</v>
      </c>
      <c r="M117" s="300">
        <v>46179.979166666664</v>
      </c>
      <c r="N117" s="300">
        <v>46180.034722222219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439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6418</v>
      </c>
      <c r="H118" s="341">
        <f t="shared" si="33"/>
        <v>90044.54</v>
      </c>
      <c r="I118" s="417"/>
      <c r="J118" s="297">
        <v>3</v>
      </c>
      <c r="K118" s="298">
        <f t="shared" si="30"/>
        <v>2962.1538461538457</v>
      </c>
      <c r="L118" s="299">
        <f t="shared" si="31"/>
        <v>987.38461538461524</v>
      </c>
      <c r="M118" s="300">
        <v>4.8611111111111112E-2</v>
      </c>
      <c r="N118" s="300">
        <v>0.1388888888888889</v>
      </c>
      <c r="O118" s="298">
        <v>20</v>
      </c>
      <c r="P118" s="411">
        <f t="shared" si="32"/>
        <v>130.00000000000003</v>
      </c>
      <c r="Q118" s="301"/>
      <c r="R118" s="301"/>
    </row>
    <row r="119" spans="1:18">
      <c r="A119" s="439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39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39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39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39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439"/>
      <c r="B124" s="293">
        <v>0</v>
      </c>
      <c r="C124" s="6" t="s">
        <v>788</v>
      </c>
      <c r="D124" s="440" t="s">
        <v>655</v>
      </c>
      <c r="E124" s="440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3069.7362637423116</v>
      </c>
      <c r="L124" s="309">
        <f>AVERAGE(L112:L123)</f>
        <v>913.75732600934214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23" activePane="bottomLeft" state="frozen"/>
      <selection activeCell="H102" sqref="H102"/>
      <selection pane="bottomLeft" activeCell="P53" sqref="P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625</v>
      </c>
      <c r="B1" s="28"/>
      <c r="C1" s="28"/>
      <c r="D1" s="438" t="s">
        <v>626</v>
      </c>
      <c r="E1" s="29">
        <f>SUM(G5:G173)</f>
        <v>174494.74999999997</v>
      </c>
      <c r="F1" s="422" t="s">
        <v>3</v>
      </c>
      <c r="G1" s="30">
        <f>SUM(H5:H173)</f>
        <v>6999775.6929006157</v>
      </c>
      <c r="H1" s="437" t="s">
        <v>37</v>
      </c>
      <c r="I1" s="31">
        <f>M17+M30+M43+M56+M69+M82+M95+M108+M121+M134+M147+M160+M173</f>
        <v>198.22976190476192</v>
      </c>
      <c r="J1" s="579" t="s">
        <v>38</v>
      </c>
      <c r="K1" s="579"/>
      <c r="L1" s="579"/>
      <c r="M1" s="579" t="s">
        <v>39</v>
      </c>
      <c r="N1" s="579"/>
      <c r="O1" s="579"/>
      <c r="P1" s="579" t="s">
        <v>627</v>
      </c>
      <c r="Q1" s="579"/>
      <c r="R1" s="579"/>
      <c r="S1" s="579"/>
      <c r="T1" s="579" t="s">
        <v>628</v>
      </c>
      <c r="U1" s="579"/>
      <c r="V1" s="579"/>
      <c r="W1" s="579"/>
      <c r="X1" s="579"/>
      <c r="Y1" s="579"/>
      <c r="Z1" s="32" t="s">
        <v>629</v>
      </c>
      <c r="AA1" s="32" t="s">
        <v>630</v>
      </c>
      <c r="AB1" s="595" t="s">
        <v>631</v>
      </c>
      <c r="AC1" s="596"/>
      <c r="AD1" s="32" t="s">
        <v>629</v>
      </c>
      <c r="AE1" s="32" t="s">
        <v>632</v>
      </c>
      <c r="AF1" s="579" t="s">
        <v>633</v>
      </c>
      <c r="AG1" s="580"/>
      <c r="AH1" s="580"/>
    </row>
    <row r="2" spans="1:34" ht="26.25" customHeight="1">
      <c r="A2" s="587" t="s">
        <v>683</v>
      </c>
      <c r="B2" s="587"/>
      <c r="C2" s="438"/>
      <c r="D2" s="438" t="s">
        <v>635</v>
      </c>
      <c r="E2" s="34">
        <f>AVERAGE(O17,O30,O43,O56,O69,O82,O95,O108,O121,O134,O147,O160,O173)</f>
        <v>118.11457189228966</v>
      </c>
      <c r="F2" s="35" t="s">
        <v>40</v>
      </c>
      <c r="G2" s="36">
        <f>G1/E1</f>
        <v>40.114534637292053</v>
      </c>
      <c r="H2" s="437" t="s">
        <v>41</v>
      </c>
      <c r="I2" s="437">
        <f>COUNT(I5:I173)</f>
        <v>10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580"/>
      <c r="AG2" s="580"/>
      <c r="AH2" s="580"/>
    </row>
    <row r="3" spans="1:34" ht="30.6" customHeight="1">
      <c r="A3" s="588" t="s">
        <v>636</v>
      </c>
      <c r="B3" s="588" t="s">
        <v>42</v>
      </c>
      <c r="C3" s="589"/>
      <c r="D3" s="588" t="s">
        <v>637</v>
      </c>
      <c r="E3" s="588"/>
      <c r="F3" s="589" t="s">
        <v>43</v>
      </c>
      <c r="G3" s="604" t="s">
        <v>44</v>
      </c>
      <c r="H3" s="589" t="s">
        <v>45</v>
      </c>
      <c r="I3" s="581" t="s">
        <v>638</v>
      </c>
      <c r="J3" s="582" t="s">
        <v>46</v>
      </c>
      <c r="K3" s="583" t="s">
        <v>47</v>
      </c>
      <c r="L3" s="584" t="s">
        <v>35</v>
      </c>
      <c r="M3" s="604" t="s">
        <v>46</v>
      </c>
      <c r="N3" s="583" t="s">
        <v>639</v>
      </c>
      <c r="O3" s="584" t="s">
        <v>635</v>
      </c>
      <c r="P3" s="582" t="s">
        <v>640</v>
      </c>
      <c r="Q3" s="584" t="s">
        <v>635</v>
      </c>
      <c r="R3" s="585" t="s">
        <v>641</v>
      </c>
      <c r="S3" s="586" t="s">
        <v>642</v>
      </c>
      <c r="T3" s="604" t="s">
        <v>48</v>
      </c>
      <c r="U3" s="604"/>
      <c r="V3" s="605" t="s">
        <v>49</v>
      </c>
      <c r="W3" s="581" t="s">
        <v>643</v>
      </c>
      <c r="X3" s="604" t="s">
        <v>644</v>
      </c>
      <c r="Y3" s="604"/>
      <c r="Z3" s="606" t="s">
        <v>645</v>
      </c>
      <c r="AA3" s="607"/>
      <c r="AB3" s="591" t="s">
        <v>646</v>
      </c>
      <c r="AC3" s="592"/>
      <c r="AD3" s="593" t="s">
        <v>647</v>
      </c>
      <c r="AE3" s="594"/>
      <c r="AF3" s="583" t="s">
        <v>639</v>
      </c>
      <c r="AG3" s="585" t="s">
        <v>641</v>
      </c>
      <c r="AH3" s="586" t="s">
        <v>642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50</v>
      </c>
      <c r="U4" s="432" t="s">
        <v>51</v>
      </c>
      <c r="V4" s="604"/>
      <c r="W4" s="581"/>
      <c r="X4" s="422" t="s">
        <v>648</v>
      </c>
      <c r="Y4" s="422" t="s">
        <v>36</v>
      </c>
      <c r="Z4" s="432" t="s">
        <v>649</v>
      </c>
      <c r="AA4" s="432" t="s">
        <v>650</v>
      </c>
      <c r="AB4" s="592"/>
      <c r="AC4" s="592"/>
      <c r="AD4" s="432" t="s">
        <v>651</v>
      </c>
      <c r="AE4" s="39" t="s">
        <v>652</v>
      </c>
      <c r="AF4" s="583"/>
      <c r="AG4" s="585"/>
      <c r="AH4" s="586"/>
    </row>
    <row r="5" spans="1:34" ht="18.75" customHeight="1">
      <c r="A5" s="599" t="s">
        <v>653</v>
      </c>
      <c r="B5" s="40" t="s">
        <v>127</v>
      </c>
      <c r="C5" s="41"/>
      <c r="D5" s="42" t="s">
        <v>52</v>
      </c>
      <c r="E5" s="43"/>
      <c r="F5" s="355">
        <v>37.83</v>
      </c>
      <c r="G5" s="44">
        <v>5649.8</v>
      </c>
      <c r="H5" s="45">
        <f t="shared" ref="H5:H16" si="0">F5*G5</f>
        <v>213731.93400000001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2354.0833333333339</v>
      </c>
      <c r="O5" s="47">
        <f t="shared" ref="O5:O11" si="2">N5/M5</f>
        <v>117.70416666666669</v>
      </c>
      <c r="P5" s="48">
        <f t="shared" ref="P5:P11" si="3">M5-J5</f>
        <v>0</v>
      </c>
      <c r="Q5" s="49">
        <f t="shared" ref="Q5:Q11" si="4">O5-L5</f>
        <v>-2.2958333333333059</v>
      </c>
      <c r="R5" s="424">
        <f t="shared" ref="R5:R11" si="5">O5/L5</f>
        <v>0.98086805555555578</v>
      </c>
      <c r="S5" s="602">
        <f>R17</f>
        <v>0.91436596864660835</v>
      </c>
      <c r="T5" s="89">
        <v>0.25</v>
      </c>
      <c r="U5" s="89">
        <v>0.35</v>
      </c>
      <c r="V5" s="422">
        <v>5</v>
      </c>
      <c r="W5" s="433">
        <f>(U5-T5)*24*60</f>
        <v>143.99999999999997</v>
      </c>
      <c r="X5" s="422"/>
      <c r="Y5" s="422"/>
      <c r="Z5" s="51"/>
      <c r="AA5" s="51"/>
      <c r="AB5" s="588"/>
      <c r="AC5" s="588"/>
      <c r="AD5" s="52">
        <v>1</v>
      </c>
      <c r="AE5" s="52"/>
      <c r="AF5" s="48">
        <f t="shared" ref="AF5:AF70" si="6">N5-K5</f>
        <v>-45.91666666666606</v>
      </c>
      <c r="AG5" s="424">
        <f t="shared" ref="AG5:AG70" si="7">N5/K5</f>
        <v>0.98086805555555578</v>
      </c>
      <c r="AH5" s="602">
        <f>AG17</f>
        <v>0.92415606255080651</v>
      </c>
    </row>
    <row r="6" spans="1:34" ht="19.2" customHeight="1">
      <c r="A6" s="600"/>
      <c r="B6" s="40" t="s">
        <v>127</v>
      </c>
      <c r="C6" s="41"/>
      <c r="D6" s="42" t="s">
        <v>188</v>
      </c>
      <c r="E6" s="43"/>
      <c r="F6" s="355">
        <v>38.99</v>
      </c>
      <c r="G6" s="44">
        <v>1439</v>
      </c>
      <c r="H6" s="45">
        <f t="shared" si="0"/>
        <v>56106.61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2398.3333333333317</v>
      </c>
      <c r="O6" s="47">
        <f t="shared" si="2"/>
        <v>141.07843137254892</v>
      </c>
      <c r="P6" s="48">
        <f t="shared" si="3"/>
        <v>0</v>
      </c>
      <c r="Q6" s="49">
        <f t="shared" si="4"/>
        <v>-17.745098039215776</v>
      </c>
      <c r="R6" s="424">
        <f t="shared" si="5"/>
        <v>0.88827160493827106</v>
      </c>
      <c r="S6" s="602"/>
      <c r="T6" s="89">
        <v>0.36527777777777776</v>
      </c>
      <c r="U6" s="89">
        <v>0.39027777777777778</v>
      </c>
      <c r="V6" s="422">
        <v>22</v>
      </c>
      <c r="W6" s="433">
        <f t="shared" ref="W6:W17" si="8">(U6-T6)*24*60</f>
        <v>36.000000000000028</v>
      </c>
      <c r="X6" s="53">
        <v>0.35416666666666669</v>
      </c>
      <c r="Y6" s="53">
        <v>0.36458333333333331</v>
      </c>
      <c r="Z6" s="54"/>
      <c r="AA6" s="54"/>
      <c r="AB6" s="588"/>
      <c r="AC6" s="588"/>
      <c r="AD6" s="420"/>
      <c r="AE6" s="420"/>
      <c r="AF6" s="48">
        <f t="shared" si="6"/>
        <v>-301.66666666666833</v>
      </c>
      <c r="AG6" s="424">
        <f t="shared" si="7"/>
        <v>0.88827160493827095</v>
      </c>
      <c r="AH6" s="602"/>
    </row>
    <row r="7" spans="1:34" ht="19.2" customHeight="1">
      <c r="A7" s="600"/>
      <c r="B7" s="40" t="s">
        <v>127</v>
      </c>
      <c r="C7" s="41"/>
      <c r="D7" s="42" t="s">
        <v>184</v>
      </c>
      <c r="E7" s="43"/>
      <c r="F7" s="355">
        <v>28.86</v>
      </c>
      <c r="G7" s="44">
        <v>2022</v>
      </c>
      <c r="H7" s="45">
        <f t="shared" si="0"/>
        <v>58354.92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2426.4000000000005</v>
      </c>
      <c r="O7" s="47">
        <f t="shared" si="2"/>
        <v>142.7294117647059</v>
      </c>
      <c r="P7" s="48">
        <f t="shared" si="3"/>
        <v>0</v>
      </c>
      <c r="Q7" s="49">
        <f t="shared" si="4"/>
        <v>-16.094117647058795</v>
      </c>
      <c r="R7" s="424">
        <f t="shared" si="5"/>
        <v>0.89866666666666684</v>
      </c>
      <c r="S7" s="602"/>
      <c r="T7" s="89">
        <v>0.39513888888888887</v>
      </c>
      <c r="U7" s="89">
        <v>0.42986111111111108</v>
      </c>
      <c r="V7" s="422">
        <v>7</v>
      </c>
      <c r="W7" s="433">
        <f t="shared" si="8"/>
        <v>49.999999999999986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-273.59999999999945</v>
      </c>
      <c r="AG7" s="424">
        <f t="shared" si="7"/>
        <v>0.89866666666666684</v>
      </c>
      <c r="AH7" s="602"/>
    </row>
    <row r="8" spans="1:34" ht="19.2" customHeight="1">
      <c r="A8" s="600"/>
      <c r="B8" s="40" t="s">
        <v>127</v>
      </c>
      <c r="C8" s="41"/>
      <c r="D8" s="42" t="s">
        <v>53</v>
      </c>
      <c r="E8" s="43"/>
      <c r="F8" s="355">
        <v>31.11</v>
      </c>
      <c r="G8" s="44">
        <v>3451</v>
      </c>
      <c r="H8" s="45">
        <f t="shared" si="0"/>
        <v>107360.61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2588.2500000000014</v>
      </c>
      <c r="O8" s="47">
        <f t="shared" si="2"/>
        <v>136.22368421052639</v>
      </c>
      <c r="P8" s="48">
        <f t="shared" si="3"/>
        <v>1</v>
      </c>
      <c r="Q8" s="49">
        <f t="shared" si="4"/>
        <v>-13.776315789473614</v>
      </c>
      <c r="R8" s="424">
        <f t="shared" si="5"/>
        <v>0.90815789473684261</v>
      </c>
      <c r="S8" s="602"/>
      <c r="T8" s="89">
        <v>0.43402777777777773</v>
      </c>
      <c r="U8" s="89">
        <v>0.48958333333333326</v>
      </c>
      <c r="V8" s="422">
        <v>6</v>
      </c>
      <c r="W8" s="433">
        <f t="shared" si="8"/>
        <v>79.999999999999957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-111.74999999999864</v>
      </c>
      <c r="AG8" s="424">
        <f t="shared" si="7"/>
        <v>0.95861111111111164</v>
      </c>
      <c r="AH8" s="602"/>
    </row>
    <row r="9" spans="1:34" ht="19.2" customHeight="1">
      <c r="A9" s="600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602"/>
      <c r="T9" s="89">
        <v>0.53124999999999989</v>
      </c>
      <c r="U9" s="89">
        <v>0.58124999999999993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602"/>
    </row>
    <row r="10" spans="1:34" ht="19.2" customHeight="1">
      <c r="A10" s="601"/>
      <c r="B10" s="40" t="s">
        <v>127</v>
      </c>
      <c r="C10" s="41"/>
      <c r="D10" s="42" t="s">
        <v>205</v>
      </c>
      <c r="E10" s="43"/>
      <c r="F10" s="355">
        <v>46.93</v>
      </c>
      <c r="G10" s="44">
        <v>1924</v>
      </c>
      <c r="H10" s="45">
        <f t="shared" si="0"/>
        <v>90293.319999999992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2178.113207547171</v>
      </c>
      <c r="O10" s="47">
        <f t="shared" si="2"/>
        <v>121.00628930817616</v>
      </c>
      <c r="P10" s="48">
        <f t="shared" si="3"/>
        <v>0</v>
      </c>
      <c r="Q10" s="49">
        <f t="shared" si="4"/>
        <v>-12.327044025157178</v>
      </c>
      <c r="R10" s="424">
        <f t="shared" si="5"/>
        <v>0.90754716981132122</v>
      </c>
      <c r="S10" s="603"/>
      <c r="T10" s="89">
        <v>0.58680555555555547</v>
      </c>
      <c r="U10" s="89">
        <v>0.62361111111111101</v>
      </c>
      <c r="V10" s="422">
        <v>8</v>
      </c>
      <c r="W10" s="433">
        <f t="shared" si="8"/>
        <v>52.999999999999972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-221.88679245282901</v>
      </c>
      <c r="AG10" s="424">
        <f t="shared" si="7"/>
        <v>0.90754716981132122</v>
      </c>
      <c r="AH10" s="603"/>
    </row>
    <row r="11" spans="1:34" ht="19.2" customHeight="1">
      <c r="A11" s="601"/>
      <c r="B11" s="40" t="s">
        <v>127</v>
      </c>
      <c r="C11" s="41"/>
      <c r="D11" s="42" t="s">
        <v>367</v>
      </c>
      <c r="E11" s="43"/>
      <c r="F11" s="355">
        <v>43.96</v>
      </c>
      <c r="G11" s="44">
        <v>1889.6000000000001</v>
      </c>
      <c r="H11" s="45">
        <f t="shared" si="0"/>
        <v>83066.816000000006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2313.7959183673474</v>
      </c>
      <c r="O11" s="47">
        <f t="shared" si="2"/>
        <v>115.68979591836737</v>
      </c>
      <c r="P11" s="48">
        <f t="shared" si="3"/>
        <v>0</v>
      </c>
      <c r="Q11" s="49">
        <f t="shared" si="4"/>
        <v>-4.3102040816326337</v>
      </c>
      <c r="R11" s="424">
        <f t="shared" si="5"/>
        <v>0.96408163265306135</v>
      </c>
      <c r="S11" s="603"/>
      <c r="T11" s="89">
        <v>0.63958333333333317</v>
      </c>
      <c r="U11" s="89">
        <v>0.67361111111111094</v>
      </c>
      <c r="V11" s="422">
        <v>23</v>
      </c>
      <c r="W11" s="433">
        <f t="shared" si="8"/>
        <v>48.999999999999986</v>
      </c>
      <c r="X11" s="53">
        <v>0.62847222222222221</v>
      </c>
      <c r="Y11" s="53">
        <v>0.63888888888888895</v>
      </c>
      <c r="Z11" s="54"/>
      <c r="AA11" s="54"/>
      <c r="AB11" s="588"/>
      <c r="AC11" s="588"/>
      <c r="AD11" s="420"/>
      <c r="AE11" s="420"/>
      <c r="AF11" s="48">
        <f t="shared" si="6"/>
        <v>-86.20408163265256</v>
      </c>
      <c r="AG11" s="424">
        <f t="shared" si="7"/>
        <v>0.96408163265306146</v>
      </c>
      <c r="AH11" s="603"/>
    </row>
    <row r="12" spans="1:34" ht="19.2" customHeight="1">
      <c r="A12" s="601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2" customHeight="1">
      <c r="A13" s="601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2" customHeight="1">
      <c r="A14" s="601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2" customHeight="1">
      <c r="A15" s="601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2" customHeight="1">
      <c r="A16" s="601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2" customHeight="1">
      <c r="A17" s="601"/>
      <c r="B17" s="69">
        <v>0</v>
      </c>
      <c r="C17" s="69" t="s">
        <v>654</v>
      </c>
      <c r="D17" s="608" t="s">
        <v>655</v>
      </c>
      <c r="E17" s="608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2376.4013037020741</v>
      </c>
      <c r="O17" s="73">
        <f t="shared" si="9"/>
        <v>130.59809731453939</v>
      </c>
      <c r="P17" s="65">
        <f t="shared" ref="P17:P28" si="10">M17-J17</f>
        <v>0.14285714285714235</v>
      </c>
      <c r="Q17" s="74">
        <f t="shared" ref="Q17:Q23" si="11">O17-L17</f>
        <v>-12.231034338121674</v>
      </c>
      <c r="R17" s="75">
        <f>O17/L17</f>
        <v>0.91436596864660835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-195.02726772649748</v>
      </c>
      <c r="AG17" s="425">
        <f t="shared" si="7"/>
        <v>0.92415606255080651</v>
      </c>
      <c r="AH17" s="603"/>
    </row>
    <row r="18" spans="1:34" ht="19.2" customHeight="1">
      <c r="A18" s="610" t="s">
        <v>656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4057.3</v>
      </c>
      <c r="H18" s="84">
        <f t="shared" ref="H18:H29" si="12">F18*G18</f>
        <v>149552.07800000001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2154.3185840707965</v>
      </c>
      <c r="O18" s="86">
        <f t="shared" ref="O18:O23" si="14">N18/M18</f>
        <v>119.68436578171092</v>
      </c>
      <c r="P18" s="54">
        <f t="shared" si="10"/>
        <v>1</v>
      </c>
      <c r="Q18" s="88">
        <f t="shared" si="11"/>
        <v>-12.668575394759657</v>
      </c>
      <c r="R18" s="421">
        <f t="shared" ref="R18:R23" si="15">O18/L18</f>
        <v>0.90428187479514921</v>
      </c>
      <c r="S18" s="611">
        <f>R30</f>
        <v>0.8868646310308943</v>
      </c>
      <c r="T18" s="89">
        <v>0.16666666666666666</v>
      </c>
      <c r="U18" s="89">
        <v>0.24513888888888888</v>
      </c>
      <c r="V18" s="420">
        <v>5</v>
      </c>
      <c r="W18" s="90">
        <f>(U18-T18)*24*60</f>
        <v>113</v>
      </c>
      <c r="X18" s="86"/>
      <c r="Y18" s="86"/>
      <c r="Z18" s="54"/>
      <c r="AA18" s="54"/>
      <c r="AB18" s="588"/>
      <c r="AC18" s="588"/>
      <c r="AD18" s="420"/>
      <c r="AE18" s="420">
        <v>1</v>
      </c>
      <c r="AF18" s="91">
        <f t="shared" si="6"/>
        <v>-95.681415929203467</v>
      </c>
      <c r="AG18" s="92">
        <f t="shared" si="7"/>
        <v>0.95747492625368735</v>
      </c>
      <c r="AH18" s="612">
        <f>AG30</f>
        <v>0.90680959229753966</v>
      </c>
    </row>
    <row r="19" spans="1:34" ht="19.2" customHeight="1">
      <c r="A19" s="610"/>
      <c r="B19" s="430" t="s">
        <v>129</v>
      </c>
      <c r="C19" s="429"/>
      <c r="D19" s="82" t="s">
        <v>62</v>
      </c>
      <c r="E19" s="83"/>
      <c r="F19" s="355">
        <v>38.39</v>
      </c>
      <c r="G19" s="57">
        <v>1595.75</v>
      </c>
      <c r="H19" s="84">
        <f t="shared" si="12"/>
        <v>61260.842499999999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1387.608695652174</v>
      </c>
      <c r="O19" s="95">
        <f t="shared" si="14"/>
        <v>86.725543478260875</v>
      </c>
      <c r="P19" s="54">
        <f t="shared" si="10"/>
        <v>0</v>
      </c>
      <c r="Q19" s="88">
        <f t="shared" si="11"/>
        <v>-15.524456521739125</v>
      </c>
      <c r="R19" s="421">
        <f t="shared" si="15"/>
        <v>0.84817157435951951</v>
      </c>
      <c r="S19" s="611"/>
      <c r="T19" s="89">
        <v>0.26041666666666663</v>
      </c>
      <c r="U19" s="89">
        <v>0.30833333333333329</v>
      </c>
      <c r="V19" s="420">
        <v>22</v>
      </c>
      <c r="W19" s="90">
        <f>(U19-T19)*24*60</f>
        <v>69</v>
      </c>
      <c r="X19" s="96">
        <v>0.25</v>
      </c>
      <c r="Y19" s="96">
        <v>0.25972222222222224</v>
      </c>
      <c r="Z19" s="54"/>
      <c r="AA19" s="54"/>
      <c r="AB19" s="588"/>
      <c r="AC19" s="588"/>
      <c r="AD19" s="420"/>
      <c r="AE19" s="420"/>
      <c r="AF19" s="48">
        <f t="shared" si="6"/>
        <v>-248.39130434782601</v>
      </c>
      <c r="AG19" s="424">
        <f t="shared" si="7"/>
        <v>0.84817157435951951</v>
      </c>
      <c r="AH19" s="613"/>
    </row>
    <row r="20" spans="1:34" ht="19.2" customHeight="1">
      <c r="A20" s="610"/>
      <c r="B20" s="430" t="s">
        <v>130</v>
      </c>
      <c r="C20" s="55"/>
      <c r="D20" s="42" t="s">
        <v>61</v>
      </c>
      <c r="E20" s="83"/>
      <c r="F20" s="355">
        <v>43.14</v>
      </c>
      <c r="G20" s="57">
        <v>1147.25</v>
      </c>
      <c r="H20" s="84">
        <f t="shared" si="12"/>
        <v>49492.364999999998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1349.7058823529417</v>
      </c>
      <c r="O20" s="95">
        <f t="shared" si="14"/>
        <v>84.356617647058854</v>
      </c>
      <c r="P20" s="54">
        <f t="shared" si="10"/>
        <v>0</v>
      </c>
      <c r="Q20" s="88">
        <f t="shared" si="11"/>
        <v>-5.6433823529411455</v>
      </c>
      <c r="R20" s="421">
        <f t="shared" si="15"/>
        <v>0.93729575163398726</v>
      </c>
      <c r="S20" s="611"/>
      <c r="T20" s="89">
        <v>0.31249999999999994</v>
      </c>
      <c r="U20" s="89">
        <v>0.3479166666666666</v>
      </c>
      <c r="V20" s="420">
        <v>6</v>
      </c>
      <c r="W20" s="90">
        <f t="shared" ref="W20:W29" si="16">(U20-T20)*24*60</f>
        <v>50.999999999999979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-90.294117647058329</v>
      </c>
      <c r="AG20" s="92">
        <f t="shared" si="7"/>
        <v>0.93729575163398726</v>
      </c>
      <c r="AH20" s="613"/>
    </row>
    <row r="21" spans="1:34" ht="19.2" customHeight="1">
      <c r="A21" s="610"/>
      <c r="B21" s="430" t="s">
        <v>129</v>
      </c>
      <c r="C21" s="97"/>
      <c r="D21" s="98" t="s">
        <v>210</v>
      </c>
      <c r="E21" s="43"/>
      <c r="F21" s="355">
        <v>44.3</v>
      </c>
      <c r="G21" s="44">
        <v>3019.69</v>
      </c>
      <c r="H21" s="84">
        <f t="shared" si="12"/>
        <v>133772.26699999999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1383.0641221374046</v>
      </c>
      <c r="O21" s="95">
        <f t="shared" si="14"/>
        <v>81.356713066906153</v>
      </c>
      <c r="P21" s="54">
        <f t="shared" si="10"/>
        <v>0</v>
      </c>
      <c r="Q21" s="88">
        <f t="shared" si="11"/>
        <v>-14.878581050740905</v>
      </c>
      <c r="R21" s="421">
        <f t="shared" si="15"/>
        <v>0.84539371768790017</v>
      </c>
      <c r="S21" s="611"/>
      <c r="T21" s="89">
        <v>0.36319444444444438</v>
      </c>
      <c r="U21" s="89">
        <v>0.45416666666666661</v>
      </c>
      <c r="V21" s="420">
        <v>22</v>
      </c>
      <c r="W21" s="90">
        <f t="shared" si="16"/>
        <v>131</v>
      </c>
      <c r="X21" s="96">
        <v>0.3527777777777778</v>
      </c>
      <c r="Y21" s="96">
        <v>0.36249999999999999</v>
      </c>
      <c r="Z21" s="54"/>
      <c r="AA21" s="54"/>
      <c r="AB21" s="588"/>
      <c r="AC21" s="588"/>
      <c r="AD21" s="420"/>
      <c r="AE21" s="420"/>
      <c r="AF21" s="48">
        <f t="shared" si="6"/>
        <v>-252.93587786259536</v>
      </c>
      <c r="AG21" s="424">
        <f t="shared" si="7"/>
        <v>0.84539371768790017</v>
      </c>
      <c r="AH21" s="614"/>
    </row>
    <row r="22" spans="1:34" ht="19.2" customHeight="1">
      <c r="A22" s="610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4281</v>
      </c>
      <c r="H22" s="84">
        <f t="shared" si="12"/>
        <v>164732.87999999998</v>
      </c>
      <c r="I22" s="422"/>
      <c r="J22" s="93">
        <v>18</v>
      </c>
      <c r="K22" s="44">
        <v>2700</v>
      </c>
      <c r="L22" s="47">
        <v>150</v>
      </c>
      <c r="M22" s="87">
        <v>18</v>
      </c>
      <c r="N22" s="94">
        <f t="shared" si="13"/>
        <v>2378.3333333333344</v>
      </c>
      <c r="O22" s="95">
        <f t="shared" si="14"/>
        <v>132.12962962962968</v>
      </c>
      <c r="P22" s="54">
        <f t="shared" si="10"/>
        <v>0</v>
      </c>
      <c r="Q22" s="88">
        <f t="shared" si="11"/>
        <v>-17.870370370370324</v>
      </c>
      <c r="R22" s="421">
        <f t="shared" si="15"/>
        <v>0.88086419753086453</v>
      </c>
      <c r="S22" s="611"/>
      <c r="T22" s="89">
        <v>0.49583333333333324</v>
      </c>
      <c r="U22" s="89">
        <v>0.57083333333333319</v>
      </c>
      <c r="V22" s="420">
        <v>7</v>
      </c>
      <c r="W22" s="90">
        <f t="shared" si="16"/>
        <v>107.99999999999994</v>
      </c>
      <c r="X22" s="96"/>
      <c r="Y22" s="96"/>
      <c r="Z22" s="54"/>
      <c r="AA22" s="54"/>
      <c r="AB22" s="588"/>
      <c r="AC22" s="588"/>
      <c r="AD22" s="420"/>
      <c r="AE22" s="420"/>
      <c r="AF22" s="91">
        <f t="shared" si="6"/>
        <v>-321.66666666666561</v>
      </c>
      <c r="AG22" s="92">
        <f t="shared" si="7"/>
        <v>0.88086419753086465</v>
      </c>
      <c r="AH22" s="614"/>
    </row>
    <row r="23" spans="1:34" ht="19.2" customHeight="1">
      <c r="A23" s="610"/>
      <c r="B23" s="430" t="s">
        <v>127</v>
      </c>
      <c r="C23" s="97"/>
      <c r="D23" s="42" t="s">
        <v>60</v>
      </c>
      <c r="E23" s="43"/>
      <c r="F23" s="355">
        <v>36.86</v>
      </c>
      <c r="G23" s="44">
        <v>2184.6999999999998</v>
      </c>
      <c r="H23" s="84">
        <f t="shared" si="12"/>
        <v>80528.041999999987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2148.8852459016412</v>
      </c>
      <c r="O23" s="95">
        <f t="shared" si="14"/>
        <v>119.38251366120228</v>
      </c>
      <c r="P23" s="54">
        <f t="shared" si="10"/>
        <v>1</v>
      </c>
      <c r="Q23" s="88">
        <f t="shared" si="11"/>
        <v>-12.970427515268298</v>
      </c>
      <c r="R23" s="421">
        <f t="shared" si="15"/>
        <v>0.90200121432908398</v>
      </c>
      <c r="S23" s="611"/>
      <c r="T23" s="89">
        <v>0.57499999999999984</v>
      </c>
      <c r="U23" s="89">
        <v>0.61736111111111092</v>
      </c>
      <c r="V23" s="420">
        <v>6</v>
      </c>
      <c r="W23" s="90">
        <f t="shared" si="16"/>
        <v>60.999999999999943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-101.11475409835884</v>
      </c>
      <c r="AG23" s="424">
        <f t="shared" si="7"/>
        <v>0.95506010928961826</v>
      </c>
      <c r="AH23" s="614"/>
    </row>
    <row r="24" spans="1:34" ht="19.2" customHeight="1">
      <c r="A24" s="610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2" customHeight="1">
      <c r="A25" s="610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2" customHeight="1">
      <c r="A26" s="610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2" customHeight="1">
      <c r="A27" s="610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2" customHeight="1">
      <c r="A28" s="610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2" customHeight="1">
      <c r="A29" s="610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2" customHeight="1">
      <c r="A30" s="610"/>
      <c r="B30" s="99">
        <v>0</v>
      </c>
      <c r="C30" s="100" t="s">
        <v>657</v>
      </c>
      <c r="D30" s="609" t="s">
        <v>655</v>
      </c>
      <c r="E30" s="609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17.166666666666668</v>
      </c>
      <c r="N30" s="101">
        <f t="shared" si="17"/>
        <v>1800.3193105747152</v>
      </c>
      <c r="O30" s="104">
        <f t="shared" si="17"/>
        <v>103.93923054412812</v>
      </c>
      <c r="P30" s="54">
        <f t="shared" ref="P30:P37" si="18">M30-J30</f>
        <v>0.3333333333333357</v>
      </c>
      <c r="Q30" s="88">
        <f t="shared" ref="Q30:Q37" si="19">O30-L30</f>
        <v>-13.259298867636588</v>
      </c>
      <c r="R30" s="105">
        <f t="shared" ref="R30:R37" si="20">O30/L30</f>
        <v>0.8868646310308943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-185.01402275861801</v>
      </c>
      <c r="AG30" s="109">
        <f t="shared" ref="AG30" si="21">N30/K30</f>
        <v>0.90680959229753966</v>
      </c>
      <c r="AH30" s="615"/>
    </row>
    <row r="31" spans="1:34" ht="19.2" customHeight="1">
      <c r="A31" s="618" t="s">
        <v>658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1643.2</v>
      </c>
      <c r="H31" s="112">
        <f t="shared" ref="H31:H40" si="22">F31*G31</f>
        <v>43544.800000000003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1428.8695652173913</v>
      </c>
      <c r="O31" s="115">
        <f t="shared" ref="O31:O37" si="24">N31/M31</f>
        <v>119.07246376811594</v>
      </c>
      <c r="P31" s="116">
        <f t="shared" si="18"/>
        <v>0</v>
      </c>
      <c r="Q31" s="117">
        <f t="shared" si="19"/>
        <v>-47.594202898550719</v>
      </c>
      <c r="R31" s="423">
        <f t="shared" si="20"/>
        <v>0.71443478260869564</v>
      </c>
      <c r="S31" s="620">
        <f>R43</f>
        <v>0.83695329407832664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-571.13043478260875</v>
      </c>
      <c r="AG31" s="120">
        <f t="shared" si="7"/>
        <v>0.71443478260869564</v>
      </c>
      <c r="AH31" s="616">
        <f>AG43</f>
        <v>0.84568744668253448</v>
      </c>
    </row>
    <row r="32" spans="1:34" ht="19.2" customHeight="1">
      <c r="A32" s="619"/>
      <c r="B32" s="121" t="s">
        <v>131</v>
      </c>
      <c r="C32" s="122"/>
      <c r="D32" s="42" t="s">
        <v>63</v>
      </c>
      <c r="E32" s="43"/>
      <c r="F32" s="355">
        <v>35.33</v>
      </c>
      <c r="G32" s="134">
        <v>2105</v>
      </c>
      <c r="H32" s="84">
        <f t="shared" si="22"/>
        <v>74369.649999999994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1885.0746268656717</v>
      </c>
      <c r="O32" s="47">
        <f t="shared" si="24"/>
        <v>157.08955223880596</v>
      </c>
      <c r="P32" s="116">
        <f t="shared" si="18"/>
        <v>0</v>
      </c>
      <c r="Q32" s="49">
        <f t="shared" si="19"/>
        <v>-19.410447761194035</v>
      </c>
      <c r="R32" s="424">
        <f t="shared" si="20"/>
        <v>0.89002579172128027</v>
      </c>
      <c r="S32" s="611"/>
      <c r="T32" s="89">
        <v>0.17847222222222223</v>
      </c>
      <c r="U32" s="89">
        <v>0.22500000000000001</v>
      </c>
      <c r="V32" s="142">
        <v>8</v>
      </c>
      <c r="W32" s="90">
        <f t="shared" si="25"/>
        <v>67</v>
      </c>
      <c r="X32" s="123"/>
      <c r="Y32" s="123"/>
      <c r="Z32" s="124"/>
      <c r="AA32" s="124"/>
      <c r="AB32" s="588"/>
      <c r="AC32" s="588"/>
      <c r="AD32" s="420"/>
      <c r="AE32" s="420">
        <v>1</v>
      </c>
      <c r="AF32" s="48">
        <f t="shared" si="6"/>
        <v>-232.92537313432831</v>
      </c>
      <c r="AG32" s="424">
        <f t="shared" si="7"/>
        <v>0.89002579172128027</v>
      </c>
      <c r="AH32" s="602"/>
    </row>
    <row r="33" spans="1:34" ht="19.2" customHeight="1">
      <c r="A33" s="61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1613</v>
      </c>
      <c r="H33" s="84">
        <f t="shared" si="22"/>
        <v>55212.99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1861.1538461538473</v>
      </c>
      <c r="O33" s="47">
        <f t="shared" si="24"/>
        <v>155.09615384615395</v>
      </c>
      <c r="P33" s="116">
        <f t="shared" si="18"/>
        <v>0</v>
      </c>
      <c r="Q33" s="49">
        <f t="shared" si="19"/>
        <v>-21.403846153846047</v>
      </c>
      <c r="R33" s="424">
        <f t="shared" si="20"/>
        <v>0.87873174983656632</v>
      </c>
      <c r="S33" s="611"/>
      <c r="T33" s="89">
        <v>0.22916666666666669</v>
      </c>
      <c r="U33" s="89">
        <v>0.26527777777777778</v>
      </c>
      <c r="V33" s="142">
        <v>6</v>
      </c>
      <c r="W33" s="90">
        <f t="shared" si="25"/>
        <v>51.999999999999972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-256.84615384615267</v>
      </c>
      <c r="AG33" s="125">
        <f t="shared" si="7"/>
        <v>0.87873174983656621</v>
      </c>
      <c r="AH33" s="602"/>
    </row>
    <row r="34" spans="1:34" ht="19.2" customHeight="1">
      <c r="A34" s="619"/>
      <c r="B34" s="121" t="s">
        <v>132</v>
      </c>
      <c r="C34" s="126"/>
      <c r="D34" s="147" t="s">
        <v>144</v>
      </c>
      <c r="E34" s="83"/>
      <c r="F34" s="355">
        <v>54.09</v>
      </c>
      <c r="G34" s="137">
        <v>641.75</v>
      </c>
      <c r="H34" s="84">
        <f t="shared" si="22"/>
        <v>34712.2575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1283.5000000000011</v>
      </c>
      <c r="O34" s="47">
        <f t="shared" si="24"/>
        <v>71.305555555555614</v>
      </c>
      <c r="P34" s="116">
        <f t="shared" si="18"/>
        <v>0</v>
      </c>
      <c r="Q34" s="49">
        <f t="shared" si="19"/>
        <v>-12.027777777777715</v>
      </c>
      <c r="R34" s="424">
        <f t="shared" si="20"/>
        <v>0.85566666666666746</v>
      </c>
      <c r="S34" s="611"/>
      <c r="T34" s="89">
        <v>0.28055555555555556</v>
      </c>
      <c r="U34" s="89">
        <v>0.30138888888888887</v>
      </c>
      <c r="V34" s="137">
        <v>22</v>
      </c>
      <c r="W34" s="90">
        <f t="shared" si="25"/>
        <v>29.999999999999972</v>
      </c>
      <c r="X34" s="123">
        <v>0.26944444444444443</v>
      </c>
      <c r="Y34" s="123">
        <v>0.27916666666666667</v>
      </c>
      <c r="Z34" s="124"/>
      <c r="AA34" s="124"/>
      <c r="AB34" s="588"/>
      <c r="AC34" s="588"/>
      <c r="AD34" s="420"/>
      <c r="AE34" s="420"/>
      <c r="AF34" s="48">
        <f t="shared" si="6"/>
        <v>-216.49999999999886</v>
      </c>
      <c r="AG34" s="125">
        <f t="shared" si="7"/>
        <v>0.85566666666666746</v>
      </c>
      <c r="AH34" s="602"/>
    </row>
    <row r="35" spans="1:34" ht="19.2" customHeight="1">
      <c r="A35" s="619"/>
      <c r="B35" s="121" t="s">
        <v>129</v>
      </c>
      <c r="C35" s="41"/>
      <c r="D35" s="150" t="s">
        <v>189</v>
      </c>
      <c r="E35" s="43"/>
      <c r="F35" s="355">
        <v>56.43</v>
      </c>
      <c r="G35" s="137">
        <v>1721</v>
      </c>
      <c r="H35" s="84">
        <f t="shared" si="22"/>
        <v>97116.03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1323.8461538461545</v>
      </c>
      <c r="O35" s="47">
        <f t="shared" si="24"/>
        <v>77.873303167420858</v>
      </c>
      <c r="P35" s="116">
        <f t="shared" si="18"/>
        <v>0</v>
      </c>
      <c r="Q35" s="49">
        <f t="shared" si="19"/>
        <v>-18.3619909502262</v>
      </c>
      <c r="R35" s="424">
        <f t="shared" si="20"/>
        <v>0.80919691555388418</v>
      </c>
      <c r="S35" s="611"/>
      <c r="T35" s="89">
        <v>0.30555555555555552</v>
      </c>
      <c r="U35" s="89">
        <v>0.35972222222222217</v>
      </c>
      <c r="V35" s="134">
        <v>6</v>
      </c>
      <c r="W35" s="90">
        <f t="shared" si="25"/>
        <v>77.999999999999957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-312.15384615384551</v>
      </c>
      <c r="AG35" s="120">
        <f t="shared" si="7"/>
        <v>0.80919691555388418</v>
      </c>
      <c r="AH35" s="603"/>
    </row>
    <row r="36" spans="1:34" ht="19.2" customHeight="1">
      <c r="A36" s="619"/>
      <c r="B36" s="121" t="s">
        <v>129</v>
      </c>
      <c r="C36" s="128"/>
      <c r="D36" s="150" t="s">
        <v>179</v>
      </c>
      <c r="E36" s="83"/>
      <c r="F36" s="355">
        <v>49.91</v>
      </c>
      <c r="G36" s="134">
        <v>3845</v>
      </c>
      <c r="H36" s="84">
        <f t="shared" si="22"/>
        <v>191903.94999999998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1310.7954545454545</v>
      </c>
      <c r="O36" s="47">
        <f t="shared" si="24"/>
        <v>81.924715909090907</v>
      </c>
      <c r="P36" s="116">
        <f t="shared" si="18"/>
        <v>1</v>
      </c>
      <c r="Q36" s="49">
        <f t="shared" si="19"/>
        <v>-18.075284090909093</v>
      </c>
      <c r="R36" s="424">
        <f t="shared" si="20"/>
        <v>0.81924715909090906</v>
      </c>
      <c r="S36" s="611"/>
      <c r="T36" s="89">
        <v>0.37569444444444439</v>
      </c>
      <c r="U36" s="89">
        <v>0.49791666666666662</v>
      </c>
      <c r="V36" s="134">
        <v>23</v>
      </c>
      <c r="W36" s="90">
        <f t="shared" si="25"/>
        <v>176</v>
      </c>
      <c r="X36" s="123">
        <v>0.36458333333333331</v>
      </c>
      <c r="Y36" s="123">
        <v>0.375</v>
      </c>
      <c r="Z36" s="124"/>
      <c r="AA36" s="124"/>
      <c r="AB36" s="588"/>
      <c r="AC36" s="588"/>
      <c r="AD36" s="420">
        <v>1</v>
      </c>
      <c r="AE36" s="420"/>
      <c r="AF36" s="48">
        <f t="shared" si="6"/>
        <v>-189.2045454545455</v>
      </c>
      <c r="AG36" s="424">
        <f t="shared" si="7"/>
        <v>0.87386363636363629</v>
      </c>
      <c r="AH36" s="603"/>
    </row>
    <row r="37" spans="1:34" ht="19.2" customHeight="1">
      <c r="A37" s="61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6279</v>
      </c>
      <c r="H37" s="84">
        <f t="shared" si="22"/>
        <v>237346.19999999998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2384.4303797468369</v>
      </c>
      <c r="O37" s="47">
        <f t="shared" si="24"/>
        <v>125.49633577614931</v>
      </c>
      <c r="P37" s="116">
        <f t="shared" si="18"/>
        <v>0</v>
      </c>
      <c r="Q37" s="49">
        <f t="shared" si="19"/>
        <v>-16.608927381745431</v>
      </c>
      <c r="R37" s="424">
        <f t="shared" si="20"/>
        <v>0.88312236286919887</v>
      </c>
      <c r="S37" s="611"/>
      <c r="T37" s="89">
        <v>0.53888888888888886</v>
      </c>
      <c r="U37" s="89">
        <v>0.64861111111111103</v>
      </c>
      <c r="V37" s="134">
        <v>6</v>
      </c>
      <c r="W37" s="90">
        <f t="shared" si="25"/>
        <v>157.99999999999991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-315.56962025316307</v>
      </c>
      <c r="AG37" s="125">
        <f t="shared" si="7"/>
        <v>0.88312236286919887</v>
      </c>
      <c r="AH37" s="603"/>
    </row>
    <row r="38" spans="1:34" ht="19.2" customHeight="1">
      <c r="A38" s="61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2" customHeight="1">
      <c r="A39" s="61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2" customHeight="1">
      <c r="A40" s="61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2" customHeight="1">
      <c r="A41" s="61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2" customHeight="1">
      <c r="A42" s="61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2" customHeight="1">
      <c r="A43" s="619"/>
      <c r="B43" s="121">
        <v>0</v>
      </c>
      <c r="C43" s="100" t="s">
        <v>659</v>
      </c>
      <c r="D43" s="617" t="s">
        <v>655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1639.6671466250511</v>
      </c>
      <c r="O43" s="104">
        <f t="shared" si="26"/>
        <v>112.55115432304179</v>
      </c>
      <c r="P43" s="54">
        <f>M43-J43</f>
        <v>0.14285714285714235</v>
      </c>
      <c r="Q43" s="88">
        <f>N43-K43</f>
        <v>-299.18999623209174</v>
      </c>
      <c r="R43" s="105">
        <f t="shared" ref="R43:R53" si="27">O43/L43</f>
        <v>0.83695329407832664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-299.18999623209174</v>
      </c>
      <c r="AG43" s="425">
        <f t="shared" si="7"/>
        <v>0.84568744668253448</v>
      </c>
      <c r="AH43" s="603"/>
    </row>
    <row r="44" spans="1:34" s="145" customFormat="1" ht="19.2" customHeight="1">
      <c r="A44" s="622" t="s">
        <v>660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1223</v>
      </c>
      <c r="H44" s="45">
        <f>F44*G44</f>
        <v>33632.5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1561.2765957446811</v>
      </c>
      <c r="O44" s="138">
        <f t="shared" ref="O44:O53" si="30">N44/M44</f>
        <v>130.10638297872342</v>
      </c>
      <c r="P44" s="51">
        <f t="shared" ref="P44:P53" si="31">M44-J44</f>
        <v>0</v>
      </c>
      <c r="Q44" s="139">
        <f t="shared" ref="Q44:Q53" si="32">O44-L44</f>
        <v>-36.56028368794324</v>
      </c>
      <c r="R44" s="140">
        <f t="shared" si="27"/>
        <v>0.78063829787234051</v>
      </c>
      <c r="S44" s="602">
        <f>R56</f>
        <v>0.88186568452480718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-438.72340425531888</v>
      </c>
      <c r="AG44" s="428">
        <f t="shared" si="7"/>
        <v>0.78063829787234051</v>
      </c>
      <c r="AH44" s="625">
        <f>AG56</f>
        <v>0.91710658758945163</v>
      </c>
    </row>
    <row r="45" spans="1:34" s="145" customFormat="1" ht="19.2" customHeight="1">
      <c r="A45" s="623"/>
      <c r="B45" s="97" t="s">
        <v>131</v>
      </c>
      <c r="C45" s="133"/>
      <c r="D45" s="42" t="s">
        <v>76</v>
      </c>
      <c r="E45" s="43"/>
      <c r="F45" s="362">
        <v>24.73</v>
      </c>
      <c r="G45" s="134">
        <v>1721</v>
      </c>
      <c r="H45" s="45">
        <f>F45*G45</f>
        <v>42560.33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2107.3469387755108</v>
      </c>
      <c r="O45" s="138">
        <f t="shared" si="30"/>
        <v>421.46938775510216</v>
      </c>
      <c r="P45" s="51">
        <f t="shared" si="31"/>
        <v>1</v>
      </c>
      <c r="Q45" s="139">
        <f t="shared" si="32"/>
        <v>-78.530612244897839</v>
      </c>
      <c r="R45" s="140">
        <f t="shared" si="27"/>
        <v>0.84293877551020435</v>
      </c>
      <c r="S45" s="602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107.34693877551081</v>
      </c>
      <c r="AG45" s="428">
        <f t="shared" si="7"/>
        <v>1.0536734693877554</v>
      </c>
      <c r="AH45" s="625"/>
    </row>
    <row r="46" spans="1:34" s="145" customFormat="1" ht="19.2" customHeight="1">
      <c r="A46" s="623"/>
      <c r="B46" s="97" t="s">
        <v>131</v>
      </c>
      <c r="C46" s="133"/>
      <c r="D46" s="42" t="s">
        <v>77</v>
      </c>
      <c r="E46" s="43"/>
      <c r="F46" s="362">
        <v>24.73</v>
      </c>
      <c r="G46" s="134">
        <v>1725</v>
      </c>
      <c r="H46" s="45">
        <f t="shared" ref="H46:H51" si="34">F46*G46</f>
        <v>42659.25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2112.2448979591845</v>
      </c>
      <c r="O46" s="138">
        <f t="shared" si="30"/>
        <v>422.44897959183692</v>
      </c>
      <c r="P46" s="51">
        <f t="shared" si="31"/>
        <v>1</v>
      </c>
      <c r="Q46" s="139">
        <f t="shared" si="32"/>
        <v>-77.551020408163083</v>
      </c>
      <c r="R46" s="140">
        <f t="shared" si="27"/>
        <v>0.84489795918367383</v>
      </c>
      <c r="S46" s="602"/>
      <c r="T46" s="89">
        <v>0.19861111111111107</v>
      </c>
      <c r="U46" s="89">
        <v>0.23263888888888884</v>
      </c>
      <c r="V46" s="142">
        <v>5</v>
      </c>
      <c r="W46" s="143">
        <f t="shared" si="33"/>
        <v>48.999999999999986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112.24489795918453</v>
      </c>
      <c r="AG46" s="428">
        <f t="shared" si="7"/>
        <v>1.0561224489795922</v>
      </c>
      <c r="AH46" s="625"/>
    </row>
    <row r="47" spans="1:34" s="145" customFormat="1" ht="19.2" customHeight="1">
      <c r="A47" s="623"/>
      <c r="B47" s="97" t="s">
        <v>130</v>
      </c>
      <c r="C47" s="133"/>
      <c r="D47" s="42" t="s">
        <v>67</v>
      </c>
      <c r="E47" s="148"/>
      <c r="F47" s="362">
        <v>31.43</v>
      </c>
      <c r="G47" s="137">
        <v>1819</v>
      </c>
      <c r="H47" s="45">
        <f t="shared" si="34"/>
        <v>57171.17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1455.2000000000005</v>
      </c>
      <c r="O47" s="138">
        <f t="shared" si="30"/>
        <v>207.88571428571436</v>
      </c>
      <c r="P47" s="51">
        <f t="shared" si="31"/>
        <v>0</v>
      </c>
      <c r="Q47" s="139">
        <f t="shared" si="32"/>
        <v>-6.3999999999999204</v>
      </c>
      <c r="R47" s="140">
        <f t="shared" si="27"/>
        <v>0.97013333333333374</v>
      </c>
      <c r="S47" s="602"/>
      <c r="T47" s="89">
        <v>0.24999999999999994</v>
      </c>
      <c r="U47" s="89">
        <v>0.30208333333333326</v>
      </c>
      <c r="V47" s="137">
        <v>25</v>
      </c>
      <c r="W47" s="143">
        <f t="shared" si="33"/>
        <v>74.999999999999972</v>
      </c>
      <c r="X47" s="123">
        <v>0.23750000000000002</v>
      </c>
      <c r="Y47" s="123">
        <v>0.24861111111111112</v>
      </c>
      <c r="Z47" s="124"/>
      <c r="AA47" s="124"/>
      <c r="AB47" s="588"/>
      <c r="AC47" s="588"/>
      <c r="AD47" s="420"/>
      <c r="AE47" s="420"/>
      <c r="AF47" s="144">
        <f t="shared" si="28"/>
        <v>-44.7999999999995</v>
      </c>
      <c r="AG47" s="428">
        <f t="shared" si="7"/>
        <v>0.97013333333333363</v>
      </c>
      <c r="AH47" s="625"/>
    </row>
    <row r="48" spans="1:34" s="145" customFormat="1" ht="19.2" customHeight="1">
      <c r="A48" s="623"/>
      <c r="B48" s="97" t="s">
        <v>130</v>
      </c>
      <c r="C48" s="133"/>
      <c r="D48" s="42" t="s">
        <v>178</v>
      </c>
      <c r="E48" s="148"/>
      <c r="F48" s="362">
        <v>11.86</v>
      </c>
      <c r="G48" s="137">
        <v>1495</v>
      </c>
      <c r="H48" s="45">
        <f t="shared" si="34"/>
        <v>17730.7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1470.4918032786879</v>
      </c>
      <c r="O48" s="138">
        <f t="shared" si="30"/>
        <v>245.08196721311467</v>
      </c>
      <c r="P48" s="51">
        <f t="shared" si="31"/>
        <v>0</v>
      </c>
      <c r="Q48" s="139">
        <f t="shared" si="32"/>
        <v>-4.918032786885334</v>
      </c>
      <c r="R48" s="140">
        <f t="shared" si="27"/>
        <v>0.98032786885245871</v>
      </c>
      <c r="S48" s="602"/>
      <c r="T48" s="89">
        <v>0.30902777777777768</v>
      </c>
      <c r="U48" s="89">
        <v>0.35138888888888881</v>
      </c>
      <c r="V48" s="134">
        <v>10</v>
      </c>
      <c r="W48" s="143">
        <f t="shared" si="33"/>
        <v>61.000000000000021</v>
      </c>
      <c r="X48" s="123"/>
      <c r="Y48" s="123"/>
      <c r="Z48" s="124"/>
      <c r="AA48" s="124"/>
      <c r="AB48" s="588"/>
      <c r="AC48" s="588"/>
      <c r="AD48" s="420"/>
      <c r="AE48" s="420">
        <v>1</v>
      </c>
      <c r="AF48" s="144">
        <f t="shared" si="28"/>
        <v>-29.508196721312061</v>
      </c>
      <c r="AG48" s="428">
        <f t="shared" si="7"/>
        <v>0.98032786885245859</v>
      </c>
      <c r="AH48" s="625"/>
    </row>
    <row r="49" spans="1:34" s="145" customFormat="1" ht="19.2" customHeight="1">
      <c r="A49" s="623"/>
      <c r="B49" s="97" t="s">
        <v>130</v>
      </c>
      <c r="C49" s="133"/>
      <c r="D49" s="42" t="s">
        <v>143</v>
      </c>
      <c r="E49" s="148"/>
      <c r="F49" s="362">
        <v>36.92</v>
      </c>
      <c r="G49" s="134">
        <v>792</v>
      </c>
      <c r="H49" s="45">
        <f t="shared" si="34"/>
        <v>29240.640000000003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1532.9032258064531</v>
      </c>
      <c r="O49" s="138">
        <f t="shared" si="30"/>
        <v>127.74193548387109</v>
      </c>
      <c r="P49" s="51">
        <f t="shared" si="31"/>
        <v>0</v>
      </c>
      <c r="Q49" s="139">
        <f t="shared" si="32"/>
        <v>-38.924731182795568</v>
      </c>
      <c r="R49" s="140">
        <f t="shared" si="27"/>
        <v>0.76645161290322661</v>
      </c>
      <c r="S49" s="602"/>
      <c r="T49" s="89">
        <v>0.39166666666666655</v>
      </c>
      <c r="U49" s="89">
        <v>0.41319444444444431</v>
      </c>
      <c r="V49" s="134">
        <v>5</v>
      </c>
      <c r="W49" s="143">
        <f t="shared" si="33"/>
        <v>30.999999999999972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-467.09677419354693</v>
      </c>
      <c r="AG49" s="428">
        <f t="shared" si="7"/>
        <v>0.7664516129032265</v>
      </c>
      <c r="AH49" s="625"/>
    </row>
    <row r="50" spans="1:34" s="145" customFormat="1" ht="19.2" customHeight="1">
      <c r="A50" s="623"/>
      <c r="B50" s="97" t="s">
        <v>132</v>
      </c>
      <c r="C50" s="133"/>
      <c r="D50" s="42" t="s">
        <v>66</v>
      </c>
      <c r="E50" s="148"/>
      <c r="F50" s="362">
        <v>10.09</v>
      </c>
      <c r="G50" s="134">
        <v>3145.23</v>
      </c>
      <c r="H50" s="45">
        <f t="shared" si="34"/>
        <v>31735.370699999999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1408.3119402985074</v>
      </c>
      <c r="O50" s="138">
        <f t="shared" si="30"/>
        <v>234.71865671641788</v>
      </c>
      <c r="P50" s="51">
        <f t="shared" si="31"/>
        <v>0</v>
      </c>
      <c r="Q50" s="139">
        <f t="shared" si="32"/>
        <v>-15.281343283582117</v>
      </c>
      <c r="R50" s="140">
        <f t="shared" si="27"/>
        <v>0.93887462686567158</v>
      </c>
      <c r="S50" s="602"/>
      <c r="T50" s="89">
        <v>0.42013888888888873</v>
      </c>
      <c r="U50" s="89">
        <v>0.51319444444444429</v>
      </c>
      <c r="V50" s="134">
        <v>10</v>
      </c>
      <c r="W50" s="143">
        <f t="shared" si="33"/>
        <v>134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-91.688059701492648</v>
      </c>
      <c r="AG50" s="428">
        <f t="shared" si="7"/>
        <v>0.93887462686567158</v>
      </c>
      <c r="AH50" s="625"/>
    </row>
    <row r="51" spans="1:34" s="145" customFormat="1" ht="19.2" customHeight="1">
      <c r="A51" s="623"/>
      <c r="B51" s="97" t="s">
        <v>132</v>
      </c>
      <c r="C51" s="133"/>
      <c r="D51" s="150" t="s">
        <v>66</v>
      </c>
      <c r="E51" s="148"/>
      <c r="F51" s="362">
        <v>10.09</v>
      </c>
      <c r="G51" s="134">
        <v>2679.27</v>
      </c>
      <c r="H51" s="45">
        <f t="shared" si="34"/>
        <v>27033.834299999999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1435.3232142857153</v>
      </c>
      <c r="O51" s="138">
        <f t="shared" si="30"/>
        <v>239.22053571428589</v>
      </c>
      <c r="P51" s="51">
        <f t="shared" si="31"/>
        <v>0</v>
      </c>
      <c r="Q51" s="139">
        <f t="shared" si="32"/>
        <v>-10.779464285714113</v>
      </c>
      <c r="R51" s="140">
        <f t="shared" si="27"/>
        <v>0.95688214285714357</v>
      </c>
      <c r="S51" s="602"/>
      <c r="T51" s="151">
        <v>0.53055555555555545</v>
      </c>
      <c r="U51" s="151">
        <v>0.60833333333333317</v>
      </c>
      <c r="V51" s="134">
        <v>25</v>
      </c>
      <c r="W51" s="143">
        <f t="shared" si="33"/>
        <v>111.99999999999991</v>
      </c>
      <c r="X51" s="152">
        <v>0.51736111111111105</v>
      </c>
      <c r="Y51" s="152">
        <v>0.52916666666666667</v>
      </c>
      <c r="Z51" s="153"/>
      <c r="AA51" s="153"/>
      <c r="AB51" s="588"/>
      <c r="AC51" s="588"/>
      <c r="AD51" s="420"/>
      <c r="AE51" s="420"/>
      <c r="AF51" s="144">
        <f t="shared" si="28"/>
        <v>-64.676785714284733</v>
      </c>
      <c r="AG51" s="428">
        <f t="shared" si="7"/>
        <v>0.95688214285714346</v>
      </c>
      <c r="AH51" s="625"/>
    </row>
    <row r="52" spans="1:34" s="145" customFormat="1" ht="19.2" customHeight="1">
      <c r="A52" s="623"/>
      <c r="B52" s="97" t="s">
        <v>130</v>
      </c>
      <c r="C52" s="133"/>
      <c r="D52" s="150" t="s">
        <v>201</v>
      </c>
      <c r="E52" s="148"/>
      <c r="F52" s="362">
        <v>26.5</v>
      </c>
      <c r="G52" s="134">
        <v>884.8</v>
      </c>
      <c r="H52" s="154">
        <f>F52*G52</f>
        <v>23447.199999999997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1516.7999999999984</v>
      </c>
      <c r="O52" s="138">
        <f t="shared" si="30"/>
        <v>126.39999999999986</v>
      </c>
      <c r="P52" s="51">
        <f t="shared" si="31"/>
        <v>0</v>
      </c>
      <c r="Q52" s="139">
        <f t="shared" si="32"/>
        <v>-40.266666666666794</v>
      </c>
      <c r="R52" s="140">
        <f t="shared" si="27"/>
        <v>0.75839999999999919</v>
      </c>
      <c r="S52" s="602"/>
      <c r="T52" s="151">
        <v>0.61180555555555538</v>
      </c>
      <c r="U52" s="151">
        <v>0.63611111111111096</v>
      </c>
      <c r="V52" s="134">
        <v>5</v>
      </c>
      <c r="W52" s="143">
        <f t="shared" si="33"/>
        <v>35.000000000000036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-483.20000000000164</v>
      </c>
      <c r="AG52" s="428">
        <f t="shared" si="7"/>
        <v>0.75839999999999919</v>
      </c>
      <c r="AH52" s="625"/>
    </row>
    <row r="53" spans="1:34" s="145" customFormat="1" ht="19.2" customHeight="1">
      <c r="A53" s="623"/>
      <c r="B53" s="97" t="s">
        <v>130</v>
      </c>
      <c r="C53" s="133"/>
      <c r="D53" s="150" t="s">
        <v>387</v>
      </c>
      <c r="E53" s="148"/>
      <c r="F53" s="362">
        <v>28.47</v>
      </c>
      <c r="G53" s="134">
        <v>1087.0999999999999</v>
      </c>
      <c r="H53" s="154">
        <f>F53*G53</f>
        <v>30949.736999999997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1449.4666666666665</v>
      </c>
      <c r="O53" s="138">
        <f t="shared" si="30"/>
        <v>207.06666666666663</v>
      </c>
      <c r="P53" s="51">
        <f t="shared" si="31"/>
        <v>0</v>
      </c>
      <c r="Q53" s="139">
        <f t="shared" si="32"/>
        <v>-7.2190476190476431</v>
      </c>
      <c r="R53" s="140">
        <f t="shared" si="27"/>
        <v>0.96631111111111101</v>
      </c>
      <c r="S53" s="602"/>
      <c r="T53" s="151">
        <v>0.63958333333333317</v>
      </c>
      <c r="U53" s="151">
        <v>0.67083333333333317</v>
      </c>
      <c r="V53" s="134">
        <v>5</v>
      </c>
      <c r="W53" s="143">
        <f t="shared" si="33"/>
        <v>45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-50.53333333333353</v>
      </c>
      <c r="AG53" s="428">
        <f t="shared" si="7"/>
        <v>0.96631111111111101</v>
      </c>
      <c r="AH53" s="625"/>
    </row>
    <row r="54" spans="1:34" s="145" customFormat="1" ht="19.2" customHeight="1">
      <c r="A54" s="623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2" customHeight="1">
      <c r="A55" s="623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2" customHeight="1">
      <c r="A56" s="624"/>
      <c r="B56" s="157">
        <v>0</v>
      </c>
      <c r="C56" s="268" t="s">
        <v>661</v>
      </c>
      <c r="D56" s="621" t="s">
        <v>655</v>
      </c>
      <c r="E56" s="617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1604.9365282815404</v>
      </c>
      <c r="O56" s="104">
        <f t="shared" si="35"/>
        <v>236.21402264057332</v>
      </c>
      <c r="P56" s="158">
        <f>M56-J56</f>
        <v>0.20000000000000018</v>
      </c>
      <c r="Q56" s="117">
        <f>N56-K56</f>
        <v>-145.0634717184596</v>
      </c>
      <c r="R56" s="159">
        <f t="shared" ref="R56:R62" si="36">O56/L56</f>
        <v>0.88186568452480718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-145.0634717184596</v>
      </c>
      <c r="AG56" s="421">
        <f>N56/K56</f>
        <v>0.91710658758945163</v>
      </c>
      <c r="AH56" s="625"/>
    </row>
    <row r="57" spans="1:34" ht="19.2" customHeight="1">
      <c r="A57" s="628" t="s">
        <v>662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1131</v>
      </c>
      <c r="H57" s="84">
        <f t="shared" ref="H57:H66" si="37">F57*G57</f>
        <v>31962.06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1443.8297872340427</v>
      </c>
      <c r="O57" s="86">
        <f t="shared" ref="O57:O62" si="39">N57/M57</f>
        <v>206.26139817629181</v>
      </c>
      <c r="P57" s="165">
        <f t="shared" ref="P57:P62" si="40">M57-J57</f>
        <v>0</v>
      </c>
      <c r="Q57" s="49">
        <f t="shared" ref="Q57:Q62" si="41">O57-L57</f>
        <v>-8.0243161094224718</v>
      </c>
      <c r="R57" s="424">
        <f t="shared" si="36"/>
        <v>0.9625531914893618</v>
      </c>
      <c r="S57" s="602">
        <f>R69</f>
        <v>0.96172650838812679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-56.170212765957331</v>
      </c>
      <c r="AG57" s="423">
        <f t="shared" si="7"/>
        <v>0.9625531914893618</v>
      </c>
      <c r="AH57" s="616">
        <f>AG69</f>
        <v>0.96207415156333009</v>
      </c>
    </row>
    <row r="58" spans="1:34" ht="19.2" customHeight="1">
      <c r="A58" s="619"/>
      <c r="B58" s="121" t="s">
        <v>130</v>
      </c>
      <c r="C58" s="420"/>
      <c r="D58" s="42" t="s">
        <v>69</v>
      </c>
      <c r="E58" s="43"/>
      <c r="F58" s="355">
        <v>27.88</v>
      </c>
      <c r="G58" s="44">
        <v>3084</v>
      </c>
      <c r="H58" s="45">
        <f t="shared" si="37"/>
        <v>85981.92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1445.6250000000005</v>
      </c>
      <c r="O58" s="47">
        <f t="shared" si="39"/>
        <v>206.5178571428572</v>
      </c>
      <c r="P58" s="165">
        <f t="shared" si="40"/>
        <v>0</v>
      </c>
      <c r="Q58" s="49">
        <f t="shared" si="41"/>
        <v>-7.767857142857082</v>
      </c>
      <c r="R58" s="424">
        <f t="shared" si="36"/>
        <v>0.96375000000000033</v>
      </c>
      <c r="S58" s="602"/>
      <c r="T58" s="50">
        <v>0.16319444444444445</v>
      </c>
      <c r="U58" s="50">
        <v>0.25208333333333333</v>
      </c>
      <c r="V58" s="422">
        <v>8</v>
      </c>
      <c r="W58" s="433">
        <f>(U58-T58)*24*60</f>
        <v>127.99999999999997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-54.374999999999545</v>
      </c>
      <c r="AG58" s="424">
        <f t="shared" si="7"/>
        <v>0.96375000000000033</v>
      </c>
      <c r="AH58" s="602"/>
    </row>
    <row r="59" spans="1:34" ht="19.2" customHeight="1">
      <c r="A59" s="619"/>
      <c r="B59" s="121" t="s">
        <v>130</v>
      </c>
      <c r="C59" s="420"/>
      <c r="D59" s="42" t="s">
        <v>70</v>
      </c>
      <c r="E59" s="43"/>
      <c r="F59" s="355">
        <v>28</v>
      </c>
      <c r="G59" s="44">
        <v>3007</v>
      </c>
      <c r="H59" s="45">
        <f t="shared" si="37"/>
        <v>84196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1443.3600000000006</v>
      </c>
      <c r="O59" s="47">
        <f t="shared" si="39"/>
        <v>206.1942857142858</v>
      </c>
      <c r="P59" s="165">
        <f t="shared" si="40"/>
        <v>0</v>
      </c>
      <c r="Q59" s="49">
        <f t="shared" si="41"/>
        <v>-8.0914285714284802</v>
      </c>
      <c r="R59" s="424">
        <f t="shared" si="36"/>
        <v>0.96224000000000043</v>
      </c>
      <c r="S59" s="602"/>
      <c r="T59" s="50">
        <v>0.26944444444444443</v>
      </c>
      <c r="U59" s="50">
        <v>0.35624999999999996</v>
      </c>
      <c r="V59" s="142">
        <v>25</v>
      </c>
      <c r="W59" s="433">
        <f t="shared" ref="W59:W69" si="42">(U59-T59)*24*60</f>
        <v>124.99999999999996</v>
      </c>
      <c r="X59" s="53">
        <v>0.25694444444444448</v>
      </c>
      <c r="Y59" s="53">
        <v>0.26805555555555555</v>
      </c>
      <c r="Z59" s="54"/>
      <c r="AA59" s="54"/>
      <c r="AB59" s="588"/>
      <c r="AC59" s="588"/>
      <c r="AD59" s="420"/>
      <c r="AE59" s="420"/>
      <c r="AF59" s="48">
        <f t="shared" si="6"/>
        <v>-56.639999999999418</v>
      </c>
      <c r="AG59" s="424">
        <f t="shared" si="7"/>
        <v>0.96224000000000043</v>
      </c>
      <c r="AH59" s="602"/>
    </row>
    <row r="60" spans="1:34" ht="19.2" customHeight="1">
      <c r="A60" s="619"/>
      <c r="B60" s="121" t="s">
        <v>130</v>
      </c>
      <c r="C60" s="420"/>
      <c r="D60" s="42" t="s">
        <v>387</v>
      </c>
      <c r="E60" s="43"/>
      <c r="F60" s="355">
        <v>28.47</v>
      </c>
      <c r="G60" s="44">
        <v>2018.9</v>
      </c>
      <c r="H60" s="45">
        <f t="shared" si="37"/>
        <v>57478.082999999999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1459.4457831325299</v>
      </c>
      <c r="O60" s="47">
        <f t="shared" si="39"/>
        <v>208.49225473321854</v>
      </c>
      <c r="P60" s="165">
        <f t="shared" si="40"/>
        <v>0</v>
      </c>
      <c r="Q60" s="49">
        <f t="shared" si="41"/>
        <v>-5.7934595524957331</v>
      </c>
      <c r="R60" s="424">
        <f t="shared" si="36"/>
        <v>0.97296385542168662</v>
      </c>
      <c r="S60" s="602"/>
      <c r="T60" s="50">
        <v>0.37361111111111106</v>
      </c>
      <c r="U60" s="50">
        <v>0.43124999999999997</v>
      </c>
      <c r="V60" s="142">
        <v>25</v>
      </c>
      <c r="W60" s="433">
        <f t="shared" si="42"/>
        <v>83.000000000000028</v>
      </c>
      <c r="X60" s="53">
        <v>0.3611111111111111</v>
      </c>
      <c r="Y60" s="53">
        <v>0.37222222222222223</v>
      </c>
      <c r="Z60" s="54"/>
      <c r="AA60" s="54"/>
      <c r="AB60" s="588"/>
      <c r="AC60" s="588"/>
      <c r="AD60" s="420"/>
      <c r="AE60" s="420"/>
      <c r="AF60" s="48">
        <f t="shared" si="6"/>
        <v>-40.554216867470132</v>
      </c>
      <c r="AG60" s="423">
        <f t="shared" si="7"/>
        <v>0.97296385542168662</v>
      </c>
      <c r="AH60" s="602"/>
    </row>
    <row r="61" spans="1:34" ht="19.2" customHeight="1">
      <c r="A61" s="619"/>
      <c r="B61" s="121" t="s">
        <v>132</v>
      </c>
      <c r="C61" s="420"/>
      <c r="D61" s="42" t="s">
        <v>66</v>
      </c>
      <c r="E61" s="43"/>
      <c r="F61" s="355">
        <v>10.09</v>
      </c>
      <c r="G61" s="44">
        <v>3378.2099999999996</v>
      </c>
      <c r="H61" s="45">
        <f t="shared" si="37"/>
        <v>34086.138899999998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1427.4126760563372</v>
      </c>
      <c r="O61" s="47">
        <f t="shared" si="39"/>
        <v>237.90211267605619</v>
      </c>
      <c r="P61" s="165">
        <f t="shared" si="40"/>
        <v>0</v>
      </c>
      <c r="Q61" s="49">
        <f t="shared" si="41"/>
        <v>-12.097887323943809</v>
      </c>
      <c r="R61" s="424">
        <f t="shared" si="36"/>
        <v>0.95160845070422473</v>
      </c>
      <c r="S61" s="602"/>
      <c r="T61" s="50">
        <v>0.47152777777777771</v>
      </c>
      <c r="U61" s="50">
        <v>0.57013888888888886</v>
      </c>
      <c r="V61" s="142">
        <v>5</v>
      </c>
      <c r="W61" s="433">
        <f t="shared" si="42"/>
        <v>142.00000000000006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-72.587323943662796</v>
      </c>
      <c r="AG61" s="424">
        <f t="shared" si="7"/>
        <v>0.95160845070422484</v>
      </c>
      <c r="AH61" s="602"/>
    </row>
    <row r="62" spans="1:34" ht="19.2" customHeight="1">
      <c r="A62" s="619"/>
      <c r="B62" s="121" t="s">
        <v>132</v>
      </c>
      <c r="C62" s="420"/>
      <c r="D62" s="42" t="s">
        <v>66</v>
      </c>
      <c r="E62" s="43"/>
      <c r="F62" s="355">
        <v>10.09</v>
      </c>
      <c r="G62" s="134">
        <v>2446.29</v>
      </c>
      <c r="H62" s="45">
        <f t="shared" si="37"/>
        <v>24683.0661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1438.9941176470593</v>
      </c>
      <c r="O62" s="47">
        <f t="shared" si="39"/>
        <v>239.83235294117654</v>
      </c>
      <c r="P62" s="165">
        <f t="shared" si="40"/>
        <v>0</v>
      </c>
      <c r="Q62" s="49">
        <f t="shared" si="41"/>
        <v>-10.167647058823462</v>
      </c>
      <c r="R62" s="424">
        <f t="shared" si="36"/>
        <v>0.9593294117647061</v>
      </c>
      <c r="S62" s="602"/>
      <c r="T62" s="166">
        <v>0.58750000000000002</v>
      </c>
      <c r="U62" s="166">
        <v>0.65833333333333333</v>
      </c>
      <c r="V62" s="142">
        <v>25</v>
      </c>
      <c r="W62" s="433">
        <f t="shared" si="42"/>
        <v>101.99999999999996</v>
      </c>
      <c r="X62" s="53">
        <v>0.57500000000000007</v>
      </c>
      <c r="Y62" s="53">
        <v>0.58611111111111114</v>
      </c>
      <c r="Z62" s="54"/>
      <c r="AA62" s="54"/>
      <c r="AB62" s="588"/>
      <c r="AC62" s="588"/>
      <c r="AD62" s="420"/>
      <c r="AE62" s="420"/>
      <c r="AF62" s="48">
        <f t="shared" si="6"/>
        <v>-61.005882352940716</v>
      </c>
      <c r="AG62" s="424">
        <f t="shared" si="7"/>
        <v>0.95932941176470621</v>
      </c>
      <c r="AH62" s="602"/>
    </row>
    <row r="63" spans="1:34" ht="19.2" customHeight="1">
      <c r="A63" s="61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2" customHeight="1">
      <c r="A64" s="584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2" customHeight="1">
      <c r="A65" s="584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2" customHeight="1">
      <c r="A66" s="584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2" customHeight="1">
      <c r="A67" s="584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2" customHeight="1">
      <c r="A68" s="584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2" customHeight="1">
      <c r="A69" s="584"/>
      <c r="B69" s="168">
        <v>0</v>
      </c>
      <c r="C69" s="6" t="s">
        <v>663</v>
      </c>
      <c r="D69" s="617" t="s">
        <v>655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1443.1112273449951</v>
      </c>
      <c r="O69" s="73">
        <f t="shared" si="43"/>
        <v>217.53337689731438</v>
      </c>
      <c r="P69" s="48">
        <f>M69-J69</f>
        <v>0</v>
      </c>
      <c r="Q69" s="49">
        <f>N69-K69</f>
        <v>-56.888772655004914</v>
      </c>
      <c r="R69" s="172">
        <f t="shared" ref="R69:R75" si="44">O69/L69</f>
        <v>0.96172650838812679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-56.888772655004914</v>
      </c>
      <c r="AG69" s="424">
        <f t="shared" si="7"/>
        <v>0.96207415156333009</v>
      </c>
      <c r="AH69" s="602"/>
    </row>
    <row r="70" spans="1:34" ht="19.2" customHeight="1">
      <c r="A70" s="586" t="s">
        <v>664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1820</v>
      </c>
      <c r="H70" s="45">
        <f>F70*G70</f>
        <v>113076.6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1382.2784810126575</v>
      </c>
      <c r="O70" s="47">
        <f t="shared" ref="O70:O75" si="46">N70/M70</f>
        <v>98.734177215189817</v>
      </c>
      <c r="P70" s="48">
        <f t="shared" ref="P70:P75" si="47">M70-J70</f>
        <v>0</v>
      </c>
      <c r="Q70" s="49">
        <f t="shared" ref="Q70:Q75" si="48">O70-L70</f>
        <v>-8.4086799276673219</v>
      </c>
      <c r="R70" s="424">
        <f t="shared" si="44"/>
        <v>0.92151898734177162</v>
      </c>
      <c r="S70" s="602">
        <f>R82</f>
        <v>0.92432783952366804</v>
      </c>
      <c r="T70" s="50">
        <v>0.25</v>
      </c>
      <c r="U70" s="50">
        <v>0.30486111111111114</v>
      </c>
      <c r="V70" s="422">
        <v>5</v>
      </c>
      <c r="W70" s="433">
        <f>(U70-T70)*24*60</f>
        <v>79.000000000000043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-117.72151898734251</v>
      </c>
      <c r="AG70" s="424">
        <f t="shared" si="7"/>
        <v>0.92151898734177162</v>
      </c>
      <c r="AH70" s="602">
        <f>AG82</f>
        <v>0.92440119582370384</v>
      </c>
    </row>
    <row r="71" spans="1:34" ht="19.2" customHeight="1">
      <c r="A71" s="586"/>
      <c r="B71" s="422" t="s">
        <v>128</v>
      </c>
      <c r="C71" s="41"/>
      <c r="D71" s="173" t="s">
        <v>71</v>
      </c>
      <c r="E71" s="43"/>
      <c r="F71" s="355">
        <v>47.65</v>
      </c>
      <c r="G71" s="44">
        <v>2133</v>
      </c>
      <c r="H71" s="45">
        <f>F71*G71</f>
        <v>101637.45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1333.1250000000005</v>
      </c>
      <c r="O71" s="47">
        <f t="shared" si="46"/>
        <v>74.062500000000028</v>
      </c>
      <c r="P71" s="48">
        <f t="shared" si="47"/>
        <v>0</v>
      </c>
      <c r="Q71" s="49">
        <f t="shared" si="48"/>
        <v>-5.9374999999999716</v>
      </c>
      <c r="R71" s="424">
        <f t="shared" si="44"/>
        <v>0.92578125000000033</v>
      </c>
      <c r="S71" s="602"/>
      <c r="T71" s="50">
        <v>0.30972222222222223</v>
      </c>
      <c r="U71" s="50">
        <v>0.37638888888888888</v>
      </c>
      <c r="V71" s="422">
        <v>7</v>
      </c>
      <c r="W71" s="433">
        <f t="shared" ref="W71:W81" si="49">(U71-T71)*24*60</f>
        <v>95.999999999999972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-106.87499999999955</v>
      </c>
      <c r="AG71" s="424">
        <f>N71/K71</f>
        <v>0.92578125000000033</v>
      </c>
      <c r="AH71" s="602"/>
    </row>
    <row r="72" spans="1:34" ht="19.2" customHeight="1">
      <c r="A72" s="586"/>
      <c r="B72" s="422" t="s">
        <v>128</v>
      </c>
      <c r="C72" s="66"/>
      <c r="D72" s="173" t="s">
        <v>72</v>
      </c>
      <c r="E72" s="43"/>
      <c r="F72" s="355">
        <v>53.36</v>
      </c>
      <c r="G72" s="44">
        <v>4143.04</v>
      </c>
      <c r="H72" s="45">
        <f t="shared" ref="H72:H80" si="50">F72*G72</f>
        <v>221072.61439999999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1350.9913043478257</v>
      </c>
      <c r="O72" s="47">
        <f t="shared" si="46"/>
        <v>71.104805491990831</v>
      </c>
      <c r="P72" s="48">
        <f t="shared" si="47"/>
        <v>0</v>
      </c>
      <c r="Q72" s="49">
        <f t="shared" si="48"/>
        <v>-4.6846681922196893</v>
      </c>
      <c r="R72" s="424">
        <f t="shared" si="44"/>
        <v>0.93818840579710128</v>
      </c>
      <c r="S72" s="602"/>
      <c r="T72" s="50">
        <v>0.3923611111111111</v>
      </c>
      <c r="U72" s="50">
        <v>0.52013888888888893</v>
      </c>
      <c r="V72" s="422">
        <v>23</v>
      </c>
      <c r="W72" s="433">
        <f t="shared" si="49"/>
        <v>184.00000000000006</v>
      </c>
      <c r="X72" s="53">
        <v>0.38055555555555554</v>
      </c>
      <c r="Y72" s="53">
        <v>0.39166666666666666</v>
      </c>
      <c r="Z72" s="54"/>
      <c r="AA72" s="54"/>
      <c r="AB72" s="588"/>
      <c r="AC72" s="588"/>
      <c r="AD72" s="420"/>
      <c r="AE72" s="420"/>
      <c r="AF72" s="48">
        <f>N72-K72</f>
        <v>-89.00869565217431</v>
      </c>
      <c r="AG72" s="424">
        <f>N72/K72</f>
        <v>0.93818840579710117</v>
      </c>
      <c r="AH72" s="602"/>
    </row>
    <row r="73" spans="1:34" ht="19.2" customHeight="1">
      <c r="A73" s="586"/>
      <c r="B73" s="422" t="s">
        <v>128</v>
      </c>
      <c r="C73" s="175"/>
      <c r="D73" s="176" t="s">
        <v>73</v>
      </c>
      <c r="E73" s="177"/>
      <c r="F73" s="355">
        <v>53.76</v>
      </c>
      <c r="G73" s="44">
        <v>2208</v>
      </c>
      <c r="H73" s="45">
        <f t="shared" si="50"/>
        <v>118702.08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1324.8000000000004</v>
      </c>
      <c r="O73" s="47">
        <f t="shared" si="46"/>
        <v>82.800000000000026</v>
      </c>
      <c r="P73" s="48">
        <f t="shared" si="47"/>
        <v>0</v>
      </c>
      <c r="Q73" s="49">
        <f t="shared" si="48"/>
        <v>-7.1999999999999744</v>
      </c>
      <c r="R73" s="424">
        <f t="shared" si="44"/>
        <v>0.92000000000000026</v>
      </c>
      <c r="S73" s="602"/>
      <c r="T73" s="50">
        <v>0.56111111111111112</v>
      </c>
      <c r="U73" s="50">
        <v>0.63055555555555554</v>
      </c>
      <c r="V73" s="422">
        <v>6</v>
      </c>
      <c r="W73" s="433">
        <f t="shared" si="49"/>
        <v>99.999999999999972</v>
      </c>
      <c r="X73" s="180"/>
      <c r="Y73" s="180"/>
      <c r="Z73" s="124"/>
      <c r="AA73" s="124"/>
      <c r="AB73" s="588"/>
      <c r="AC73" s="588"/>
      <c r="AD73" s="420">
        <v>1</v>
      </c>
      <c r="AE73" s="420"/>
      <c r="AF73" s="48">
        <f>N73-K73</f>
        <v>-115.19999999999959</v>
      </c>
      <c r="AG73" s="424">
        <f>N73/K73</f>
        <v>0.92000000000000026</v>
      </c>
      <c r="AH73" s="602"/>
    </row>
    <row r="74" spans="1:34" ht="19.2" customHeight="1">
      <c r="A74" s="586"/>
      <c r="B74" s="422" t="s">
        <v>128</v>
      </c>
      <c r="C74" s="175"/>
      <c r="D74" s="176" t="s">
        <v>74</v>
      </c>
      <c r="E74" s="177"/>
      <c r="F74" s="355">
        <v>47.51</v>
      </c>
      <c r="G74" s="44">
        <v>1774</v>
      </c>
      <c r="H74" s="45">
        <f t="shared" si="50"/>
        <v>84282.739999999991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1347.3417721518981</v>
      </c>
      <c r="O74" s="47">
        <f t="shared" si="46"/>
        <v>79.25539836187636</v>
      </c>
      <c r="P74" s="48">
        <f t="shared" si="47"/>
        <v>0</v>
      </c>
      <c r="Q74" s="49">
        <f t="shared" si="48"/>
        <v>-5.4504839910648144</v>
      </c>
      <c r="R74" s="424">
        <f t="shared" si="44"/>
        <v>0.93565400843881819</v>
      </c>
      <c r="S74" s="602"/>
      <c r="T74" s="50">
        <v>0.64513888888888882</v>
      </c>
      <c r="U74" s="50">
        <v>0.7</v>
      </c>
      <c r="V74" s="422">
        <v>21</v>
      </c>
      <c r="W74" s="433">
        <f t="shared" si="49"/>
        <v>79.000000000000043</v>
      </c>
      <c r="X74" s="180">
        <v>0.63472222222222219</v>
      </c>
      <c r="Y74" s="180">
        <v>0.64444444444444449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-92.658227848101888</v>
      </c>
      <c r="AG74" s="424">
        <f t="shared" ref="AG74:AG80" si="52">N74/K74</f>
        <v>0.93565400843881819</v>
      </c>
      <c r="AH74" s="602"/>
    </row>
    <row r="75" spans="1:34" ht="19.2" customHeight="1">
      <c r="A75" s="586"/>
      <c r="B75" s="422" t="s">
        <v>128</v>
      </c>
      <c r="C75" s="66"/>
      <c r="D75" s="173" t="s">
        <v>72</v>
      </c>
      <c r="E75" s="43"/>
      <c r="F75" s="355">
        <v>53.36</v>
      </c>
      <c r="G75" s="57">
        <v>564.95999999999992</v>
      </c>
      <c r="H75" s="45">
        <f t="shared" si="50"/>
        <v>30146.265599999995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1303.7538461538427</v>
      </c>
      <c r="O75" s="47">
        <f t="shared" si="46"/>
        <v>68.618623481781199</v>
      </c>
      <c r="P75" s="48">
        <f t="shared" si="47"/>
        <v>0</v>
      </c>
      <c r="Q75" s="49">
        <f t="shared" si="48"/>
        <v>-7.170850202429321</v>
      </c>
      <c r="R75" s="424">
        <f t="shared" si="44"/>
        <v>0.90538461538461312</v>
      </c>
      <c r="S75" s="602"/>
      <c r="T75" s="50">
        <v>0.70486111111111105</v>
      </c>
      <c r="U75" s="50">
        <v>0.72291666666666665</v>
      </c>
      <c r="V75" s="422">
        <v>7</v>
      </c>
      <c r="W75" s="433">
        <f t="shared" si="49"/>
        <v>26.000000000000068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-136.24615384615731</v>
      </c>
      <c r="AG75" s="424">
        <f t="shared" si="52"/>
        <v>0.90538461538461301</v>
      </c>
      <c r="AH75" s="602"/>
    </row>
    <row r="76" spans="1:34" ht="19.2" customHeight="1">
      <c r="A76" s="586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2" customHeight="1">
      <c r="A77" s="586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2" customHeight="1">
      <c r="A78" s="586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2" customHeight="1">
      <c r="A79" s="586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2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2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2" customHeight="1">
      <c r="A82" s="629"/>
      <c r="B82" s="168">
        <v>0</v>
      </c>
      <c r="C82" s="100" t="s">
        <v>665</v>
      </c>
      <c r="D82" s="617" t="s">
        <v>655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1340.3817339443706</v>
      </c>
      <c r="O82" s="184">
        <f t="shared" si="53"/>
        <v>79.095917425139703</v>
      </c>
      <c r="P82" s="116">
        <f>M82-J82</f>
        <v>0</v>
      </c>
      <c r="Q82" s="117">
        <f>N82-K82</f>
        <v>-109.61826605562942</v>
      </c>
      <c r="R82" s="172">
        <f>O82/L82</f>
        <v>0.92432783952366804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-109.61826605562942</v>
      </c>
      <c r="AG82" s="424">
        <f>N82/K82</f>
        <v>0.92440119582370384</v>
      </c>
      <c r="AH82" s="602"/>
    </row>
    <row r="83" spans="1:34" ht="19.2" customHeight="1">
      <c r="A83" s="630" t="s">
        <v>666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1875.25</v>
      </c>
      <c r="H83" s="84">
        <f t="shared" ref="H83:H94" si="54">F83*G83</f>
        <v>95018.91750000001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89" si="55">G83/W83*60</f>
        <v>1355.6024096385538</v>
      </c>
      <c r="O83" s="183">
        <f t="shared" ref="O83:O89" si="56">N83/M83</f>
        <v>75.31124497991965</v>
      </c>
      <c r="P83" s="54">
        <f t="shared" ref="P83:P89" si="57">M83-J83</f>
        <v>0</v>
      </c>
      <c r="Q83" s="88">
        <f t="shared" ref="Q83:Q89" si="58">O83-L83</f>
        <v>-8.0220883534136789</v>
      </c>
      <c r="R83" s="185">
        <f t="shared" ref="R83:R89" si="59">O83/L83</f>
        <v>0.90373493975903585</v>
      </c>
      <c r="S83" s="602">
        <f>R95</f>
        <v>0.84826618431028566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-144.39759036144619</v>
      </c>
      <c r="AG83" s="424">
        <f t="shared" ref="AG83:AG173" si="62">N83/K83</f>
        <v>0.90373493975903585</v>
      </c>
      <c r="AH83" s="602">
        <f>AG95</f>
        <v>0.85582359470713154</v>
      </c>
    </row>
    <row r="84" spans="1:34" ht="19.2" customHeight="1">
      <c r="A84" s="631"/>
      <c r="B84" s="110" t="s">
        <v>128</v>
      </c>
      <c r="C84" s="429"/>
      <c r="D84" s="186" t="s">
        <v>185</v>
      </c>
      <c r="E84" s="43"/>
      <c r="F84" s="362">
        <v>61.02</v>
      </c>
      <c r="G84" s="44">
        <v>2019</v>
      </c>
      <c r="H84" s="84">
        <f t="shared" si="54"/>
        <v>123199.38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1361.1235955056179</v>
      </c>
      <c r="O84" s="183">
        <f t="shared" si="56"/>
        <v>80.066093853271639</v>
      </c>
      <c r="P84" s="54">
        <f t="shared" si="57"/>
        <v>0</v>
      </c>
      <c r="Q84" s="88">
        <f t="shared" si="58"/>
        <v>-4.6397884996695353</v>
      </c>
      <c r="R84" s="185">
        <f t="shared" si="59"/>
        <v>0.94522471910112349</v>
      </c>
      <c r="S84" s="602"/>
      <c r="T84" s="50">
        <v>0.40694444444444444</v>
      </c>
      <c r="U84" s="50">
        <v>0.46875</v>
      </c>
      <c r="V84" s="422">
        <v>23</v>
      </c>
      <c r="W84" s="433">
        <f t="shared" si="60"/>
        <v>89</v>
      </c>
      <c r="X84" s="53">
        <v>0.39583333333333331</v>
      </c>
      <c r="Y84" s="53">
        <v>0.40625</v>
      </c>
      <c r="Z84" s="54"/>
      <c r="AA84" s="54"/>
      <c r="AB84" s="588"/>
      <c r="AC84" s="588"/>
      <c r="AD84" s="420"/>
      <c r="AE84" s="420"/>
      <c r="AF84" s="48">
        <f t="shared" si="61"/>
        <v>-78.876404494382086</v>
      </c>
      <c r="AG84" s="424">
        <f t="shared" si="62"/>
        <v>0.9452247191011236</v>
      </c>
      <c r="AH84" s="602"/>
    </row>
    <row r="85" spans="1:34" ht="19.2" customHeight="1">
      <c r="A85" s="631"/>
      <c r="B85" s="110" t="s">
        <v>130</v>
      </c>
      <c r="C85" s="122"/>
      <c r="D85" s="186" t="s">
        <v>143</v>
      </c>
      <c r="E85" s="43"/>
      <c r="F85" s="362">
        <v>36.92</v>
      </c>
      <c r="G85" s="44">
        <v>1847.9999999999998</v>
      </c>
      <c r="H85" s="84">
        <f t="shared" si="54"/>
        <v>68228.159999999989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1478.3999999999987</v>
      </c>
      <c r="O85" s="183">
        <f t="shared" si="56"/>
        <v>123.19999999999989</v>
      </c>
      <c r="P85" s="54">
        <f t="shared" si="57"/>
        <v>0</v>
      </c>
      <c r="Q85" s="88">
        <f t="shared" si="58"/>
        <v>-43.466666666666768</v>
      </c>
      <c r="R85" s="185">
        <f t="shared" si="59"/>
        <v>0.73919999999999941</v>
      </c>
      <c r="S85" s="602"/>
      <c r="T85" s="50">
        <v>0.47291666666666665</v>
      </c>
      <c r="U85" s="50">
        <v>0.52500000000000002</v>
      </c>
      <c r="V85" s="422">
        <v>6</v>
      </c>
      <c r="W85" s="433">
        <f t="shared" si="60"/>
        <v>75.000000000000057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-521.60000000000127</v>
      </c>
      <c r="AG85" s="424">
        <f t="shared" si="62"/>
        <v>0.73919999999999941</v>
      </c>
      <c r="AH85" s="602"/>
    </row>
    <row r="86" spans="1:34" ht="19.2" customHeight="1">
      <c r="A86" s="631"/>
      <c r="B86" s="110" t="s">
        <v>132</v>
      </c>
      <c r="C86" s="97"/>
      <c r="D86" s="186" t="s">
        <v>190</v>
      </c>
      <c r="E86" s="43"/>
      <c r="F86" s="362">
        <v>54.09</v>
      </c>
      <c r="G86" s="44">
        <v>998</v>
      </c>
      <c r="H86" s="84">
        <f t="shared" si="54"/>
        <v>53981.820000000007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1050.5263157894747</v>
      </c>
      <c r="O86" s="183">
        <f t="shared" si="56"/>
        <v>52.526315789473735</v>
      </c>
      <c r="P86" s="54">
        <f t="shared" si="57"/>
        <v>0</v>
      </c>
      <c r="Q86" s="88">
        <f t="shared" si="58"/>
        <v>-12.473684210526265</v>
      </c>
      <c r="R86" s="185">
        <f t="shared" si="59"/>
        <v>0.80809716599190362</v>
      </c>
      <c r="S86" s="602"/>
      <c r="T86" s="50">
        <v>0.56666666666666665</v>
      </c>
      <c r="U86" s="50">
        <v>0.60624999999999996</v>
      </c>
      <c r="V86" s="422">
        <v>7</v>
      </c>
      <c r="W86" s="433">
        <f t="shared" si="60"/>
        <v>56.999999999999957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-249.47368421052533</v>
      </c>
      <c r="AG86" s="424">
        <f t="shared" si="62"/>
        <v>0.80809716599190362</v>
      </c>
      <c r="AH86" s="602"/>
    </row>
    <row r="87" spans="1:34" ht="19.2" customHeight="1">
      <c r="A87" s="631"/>
      <c r="B87" s="110" t="s">
        <v>128</v>
      </c>
      <c r="C87" s="97"/>
      <c r="D87" s="186" t="s">
        <v>203</v>
      </c>
      <c r="E87" s="43"/>
      <c r="F87" s="362">
        <v>61.09</v>
      </c>
      <c r="G87" s="44">
        <v>1947</v>
      </c>
      <c r="H87" s="84">
        <f t="shared" si="54"/>
        <v>118942.23000000001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1283.7362637362637</v>
      </c>
      <c r="O87" s="183">
        <f t="shared" si="56"/>
        <v>75.513897866839045</v>
      </c>
      <c r="P87" s="54">
        <f t="shared" si="57"/>
        <v>0</v>
      </c>
      <c r="Q87" s="88">
        <f t="shared" si="58"/>
        <v>-9.1919844861021289</v>
      </c>
      <c r="R87" s="185">
        <f t="shared" si="59"/>
        <v>0.89148351648351654</v>
      </c>
      <c r="S87" s="602"/>
      <c r="T87" s="50">
        <v>0.62083333333333324</v>
      </c>
      <c r="U87" s="50">
        <v>0.68402777777777768</v>
      </c>
      <c r="V87" s="422">
        <v>21</v>
      </c>
      <c r="W87" s="433">
        <f t="shared" si="60"/>
        <v>91</v>
      </c>
      <c r="X87" s="53">
        <v>0.61111111111111105</v>
      </c>
      <c r="Y87" s="53">
        <v>0.61944444444444446</v>
      </c>
      <c r="Z87" s="54"/>
      <c r="AA87" s="54"/>
      <c r="AB87" s="588"/>
      <c r="AC87" s="588"/>
      <c r="AD87" s="420"/>
      <c r="AE87" s="420"/>
      <c r="AF87" s="48">
        <f t="shared" si="61"/>
        <v>-156.26373626373629</v>
      </c>
      <c r="AG87" s="424">
        <f t="shared" si="62"/>
        <v>0.89148351648351642</v>
      </c>
      <c r="AH87" s="602"/>
    </row>
    <row r="88" spans="1:34" ht="19.2" customHeight="1">
      <c r="A88" s="631"/>
      <c r="B88" s="110" t="s">
        <v>130</v>
      </c>
      <c r="C88" s="429"/>
      <c r="D88" s="186" t="s">
        <v>61</v>
      </c>
      <c r="E88" s="43"/>
      <c r="F88" s="362">
        <v>43.14</v>
      </c>
      <c r="G88" s="57">
        <v>617.75</v>
      </c>
      <c r="H88" s="84">
        <f t="shared" si="54"/>
        <v>26649.735000000001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1323.7499999999973</v>
      </c>
      <c r="O88" s="183">
        <f t="shared" si="56"/>
        <v>82.734374999999829</v>
      </c>
      <c r="P88" s="54">
        <f t="shared" si="57"/>
        <v>0</v>
      </c>
      <c r="Q88" s="88">
        <f t="shared" si="58"/>
        <v>-7.2656250000001705</v>
      </c>
      <c r="R88" s="185">
        <f t="shared" si="59"/>
        <v>0.91927083333333148</v>
      </c>
      <c r="S88" s="602"/>
      <c r="T88" s="50">
        <v>0.68958333333333321</v>
      </c>
      <c r="U88" s="50">
        <v>0.7090277777777777</v>
      </c>
      <c r="V88" s="422">
        <v>8</v>
      </c>
      <c r="W88" s="433">
        <f t="shared" si="60"/>
        <v>28.00000000000006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-116.25000000000273</v>
      </c>
      <c r="AG88" s="424">
        <f t="shared" si="62"/>
        <v>0.91927083333333148</v>
      </c>
      <c r="AH88" s="602"/>
    </row>
    <row r="89" spans="1:34" ht="19.2" customHeight="1">
      <c r="A89" s="631"/>
      <c r="B89" s="110" t="s">
        <v>129</v>
      </c>
      <c r="C89" s="429"/>
      <c r="D89" s="42" t="s">
        <v>210</v>
      </c>
      <c r="E89" s="43"/>
      <c r="F89" s="362">
        <v>44.3</v>
      </c>
      <c r="G89" s="114">
        <v>1487.3100000000002</v>
      </c>
      <c r="H89" s="84">
        <f t="shared" si="54"/>
        <v>65887.832999999999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17</v>
      </c>
      <c r="N89" s="57">
        <f t="shared" si="55"/>
        <v>1352.1000000000017</v>
      </c>
      <c r="O89" s="183">
        <f t="shared" si="56"/>
        <v>79.535294117647155</v>
      </c>
      <c r="P89" s="54">
        <f t="shared" si="57"/>
        <v>0</v>
      </c>
      <c r="Q89" s="88">
        <f t="shared" si="58"/>
        <v>-16.699999999999903</v>
      </c>
      <c r="R89" s="185">
        <f t="shared" si="59"/>
        <v>0.82646699266503765</v>
      </c>
      <c r="S89" s="602"/>
      <c r="T89" s="50">
        <v>0.71319444444444435</v>
      </c>
      <c r="U89" s="50">
        <v>0.75902777777777763</v>
      </c>
      <c r="V89" s="422">
        <v>6</v>
      </c>
      <c r="W89" s="433">
        <f t="shared" si="60"/>
        <v>65.999999999999929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-283.89999999999827</v>
      </c>
      <c r="AG89" s="424">
        <f t="shared" si="62"/>
        <v>0.82646699266503776</v>
      </c>
      <c r="AH89" s="602"/>
    </row>
    <row r="90" spans="1:34" ht="19.2" customHeight="1">
      <c r="A90" s="631"/>
      <c r="B90" s="110">
        <v>0</v>
      </c>
      <c r="C90" s="429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2" customHeight="1">
      <c r="A91" s="631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2" customHeight="1">
      <c r="A92" s="631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2" customHeight="1">
      <c r="A93" s="631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2" customHeight="1">
      <c r="A94" s="631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2" customHeight="1">
      <c r="A95" s="631"/>
      <c r="B95" s="200">
        <v>0</v>
      </c>
      <c r="C95" s="100" t="s">
        <v>667</v>
      </c>
      <c r="D95" s="617" t="s">
        <v>655</v>
      </c>
      <c r="E95" s="617"/>
      <c r="F95" s="356"/>
      <c r="G95" s="70"/>
      <c r="H95" s="201"/>
      <c r="I95" s="103"/>
      <c r="J95" s="202">
        <v>16.714285714285715</v>
      </c>
      <c r="K95" s="202">
        <v>1536.5714285714287</v>
      </c>
      <c r="L95" s="203">
        <v>95.806722689075627</v>
      </c>
      <c r="M95" s="202">
        <f t="shared" ref="M95:O95" si="63">AVERAGE(M83:M94)</f>
        <v>16.714285714285715</v>
      </c>
      <c r="N95" s="202">
        <f t="shared" si="63"/>
        <v>1315.0340835242725</v>
      </c>
      <c r="O95" s="203">
        <f t="shared" si="63"/>
        <v>81.269603086735856</v>
      </c>
      <c r="P95" s="204">
        <f>M95-J95</f>
        <v>0</v>
      </c>
      <c r="Q95" s="205">
        <f t="shared" ref="Q95:Q103" si="64">O95-L95</f>
        <v>-14.537119602339772</v>
      </c>
      <c r="R95" s="206">
        <f>O95/L95</f>
        <v>0.84826618431028566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-221.53734504715612</v>
      </c>
      <c r="AG95" s="425">
        <f t="shared" si="62"/>
        <v>0.85582359470713154</v>
      </c>
      <c r="AH95" s="603"/>
    </row>
    <row r="96" spans="1:34" ht="19.2" customHeight="1">
      <c r="A96" s="633" t="s">
        <v>668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1769</v>
      </c>
      <c r="H96" s="45">
        <f t="shared" ref="H96:H105" si="65">F96*G96</f>
        <v>52114.74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1141.2903225806454</v>
      </c>
      <c r="O96" s="47">
        <f t="shared" ref="O96:O103" si="67">N96/M96</f>
        <v>71.330645161290334</v>
      </c>
      <c r="P96" s="48">
        <f t="shared" ref="P96:P103" si="68">M96-J96</f>
        <v>0</v>
      </c>
      <c r="Q96" s="49">
        <f t="shared" si="64"/>
        <v>-18.669354838709666</v>
      </c>
      <c r="R96" s="424">
        <f t="shared" ref="R96:R103" si="69">O96/L96</f>
        <v>0.79256272401433703</v>
      </c>
      <c r="S96" s="602">
        <f>R108</f>
        <v>0.87124212466844453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-298.70967741935465</v>
      </c>
      <c r="AG96" s="421">
        <f t="shared" si="62"/>
        <v>0.79256272401433703</v>
      </c>
      <c r="AH96" s="611">
        <f>AG108</f>
        <v>0.86753771526341428</v>
      </c>
    </row>
    <row r="97" spans="1:34" s="215" customFormat="1" ht="19.2" customHeight="1">
      <c r="A97" s="633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3266</v>
      </c>
      <c r="H97" s="210">
        <f t="shared" si="65"/>
        <v>95083.547400611598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1333.0612244897964</v>
      </c>
      <c r="O97" s="47">
        <f t="shared" si="67"/>
        <v>66.653061224489818</v>
      </c>
      <c r="P97" s="48">
        <f t="shared" si="68"/>
        <v>0</v>
      </c>
      <c r="Q97" s="49">
        <f t="shared" si="64"/>
        <v>-8.346938775510182</v>
      </c>
      <c r="R97" s="424">
        <f t="shared" si="69"/>
        <v>0.88870748299319757</v>
      </c>
      <c r="S97" s="602"/>
      <c r="T97" s="211">
        <v>0.41388888888888886</v>
      </c>
      <c r="U97" s="211">
        <v>0.51597222222222217</v>
      </c>
      <c r="V97" s="212">
        <v>23</v>
      </c>
      <c r="W97" s="90">
        <f t="shared" si="70"/>
        <v>146.99999999999994</v>
      </c>
      <c r="X97" s="53">
        <v>0.40277777777777773</v>
      </c>
      <c r="Y97" s="53">
        <v>0.41319444444444442</v>
      </c>
      <c r="Z97" s="54"/>
      <c r="AA97" s="54"/>
      <c r="AB97" s="588"/>
      <c r="AC97" s="588"/>
      <c r="AD97" s="212"/>
      <c r="AE97" s="212"/>
      <c r="AF97" s="213">
        <f t="shared" si="61"/>
        <v>-166.93877551020364</v>
      </c>
      <c r="AG97" s="214">
        <f t="shared" si="62"/>
        <v>0.88870748299319757</v>
      </c>
      <c r="AH97" s="611"/>
    </row>
    <row r="98" spans="1:34" s="218" customFormat="1" ht="19.2" customHeight="1">
      <c r="A98" s="633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372</v>
      </c>
      <c r="H98" s="210">
        <f t="shared" si="65"/>
        <v>28774.199999999997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1116.0000000000039</v>
      </c>
      <c r="O98" s="47">
        <f t="shared" si="67"/>
        <v>62.000000000000213</v>
      </c>
      <c r="P98" s="48">
        <f t="shared" si="68"/>
        <v>-1</v>
      </c>
      <c r="Q98" s="49">
        <f t="shared" si="64"/>
        <v>-13.789473684210307</v>
      </c>
      <c r="R98" s="424">
        <f t="shared" si="69"/>
        <v>0.81805555555555842</v>
      </c>
      <c r="S98" s="602"/>
      <c r="T98" s="89">
        <v>0.55694444444444435</v>
      </c>
      <c r="U98" s="89">
        <v>0.57083333333333319</v>
      </c>
      <c r="V98" s="420">
        <v>6</v>
      </c>
      <c r="W98" s="90">
        <f t="shared" si="70"/>
        <v>19.999999999999929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-323.99999999999613</v>
      </c>
      <c r="AG98" s="421">
        <f t="shared" si="62"/>
        <v>0.77500000000000269</v>
      </c>
      <c r="AH98" s="611"/>
    </row>
    <row r="99" spans="1:34" ht="19.2" customHeight="1">
      <c r="A99" s="633"/>
      <c r="B99" s="422" t="s">
        <v>128</v>
      </c>
      <c r="C99" s="81"/>
      <c r="D99" s="82" t="s">
        <v>58</v>
      </c>
      <c r="E99" s="83"/>
      <c r="F99" s="366">
        <v>77.34</v>
      </c>
      <c r="G99" s="57">
        <v>965</v>
      </c>
      <c r="H99" s="210">
        <f t="shared" si="65"/>
        <v>74633.100000000006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1315.909090909091</v>
      </c>
      <c r="O99" s="47">
        <f t="shared" si="67"/>
        <v>73.106060606060609</v>
      </c>
      <c r="P99" s="48">
        <f t="shared" si="68"/>
        <v>0</v>
      </c>
      <c r="Q99" s="49">
        <f t="shared" si="64"/>
        <v>-6.8939393939393909</v>
      </c>
      <c r="R99" s="424">
        <f t="shared" si="69"/>
        <v>0.91382575757575757</v>
      </c>
      <c r="S99" s="602"/>
      <c r="T99" s="89">
        <v>0.57638888888888873</v>
      </c>
      <c r="U99" s="89">
        <v>0.60694444444444429</v>
      </c>
      <c r="V99" s="420">
        <v>8</v>
      </c>
      <c r="W99" s="90">
        <f t="shared" si="70"/>
        <v>44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-124.09090909090901</v>
      </c>
      <c r="AG99" s="214">
        <f t="shared" si="62"/>
        <v>0.91382575757575768</v>
      </c>
      <c r="AH99" s="611"/>
    </row>
    <row r="100" spans="1:34" s="218" customFormat="1" ht="19.2" customHeight="1">
      <c r="A100" s="633"/>
      <c r="B100" s="422" t="s">
        <v>128</v>
      </c>
      <c r="C100" s="55"/>
      <c r="D100" s="42" t="s">
        <v>57</v>
      </c>
      <c r="E100" s="83"/>
      <c r="F100" s="366">
        <v>71.55</v>
      </c>
      <c r="G100" s="57">
        <v>826</v>
      </c>
      <c r="H100" s="210">
        <f t="shared" si="65"/>
        <v>59100.299999999996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1238.9999999999995</v>
      </c>
      <c r="O100" s="47">
        <f t="shared" si="67"/>
        <v>68.833333333333314</v>
      </c>
      <c r="P100" s="48">
        <f t="shared" si="68"/>
        <v>0</v>
      </c>
      <c r="Q100" s="49">
        <f t="shared" si="64"/>
        <v>-8.1111111111111285</v>
      </c>
      <c r="R100" s="424">
        <f t="shared" si="69"/>
        <v>0.89458483754512608</v>
      </c>
      <c r="S100" s="602"/>
      <c r="T100" s="211">
        <v>0.61180555555555538</v>
      </c>
      <c r="U100" s="211">
        <v>0.63958333333333317</v>
      </c>
      <c r="V100" s="212">
        <v>7</v>
      </c>
      <c r="W100" s="90">
        <f t="shared" si="70"/>
        <v>40.000000000000014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-146.00000000000045</v>
      </c>
      <c r="AG100" s="421">
        <f t="shared" si="62"/>
        <v>0.89458483754512608</v>
      </c>
      <c r="AH100" s="611"/>
    </row>
    <row r="101" spans="1:34" s="218" customFormat="1" ht="19.2" customHeight="1">
      <c r="A101" s="633"/>
      <c r="B101" s="422" t="s">
        <v>128</v>
      </c>
      <c r="C101" s="55"/>
      <c r="D101" s="82" t="s">
        <v>56</v>
      </c>
      <c r="E101" s="83"/>
      <c r="F101" s="366">
        <v>59.34</v>
      </c>
      <c r="G101" s="57">
        <v>642</v>
      </c>
      <c r="H101" s="210">
        <f t="shared" si="65"/>
        <v>38096.28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1283.9999999999977</v>
      </c>
      <c r="O101" s="47">
        <f t="shared" si="67"/>
        <v>75.529411764705742</v>
      </c>
      <c r="P101" s="48">
        <f t="shared" si="68"/>
        <v>0</v>
      </c>
      <c r="Q101" s="49">
        <f t="shared" si="64"/>
        <v>-9.176470588235432</v>
      </c>
      <c r="R101" s="424">
        <f t="shared" si="69"/>
        <v>0.89166666666666505</v>
      </c>
      <c r="S101" s="602"/>
      <c r="T101" s="211">
        <v>0.64305555555555538</v>
      </c>
      <c r="U101" s="89">
        <v>0.66388888888888875</v>
      </c>
      <c r="V101" s="212">
        <v>5</v>
      </c>
      <c r="W101" s="90">
        <f t="shared" si="70"/>
        <v>30.000000000000053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-156.00000000000227</v>
      </c>
      <c r="AG101" s="214">
        <f t="shared" si="62"/>
        <v>0.89166666666666505</v>
      </c>
      <c r="AH101" s="611"/>
    </row>
    <row r="102" spans="1:34" s="218" customFormat="1" ht="19.2" customHeight="1">
      <c r="A102" s="633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854</v>
      </c>
      <c r="H102" s="210">
        <f t="shared" si="65"/>
        <v>44194.5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1280.9999999999995</v>
      </c>
      <c r="O102" s="47">
        <f t="shared" si="67"/>
        <v>60.999999999999979</v>
      </c>
      <c r="P102" s="48">
        <f t="shared" si="68"/>
        <v>0</v>
      </c>
      <c r="Q102" s="49">
        <f t="shared" si="64"/>
        <v>-10.428571428571452</v>
      </c>
      <c r="R102" s="424">
        <f t="shared" si="69"/>
        <v>0.85399999999999965</v>
      </c>
      <c r="S102" s="602"/>
      <c r="T102" s="211">
        <v>0.67916666666666647</v>
      </c>
      <c r="U102" s="211">
        <v>0.70694444444444426</v>
      </c>
      <c r="V102" s="212">
        <v>22</v>
      </c>
      <c r="W102" s="90">
        <f t="shared" si="70"/>
        <v>40.000000000000014</v>
      </c>
      <c r="X102" s="220">
        <v>0.66805555555555562</v>
      </c>
      <c r="Y102" s="220">
        <v>0.6777777777777777</v>
      </c>
      <c r="Z102" s="217"/>
      <c r="AA102" s="217"/>
      <c r="AB102" s="588"/>
      <c r="AC102" s="588"/>
      <c r="AD102" s="420"/>
      <c r="AE102" s="420"/>
      <c r="AF102" s="54">
        <f t="shared" si="61"/>
        <v>-219.00000000000045</v>
      </c>
      <c r="AG102" s="421">
        <f t="shared" si="62"/>
        <v>0.85399999999999965</v>
      </c>
      <c r="AH102" s="611"/>
    </row>
    <row r="103" spans="1:34" s="218" customFormat="1" ht="19.2" customHeight="1">
      <c r="A103" s="633"/>
      <c r="B103" s="422" t="s">
        <v>127</v>
      </c>
      <c r="C103" s="221"/>
      <c r="D103" s="82" t="s">
        <v>52</v>
      </c>
      <c r="E103" s="83"/>
      <c r="F103" s="366">
        <v>37.83</v>
      </c>
      <c r="G103" s="57">
        <v>3042.2</v>
      </c>
      <c r="H103" s="210">
        <f t="shared" si="65"/>
        <v>115086.42599999999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2172.9999999999991</v>
      </c>
      <c r="O103" s="47">
        <f t="shared" si="67"/>
        <v>108.64999999999995</v>
      </c>
      <c r="P103" s="48">
        <f t="shared" si="68"/>
        <v>0</v>
      </c>
      <c r="Q103" s="49">
        <f t="shared" si="64"/>
        <v>-11.350000000000051</v>
      </c>
      <c r="R103" s="424">
        <f t="shared" si="69"/>
        <v>0.9054166666666662</v>
      </c>
      <c r="S103" s="602"/>
      <c r="T103" s="211">
        <v>0.71180555555555536</v>
      </c>
      <c r="U103" s="211">
        <v>0.77013888888888871</v>
      </c>
      <c r="V103" s="212">
        <v>7</v>
      </c>
      <c r="W103" s="90">
        <f t="shared" si="70"/>
        <v>84.000000000000028</v>
      </c>
      <c r="X103" s="220"/>
      <c r="Y103" s="220"/>
      <c r="Z103" s="217"/>
      <c r="AA103" s="217"/>
      <c r="AB103" s="588"/>
      <c r="AC103" s="588"/>
      <c r="AD103" s="420">
        <v>1</v>
      </c>
      <c r="AE103" s="420">
        <v>1</v>
      </c>
      <c r="AF103" s="54">
        <f t="shared" si="61"/>
        <v>-227.00000000000091</v>
      </c>
      <c r="AG103" s="421">
        <f t="shared" si="62"/>
        <v>0.90541666666666631</v>
      </c>
      <c r="AH103" s="611"/>
    </row>
    <row r="104" spans="1:34" s="218" customFormat="1" ht="19.2" customHeight="1">
      <c r="A104" s="633"/>
      <c r="B104" s="422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2" customHeight="1">
      <c r="A105" s="633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2" customHeight="1">
      <c r="A106" s="633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2" customHeight="1">
      <c r="A107" s="633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2" customHeight="1">
      <c r="A108" s="633"/>
      <c r="B108" s="110">
        <v>0</v>
      </c>
      <c r="C108" s="100" t="s">
        <v>669</v>
      </c>
      <c r="D108" s="617" t="s">
        <v>655</v>
      </c>
      <c r="E108" s="617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1360.4075797474416</v>
      </c>
      <c r="O108" s="104">
        <f t="shared" si="71"/>
        <v>73.387814011234994</v>
      </c>
      <c r="P108" s="54">
        <f t="shared" ref="P108:P116" si="72">M108-J108</f>
        <v>-0.125</v>
      </c>
      <c r="Q108" s="88">
        <f t="shared" ref="Q108:Q116" si="73">O108-L108</f>
        <v>-10.845732477535947</v>
      </c>
      <c r="R108" s="105">
        <f t="shared" ref="R108:R116" si="74">O108/L108</f>
        <v>0.87124212466844453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1</v>
      </c>
      <c r="AF108" s="54">
        <f t="shared" si="61"/>
        <v>-207.71742025255844</v>
      </c>
      <c r="AG108" s="421">
        <f t="shared" si="62"/>
        <v>0.86753771526341428</v>
      </c>
      <c r="AH108" s="611"/>
    </row>
    <row r="109" spans="1:34" ht="19.2" customHeight="1">
      <c r="A109" s="634" t="s">
        <v>670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899</v>
      </c>
      <c r="H109" s="45">
        <f t="shared" ref="H109:H119" si="75">F109*G109</f>
        <v>50730.57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1284.2857142857138</v>
      </c>
      <c r="O109" s="47">
        <f t="shared" ref="O109:O116" si="77">N109/M109</f>
        <v>71.349206349206327</v>
      </c>
      <c r="P109" s="48">
        <f t="shared" si="72"/>
        <v>0</v>
      </c>
      <c r="Q109" s="49">
        <f t="shared" si="73"/>
        <v>-11.984126984127002</v>
      </c>
      <c r="R109" s="424">
        <f t="shared" si="74"/>
        <v>0.85619047619047595</v>
      </c>
      <c r="S109" s="637">
        <f>R121</f>
        <v>0.90558584388902685</v>
      </c>
      <c r="T109" s="226">
        <v>0.5</v>
      </c>
      <c r="U109" s="226">
        <v>0.52916666666666667</v>
      </c>
      <c r="V109" s="227">
        <v>5</v>
      </c>
      <c r="W109" s="433">
        <f t="shared" si="70"/>
        <v>42.000000000000014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-215.71428571428623</v>
      </c>
      <c r="AG109" s="125">
        <f t="shared" si="62"/>
        <v>0.85619047619047584</v>
      </c>
      <c r="AH109" s="611">
        <f>AG121</f>
        <v>0.89508022658407671</v>
      </c>
    </row>
    <row r="110" spans="1:34" ht="19.2" customHeight="1">
      <c r="A110" s="635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1309</v>
      </c>
      <c r="H110" s="45">
        <f t="shared" si="75"/>
        <v>77937.86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1266.7741935483882</v>
      </c>
      <c r="O110" s="47">
        <f t="shared" si="77"/>
        <v>70.376344086021561</v>
      </c>
      <c r="P110" s="48">
        <f t="shared" si="72"/>
        <v>0</v>
      </c>
      <c r="Q110" s="49">
        <f t="shared" si="73"/>
        <v>-6.5681003584228819</v>
      </c>
      <c r="R110" s="424">
        <f t="shared" si="74"/>
        <v>0.914638406894143</v>
      </c>
      <c r="S110" s="638"/>
      <c r="T110" s="226">
        <v>0.53472222222222221</v>
      </c>
      <c r="U110" s="226">
        <v>0.57777777777777772</v>
      </c>
      <c r="V110" s="227">
        <v>8</v>
      </c>
      <c r="W110" s="433">
        <f t="shared" si="70"/>
        <v>61.999999999999943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-118.22580645161179</v>
      </c>
      <c r="AG110" s="125">
        <f t="shared" si="62"/>
        <v>0.91463840689414311</v>
      </c>
      <c r="AH110" s="611"/>
    </row>
    <row r="111" spans="1:34" ht="19.2" customHeight="1">
      <c r="A111" s="635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1370</v>
      </c>
      <c r="H111" s="45">
        <f t="shared" si="75"/>
        <v>69417.900000000009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1370.0000000000011</v>
      </c>
      <c r="O111" s="47">
        <f t="shared" si="77"/>
        <v>76.111111111111171</v>
      </c>
      <c r="P111" s="48">
        <f t="shared" si="72"/>
        <v>0</v>
      </c>
      <c r="Q111" s="49">
        <f t="shared" si="73"/>
        <v>-7.2222222222221575</v>
      </c>
      <c r="R111" s="424">
        <f t="shared" si="74"/>
        <v>0.91333333333333411</v>
      </c>
      <c r="S111" s="638"/>
      <c r="T111" s="226">
        <v>0.59305555555555545</v>
      </c>
      <c r="U111" s="226">
        <v>0.63472222222222208</v>
      </c>
      <c r="V111" s="227">
        <v>22</v>
      </c>
      <c r="W111" s="433">
        <f t="shared" si="70"/>
        <v>59.999999999999943</v>
      </c>
      <c r="X111" s="53">
        <v>0.58194444444444449</v>
      </c>
      <c r="Y111" s="53">
        <v>0.59166666666666667</v>
      </c>
      <c r="Z111" s="54"/>
      <c r="AA111" s="54"/>
      <c r="AB111" s="588"/>
      <c r="AC111" s="588"/>
      <c r="AD111" s="420"/>
      <c r="AE111" s="420"/>
      <c r="AF111" s="48">
        <f t="shared" si="61"/>
        <v>-129.99999999999886</v>
      </c>
      <c r="AG111" s="125">
        <f t="shared" si="62"/>
        <v>0.91333333333333411</v>
      </c>
      <c r="AH111" s="611"/>
    </row>
    <row r="112" spans="1:34" ht="19.2" customHeight="1">
      <c r="A112" s="635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1557</v>
      </c>
      <c r="H112" s="45">
        <f t="shared" si="75"/>
        <v>44483.49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1437.2307692307706</v>
      </c>
      <c r="O112" s="47">
        <f t="shared" si="77"/>
        <v>119.76923076923089</v>
      </c>
      <c r="P112" s="48">
        <f t="shared" si="72"/>
        <v>0</v>
      </c>
      <c r="Q112" s="49">
        <f t="shared" si="73"/>
        <v>-5.2307692307691127</v>
      </c>
      <c r="R112" s="424">
        <f t="shared" si="74"/>
        <v>0.95815384615384713</v>
      </c>
      <c r="S112" s="638"/>
      <c r="T112" s="226">
        <v>0.70833333333333337</v>
      </c>
      <c r="U112" s="226">
        <v>0.75347222222222221</v>
      </c>
      <c r="V112" s="227">
        <v>5</v>
      </c>
      <c r="W112" s="433">
        <f t="shared" si="70"/>
        <v>64.999999999999929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-62.769230769229353</v>
      </c>
      <c r="AG112" s="125">
        <f t="shared" si="62"/>
        <v>0.95815384615384713</v>
      </c>
      <c r="AH112" s="611"/>
    </row>
    <row r="113" spans="1:34" s="218" customFormat="1" ht="19.2" customHeight="1">
      <c r="A113" s="635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421</v>
      </c>
      <c r="H113" s="45">
        <f t="shared" si="75"/>
        <v>8596.8200000000015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1485.8823529411818</v>
      </c>
      <c r="O113" s="47">
        <f t="shared" si="77"/>
        <v>123.82352941176515</v>
      </c>
      <c r="P113" s="48">
        <f t="shared" si="72"/>
        <v>0</v>
      </c>
      <c r="Q113" s="49">
        <f t="shared" si="73"/>
        <v>-1.1764705882348494</v>
      </c>
      <c r="R113" s="424">
        <f t="shared" si="74"/>
        <v>0.99058823529412121</v>
      </c>
      <c r="S113" s="638"/>
      <c r="T113" s="226">
        <v>0.75902777777777775</v>
      </c>
      <c r="U113" s="226">
        <v>0.77083333333333326</v>
      </c>
      <c r="V113" s="227">
        <v>6</v>
      </c>
      <c r="W113" s="433">
        <f t="shared" si="70"/>
        <v>16.99999999999994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-14.117647058818193</v>
      </c>
      <c r="AG113" s="125">
        <f t="shared" si="62"/>
        <v>0.99058823529412121</v>
      </c>
      <c r="AH113" s="611"/>
    </row>
    <row r="114" spans="1:34" s="218" customFormat="1" ht="19.2" customHeight="1">
      <c r="A114" s="635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1144</v>
      </c>
      <c r="H114" s="45">
        <f t="shared" si="75"/>
        <v>51457.119999999995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1225.7142857142867</v>
      </c>
      <c r="O114" s="47">
        <f t="shared" si="77"/>
        <v>64.511278195488771</v>
      </c>
      <c r="P114" s="48">
        <f t="shared" si="72"/>
        <v>0</v>
      </c>
      <c r="Q114" s="49">
        <f t="shared" si="73"/>
        <v>-14.436090225563859</v>
      </c>
      <c r="R114" s="424">
        <f t="shared" si="74"/>
        <v>0.81714285714285773</v>
      </c>
      <c r="S114" s="638"/>
      <c r="T114" s="226">
        <v>0.7763888888888888</v>
      </c>
      <c r="U114" s="226">
        <v>0.81527777777777766</v>
      </c>
      <c r="V114" s="227">
        <v>8</v>
      </c>
      <c r="W114" s="433">
        <f t="shared" si="70"/>
        <v>55.999999999999957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-274.28571428571331</v>
      </c>
      <c r="AG114" s="125">
        <f t="shared" si="62"/>
        <v>0.81714285714285784</v>
      </c>
      <c r="AH114" s="611"/>
    </row>
    <row r="115" spans="1:34" s="218" customFormat="1" ht="19.2" customHeight="1">
      <c r="A115" s="635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890</v>
      </c>
      <c r="H115" s="45">
        <f t="shared" si="75"/>
        <v>47775.199999999997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1213.6363636363635</v>
      </c>
      <c r="O115" s="47">
        <f t="shared" si="77"/>
        <v>60.681818181818173</v>
      </c>
      <c r="P115" s="48">
        <f t="shared" si="72"/>
        <v>0</v>
      </c>
      <c r="Q115" s="49">
        <f t="shared" si="73"/>
        <v>-14.318181818181827</v>
      </c>
      <c r="R115" s="424">
        <f t="shared" si="74"/>
        <v>0.80909090909090897</v>
      </c>
      <c r="S115" s="638"/>
      <c r="T115" s="226">
        <v>0.83124999999999982</v>
      </c>
      <c r="U115" s="226">
        <v>0.86180555555555538</v>
      </c>
      <c r="V115" s="227">
        <v>23</v>
      </c>
      <c r="W115" s="433">
        <f t="shared" si="70"/>
        <v>44</v>
      </c>
      <c r="X115" s="216">
        <v>0.81944444444444453</v>
      </c>
      <c r="Y115" s="216">
        <v>0.8305555555555556</v>
      </c>
      <c r="Z115" s="217"/>
      <c r="AA115" s="217"/>
      <c r="AB115" s="588"/>
      <c r="AC115" s="588"/>
      <c r="AD115" s="221"/>
      <c r="AE115" s="221"/>
      <c r="AF115" s="48">
        <f t="shared" si="61"/>
        <v>-286.36363636363649</v>
      </c>
      <c r="AG115" s="125">
        <f t="shared" si="62"/>
        <v>0.80909090909090897</v>
      </c>
      <c r="AH115" s="611"/>
    </row>
    <row r="116" spans="1:34" s="218" customFormat="1" ht="19.2" customHeight="1">
      <c r="A116" s="635"/>
      <c r="B116" s="422" t="s">
        <v>132</v>
      </c>
      <c r="C116" s="55"/>
      <c r="D116" s="82" t="s">
        <v>81</v>
      </c>
      <c r="E116" s="83"/>
      <c r="F116" s="355">
        <v>55.56</v>
      </c>
      <c r="G116" s="229">
        <v>1084</v>
      </c>
      <c r="H116" s="45">
        <f t="shared" si="75"/>
        <v>60227.040000000001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1300.8000000000004</v>
      </c>
      <c r="O116" s="47">
        <f t="shared" si="77"/>
        <v>81.300000000000026</v>
      </c>
      <c r="P116" s="48">
        <f t="shared" si="72"/>
        <v>0</v>
      </c>
      <c r="Q116" s="49">
        <f t="shared" si="73"/>
        <v>-8.6999999999999744</v>
      </c>
      <c r="R116" s="424">
        <f t="shared" si="74"/>
        <v>0.90333333333333365</v>
      </c>
      <c r="S116" s="638"/>
      <c r="T116" s="226">
        <v>0.86736111111111092</v>
      </c>
      <c r="U116" s="226">
        <v>0.90208333333333313</v>
      </c>
      <c r="V116" s="227">
        <v>8</v>
      </c>
      <c r="W116" s="433">
        <f t="shared" si="70"/>
        <v>49.999999999999986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-139.19999999999959</v>
      </c>
      <c r="AG116" s="125">
        <f t="shared" si="62"/>
        <v>0.90333333333333365</v>
      </c>
      <c r="AH116" s="611"/>
    </row>
    <row r="117" spans="1:34" s="218" customFormat="1" ht="19.2" customHeight="1">
      <c r="A117" s="635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2" customHeight="1">
      <c r="A118" s="635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2" customHeight="1">
      <c r="A119" s="635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2" customHeight="1">
      <c r="A120" s="635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2" customHeight="1">
      <c r="A121" s="636"/>
      <c r="B121" s="121">
        <v>0</v>
      </c>
      <c r="C121" s="100" t="s">
        <v>684</v>
      </c>
      <c r="D121" s="232" t="s">
        <v>685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1323.0404599195883</v>
      </c>
      <c r="O121" s="203">
        <f t="shared" si="78"/>
        <v>83.490314763080249</v>
      </c>
      <c r="P121" s="48">
        <f t="shared" ref="P121:P128" si="79">M121-J121</f>
        <v>0</v>
      </c>
      <c r="Q121" s="49">
        <f t="shared" ref="Q121:Q128" si="80">O121-L121</f>
        <v>-8.7044951784402116</v>
      </c>
      <c r="R121" s="172">
        <f t="shared" ref="R121:R128" si="81">O121/L121</f>
        <v>0.90558584388902685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-155.08454008041167</v>
      </c>
      <c r="AG121" s="125">
        <f>N121/K121</f>
        <v>0.89508022658407671</v>
      </c>
      <c r="AH121" s="611"/>
    </row>
    <row r="122" spans="1:34" ht="19.2" customHeight="1">
      <c r="A122" s="639" t="s">
        <v>686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1514</v>
      </c>
      <c r="H122" s="45">
        <f t="shared" ref="H122:H132" si="82">F122*G122</f>
        <v>88826.38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1279.4366197183085</v>
      </c>
      <c r="O122" s="237">
        <f t="shared" ref="O122:O128" si="84">N122/M122</f>
        <v>67.338769458858337</v>
      </c>
      <c r="P122" s="108">
        <f t="shared" si="79"/>
        <v>0</v>
      </c>
      <c r="Q122" s="182">
        <f t="shared" si="80"/>
        <v>-8.4507042253521831</v>
      </c>
      <c r="R122" s="109">
        <f t="shared" si="81"/>
        <v>0.88849765258215874</v>
      </c>
      <c r="S122" s="602">
        <f>R134</f>
        <v>0.87255469211179126</v>
      </c>
      <c r="T122" s="50">
        <v>0.5</v>
      </c>
      <c r="U122" s="50">
        <v>0.5493055555555556</v>
      </c>
      <c r="V122" s="227">
        <v>5</v>
      </c>
      <c r="W122" s="433">
        <f t="shared" si="70"/>
        <v>71.000000000000071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-160.56338028169148</v>
      </c>
      <c r="AG122" s="424">
        <f t="shared" si="62"/>
        <v>0.88849765258215874</v>
      </c>
      <c r="AH122" s="616">
        <f>AG134</f>
        <v>0.87142711125475647</v>
      </c>
    </row>
    <row r="123" spans="1:34" ht="19.2" customHeight="1">
      <c r="A123" s="639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1908</v>
      </c>
      <c r="H123" s="45">
        <f t="shared" si="82"/>
        <v>113564.16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1230.9677419354841</v>
      </c>
      <c r="O123" s="86">
        <f t="shared" si="84"/>
        <v>58.617511520737338</v>
      </c>
      <c r="P123" s="54">
        <f t="shared" si="79"/>
        <v>0</v>
      </c>
      <c r="Q123" s="88">
        <f t="shared" si="80"/>
        <v>-7.3348694316436109</v>
      </c>
      <c r="R123" s="421">
        <f t="shared" si="81"/>
        <v>0.88878537323861673</v>
      </c>
      <c r="S123" s="602"/>
      <c r="T123" s="50">
        <v>0.55347222222222225</v>
      </c>
      <c r="U123" s="50">
        <v>0.61805555555555558</v>
      </c>
      <c r="V123" s="227">
        <v>6</v>
      </c>
      <c r="W123" s="433">
        <f t="shared" si="70"/>
        <v>92.999999999999986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-154.03225806451587</v>
      </c>
      <c r="AG123" s="424">
        <f t="shared" si="62"/>
        <v>0.88878537323861673</v>
      </c>
      <c r="AH123" s="602"/>
    </row>
    <row r="124" spans="1:34" ht="19.2" customHeight="1">
      <c r="A124" s="639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1393</v>
      </c>
      <c r="H124" s="45">
        <f t="shared" si="82"/>
        <v>79108.47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1348.0645161290336</v>
      </c>
      <c r="O124" s="237">
        <f t="shared" si="84"/>
        <v>74.892473118279639</v>
      </c>
      <c r="P124" s="108">
        <f t="shared" si="79"/>
        <v>0</v>
      </c>
      <c r="Q124" s="182">
        <f t="shared" si="80"/>
        <v>-15.996415770609246</v>
      </c>
      <c r="R124" s="109">
        <f t="shared" si="81"/>
        <v>0.82400031548229435</v>
      </c>
      <c r="S124" s="640"/>
      <c r="T124" s="50">
        <v>0.70833333333333337</v>
      </c>
      <c r="U124" s="50">
        <v>0.75138888888888888</v>
      </c>
      <c r="V124" s="227">
        <v>5</v>
      </c>
      <c r="W124" s="433">
        <f t="shared" si="70"/>
        <v>61.999999999999943</v>
      </c>
      <c r="X124" s="188"/>
      <c r="Y124" s="188"/>
      <c r="Z124" s="54"/>
      <c r="AA124" s="54"/>
      <c r="AB124" s="588"/>
      <c r="AC124" s="588"/>
      <c r="AD124" s="420">
        <v>1</v>
      </c>
      <c r="AE124" s="420"/>
      <c r="AF124" s="108">
        <f t="shared" si="61"/>
        <v>-287.93548387096644</v>
      </c>
      <c r="AG124" s="109">
        <f t="shared" si="62"/>
        <v>0.82400031548229435</v>
      </c>
      <c r="AH124" s="602"/>
    </row>
    <row r="125" spans="1:34" ht="19.2" customHeight="1">
      <c r="A125" s="639"/>
      <c r="B125" s="130" t="s">
        <v>132</v>
      </c>
      <c r="C125" s="97"/>
      <c r="D125" s="42" t="s">
        <v>85</v>
      </c>
      <c r="E125" s="43"/>
      <c r="F125" s="355">
        <v>56.87</v>
      </c>
      <c r="G125" s="44">
        <v>1110</v>
      </c>
      <c r="H125" s="45">
        <f t="shared" si="82"/>
        <v>63125.7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1332.0000000000005</v>
      </c>
      <c r="O125" s="237">
        <f t="shared" si="84"/>
        <v>74.000000000000028</v>
      </c>
      <c r="P125" s="108">
        <f t="shared" si="79"/>
        <v>0</v>
      </c>
      <c r="Q125" s="182">
        <f t="shared" si="80"/>
        <v>-16.888888888888857</v>
      </c>
      <c r="R125" s="109">
        <f t="shared" si="81"/>
        <v>0.81418092909535489</v>
      </c>
      <c r="S125" s="640"/>
      <c r="T125" s="50">
        <v>0.75694444444444442</v>
      </c>
      <c r="U125" s="50">
        <v>0.79166666666666663</v>
      </c>
      <c r="V125" s="227">
        <v>8</v>
      </c>
      <c r="W125" s="433">
        <f t="shared" si="70"/>
        <v>49.999999999999986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-303.99999999999955</v>
      </c>
      <c r="AG125" s="424">
        <f t="shared" si="62"/>
        <v>0.81418092909535478</v>
      </c>
      <c r="AH125" s="603"/>
    </row>
    <row r="126" spans="1:34" ht="19.2" customHeight="1">
      <c r="A126" s="639"/>
      <c r="B126" s="130" t="s">
        <v>132</v>
      </c>
      <c r="C126" s="420"/>
      <c r="D126" s="404" t="s">
        <v>86</v>
      </c>
      <c r="E126" s="177"/>
      <c r="F126" s="355">
        <v>47.6</v>
      </c>
      <c r="G126" s="57">
        <v>1469</v>
      </c>
      <c r="H126" s="45">
        <f t="shared" si="82"/>
        <v>69924.400000000009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1241.4084507042242</v>
      </c>
      <c r="O126" s="86">
        <f t="shared" si="84"/>
        <v>65.337286879169696</v>
      </c>
      <c r="P126" s="54">
        <f t="shared" si="79"/>
        <v>0</v>
      </c>
      <c r="Q126" s="88">
        <f t="shared" si="80"/>
        <v>-10.452186805040824</v>
      </c>
      <c r="R126" s="421">
        <f t="shared" si="81"/>
        <v>0.86208920187793359</v>
      </c>
      <c r="S126" s="640"/>
      <c r="T126" s="50">
        <v>0.79583333333333328</v>
      </c>
      <c r="U126" s="50">
        <v>0.84513888888888888</v>
      </c>
      <c r="V126" s="227">
        <v>6</v>
      </c>
      <c r="W126" s="433">
        <f t="shared" si="70"/>
        <v>71.000000000000071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-198.59154929577585</v>
      </c>
      <c r="AG126" s="109">
        <f t="shared" si="62"/>
        <v>0.86208920187793348</v>
      </c>
      <c r="AH126" s="603"/>
    </row>
    <row r="127" spans="1:34" ht="19.2" customHeight="1">
      <c r="A127" s="639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1362</v>
      </c>
      <c r="H127" s="45">
        <f t="shared" si="82"/>
        <v>69012.540000000008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1318.0645161290333</v>
      </c>
      <c r="O127" s="86">
        <f t="shared" si="84"/>
        <v>73.225806451612968</v>
      </c>
      <c r="P127" s="54">
        <f t="shared" si="79"/>
        <v>0</v>
      </c>
      <c r="Q127" s="88">
        <f t="shared" si="80"/>
        <v>-10.107526881720361</v>
      </c>
      <c r="R127" s="421">
        <f t="shared" si="81"/>
        <v>0.87870967741935568</v>
      </c>
      <c r="S127" s="640"/>
      <c r="T127" s="50">
        <v>0.86111111111111116</v>
      </c>
      <c r="U127" s="50">
        <v>0.90416666666666667</v>
      </c>
      <c r="V127" s="422">
        <v>23</v>
      </c>
      <c r="W127" s="433">
        <f t="shared" si="70"/>
        <v>61.999999999999943</v>
      </c>
      <c r="X127" s="64">
        <v>0.85</v>
      </c>
      <c r="Y127" s="64">
        <v>0.85972222222222217</v>
      </c>
      <c r="Z127" s="54"/>
      <c r="AA127" s="54"/>
      <c r="AB127" s="588"/>
      <c r="AC127" s="588"/>
      <c r="AD127" s="420"/>
      <c r="AE127" s="420"/>
      <c r="AF127" s="108">
        <f t="shared" si="61"/>
        <v>-181.93548387096666</v>
      </c>
      <c r="AG127" s="109">
        <f t="shared" si="62"/>
        <v>0.87870967741935557</v>
      </c>
      <c r="AH127" s="603"/>
    </row>
    <row r="128" spans="1:34" ht="19.2" customHeight="1">
      <c r="A128" s="639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1610</v>
      </c>
      <c r="H128" s="45">
        <f t="shared" si="82"/>
        <v>93653.7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1379.9999999999984</v>
      </c>
      <c r="O128" s="86">
        <f t="shared" si="84"/>
        <v>86.249999999999901</v>
      </c>
      <c r="P128" s="54">
        <f t="shared" si="79"/>
        <v>0</v>
      </c>
      <c r="Q128" s="88">
        <f t="shared" si="80"/>
        <v>-3.7500000000000995</v>
      </c>
      <c r="R128" s="421">
        <f t="shared" si="81"/>
        <v>0.95833333333333226</v>
      </c>
      <c r="S128" s="640"/>
      <c r="T128" s="50">
        <v>0.90972222222222221</v>
      </c>
      <c r="U128" s="50">
        <v>0.95833333333333337</v>
      </c>
      <c r="V128" s="422">
        <v>8</v>
      </c>
      <c r="W128" s="433">
        <f t="shared" si="70"/>
        <v>70.000000000000071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-60.000000000001592</v>
      </c>
      <c r="AG128" s="424">
        <f t="shared" si="62"/>
        <v>0.95833333333333226</v>
      </c>
      <c r="AH128" s="603"/>
    </row>
    <row r="129" spans="1:34" ht="19.2" customHeight="1">
      <c r="A129" s="639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2" customHeight="1">
      <c r="A130" s="639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2" customHeight="1">
      <c r="A131" s="639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2" customHeight="1">
      <c r="A132" s="639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2" customHeight="1">
      <c r="A133" s="639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2" customHeight="1">
      <c r="A134" s="639"/>
      <c r="B134" s="168">
        <v>0</v>
      </c>
      <c r="C134" s="100" t="s">
        <v>687</v>
      </c>
      <c r="D134" s="617" t="s">
        <v>688</v>
      </c>
      <c r="E134" s="617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1304.2774063737263</v>
      </c>
      <c r="O134" s="243">
        <f t="shared" si="85"/>
        <v>71.380263918379711</v>
      </c>
      <c r="P134" s="51">
        <f t="shared" ref="P134:P143" si="86">M134-J134</f>
        <v>0</v>
      </c>
      <c r="Q134" s="139">
        <f t="shared" ref="Q134:Q143" si="87">O134-L134</f>
        <v>-10.425798857607873</v>
      </c>
      <c r="R134" s="244">
        <f t="shared" ref="R134:R143" si="88">O134/L134</f>
        <v>0.87255469211179126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-192.43687934055947</v>
      </c>
      <c r="AG134" s="424">
        <f t="shared" si="62"/>
        <v>0.87142711125475647</v>
      </c>
      <c r="AH134" s="603"/>
    </row>
    <row r="135" spans="1:34" ht="19.2" customHeight="1">
      <c r="A135" s="641" t="s">
        <v>689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2053.6</v>
      </c>
      <c r="H135" s="245">
        <f t="shared" ref="H135:H146" si="89">F135*G135</f>
        <v>111079.224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993.67741935483832</v>
      </c>
      <c r="O135" s="115">
        <f t="shared" ref="O135:O143" si="91">N135/M135</f>
        <v>55.204301075268795</v>
      </c>
      <c r="P135" s="54">
        <f t="shared" si="86"/>
        <v>0</v>
      </c>
      <c r="Q135" s="88">
        <f t="shared" si="87"/>
        <v>-28.129032258064534</v>
      </c>
      <c r="R135" s="421">
        <f t="shared" si="88"/>
        <v>0.66245161290322563</v>
      </c>
      <c r="S135" s="638">
        <f>R147</f>
        <v>0.891057648674078</v>
      </c>
      <c r="T135" s="246">
        <v>0.5</v>
      </c>
      <c r="U135" s="50">
        <v>0.58611111111111114</v>
      </c>
      <c r="V135" s="142">
        <v>5</v>
      </c>
      <c r="W135" s="247">
        <f t="shared" ref="W135:W147" si="92">(U135-T135)*24*60</f>
        <v>124.00000000000004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-506.32258064516168</v>
      </c>
      <c r="AG135" s="120">
        <f t="shared" si="62"/>
        <v>0.66245161290322552</v>
      </c>
      <c r="AH135" s="611">
        <f>AG147</f>
        <v>0.89827707693055869</v>
      </c>
    </row>
    <row r="136" spans="1:34" ht="19.2" customHeight="1">
      <c r="A136" s="64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1618</v>
      </c>
      <c r="H136" s="84">
        <f t="shared" si="89"/>
        <v>93415.23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1406.9565217391289</v>
      </c>
      <c r="O136" s="86">
        <f t="shared" si="91"/>
        <v>87.934782608695556</v>
      </c>
      <c r="P136" s="54">
        <f t="shared" si="86"/>
        <v>0</v>
      </c>
      <c r="Q136" s="88">
        <f t="shared" si="87"/>
        <v>-9.8777173913044436</v>
      </c>
      <c r="R136" s="421">
        <f t="shared" si="88"/>
        <v>0.89901375190998656</v>
      </c>
      <c r="S136" s="638"/>
      <c r="T136" s="246">
        <v>0.60138888888888886</v>
      </c>
      <c r="U136" s="50">
        <v>0.64930555555555558</v>
      </c>
      <c r="V136" s="142">
        <v>22</v>
      </c>
      <c r="W136" s="247">
        <f t="shared" si="92"/>
        <v>69.000000000000071</v>
      </c>
      <c r="X136" s="53">
        <v>0.59027777777777779</v>
      </c>
      <c r="Y136" s="53">
        <v>0.60069444444444442</v>
      </c>
      <c r="Z136" s="54"/>
      <c r="AA136" s="54"/>
      <c r="AB136" s="588"/>
      <c r="AC136" s="588"/>
      <c r="AD136" s="420"/>
      <c r="AE136" s="420"/>
      <c r="AF136" s="48">
        <f t="shared" si="61"/>
        <v>-158.0434782608711</v>
      </c>
      <c r="AG136" s="125">
        <f t="shared" si="62"/>
        <v>0.89901375190998656</v>
      </c>
      <c r="AH136" s="611"/>
    </row>
    <row r="137" spans="1:34" ht="19.2" customHeight="1">
      <c r="A137" s="64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1347.7611940298525</v>
      </c>
      <c r="O137" s="86">
        <f t="shared" si="91"/>
        <v>84.235074626865782</v>
      </c>
      <c r="P137" s="54">
        <f t="shared" si="86"/>
        <v>0</v>
      </c>
      <c r="Q137" s="88">
        <f t="shared" si="87"/>
        <v>-9.5149253731342185</v>
      </c>
      <c r="R137" s="421">
        <f t="shared" si="88"/>
        <v>0.89850746268656834</v>
      </c>
      <c r="S137" s="638"/>
      <c r="T137" s="50">
        <v>0.65347222222222223</v>
      </c>
      <c r="U137" s="50">
        <v>0.7</v>
      </c>
      <c r="V137" s="249">
        <v>6</v>
      </c>
      <c r="W137" s="247">
        <f t="shared" si="92"/>
        <v>66.999999999999915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-152.2388059701475</v>
      </c>
      <c r="AG137" s="125">
        <f t="shared" si="62"/>
        <v>0.89850746268656834</v>
      </c>
      <c r="AH137" s="611"/>
    </row>
    <row r="138" spans="1:34" ht="19.2" customHeight="1">
      <c r="A138" s="64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1576</v>
      </c>
      <c r="H138" s="84">
        <f t="shared" si="89"/>
        <v>80344.479999999996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1350.8571428571415</v>
      </c>
      <c r="O138" s="86">
        <f t="shared" si="91"/>
        <v>67.542857142857073</v>
      </c>
      <c r="P138" s="54">
        <f t="shared" si="86"/>
        <v>0</v>
      </c>
      <c r="Q138" s="88">
        <f t="shared" si="87"/>
        <v>-4.4571428571429266</v>
      </c>
      <c r="R138" s="426">
        <f t="shared" si="88"/>
        <v>0.93809523809523709</v>
      </c>
      <c r="S138" s="638"/>
      <c r="T138" s="50">
        <v>0.70833333333333337</v>
      </c>
      <c r="U138" s="50">
        <v>0.75694444444444453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-89.142857142858475</v>
      </c>
      <c r="AG138" s="125">
        <f t="shared" si="62"/>
        <v>0.9380952380952372</v>
      </c>
      <c r="AH138" s="611"/>
    </row>
    <row r="139" spans="1:34" ht="19.2" customHeight="1">
      <c r="A139" s="64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1048</v>
      </c>
      <c r="H139" s="84">
        <f t="shared" si="89"/>
        <v>53102.16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1397.3333333333333</v>
      </c>
      <c r="O139" s="86">
        <f t="shared" si="91"/>
        <v>82.196078431372541</v>
      </c>
      <c r="P139" s="54">
        <f t="shared" si="86"/>
        <v>0</v>
      </c>
      <c r="Q139" s="88">
        <f t="shared" si="87"/>
        <v>-6.0392156862745168</v>
      </c>
      <c r="R139" s="421">
        <f t="shared" si="88"/>
        <v>0.93155555555555547</v>
      </c>
      <c r="S139" s="638"/>
      <c r="T139" s="50">
        <v>0.76250000000000007</v>
      </c>
      <c r="U139" s="50">
        <v>0.79375000000000007</v>
      </c>
      <c r="V139" s="250">
        <v>8</v>
      </c>
      <c r="W139" s="247">
        <f t="shared" si="92"/>
        <v>45</v>
      </c>
      <c r="X139" s="53"/>
      <c r="Y139" s="53"/>
      <c r="Z139" s="54"/>
      <c r="AA139" s="54"/>
      <c r="AB139" s="588"/>
      <c r="AC139" s="588"/>
      <c r="AD139" s="420">
        <v>1</v>
      </c>
      <c r="AE139" s="420"/>
      <c r="AF139" s="48">
        <f t="shared" si="61"/>
        <v>-102.66666666666674</v>
      </c>
      <c r="AG139" s="125">
        <f t="shared" si="62"/>
        <v>0.93155555555555547</v>
      </c>
      <c r="AH139" s="611"/>
    </row>
    <row r="140" spans="1:34" ht="19.2" customHeight="1">
      <c r="A140" s="64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1814</v>
      </c>
      <c r="H140" s="84">
        <f t="shared" si="89"/>
        <v>92368.88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1360.4999999999995</v>
      </c>
      <c r="O140" s="86">
        <f t="shared" si="91"/>
        <v>71.605263157894711</v>
      </c>
      <c r="P140" s="54">
        <f t="shared" si="86"/>
        <v>0</v>
      </c>
      <c r="Q140" s="88">
        <f t="shared" si="87"/>
        <v>-4.1842105263158089</v>
      </c>
      <c r="R140" s="421">
        <f t="shared" si="88"/>
        <v>0.94479166666666636</v>
      </c>
      <c r="S140" s="645"/>
      <c r="T140" s="63">
        <v>0.80972222222222223</v>
      </c>
      <c r="U140" s="252">
        <v>0.86527777777777781</v>
      </c>
      <c r="V140" s="253">
        <v>23</v>
      </c>
      <c r="W140" s="247">
        <f t="shared" si="92"/>
        <v>80.000000000000028</v>
      </c>
      <c r="X140" s="53">
        <v>0.79861111111111116</v>
      </c>
      <c r="Y140" s="53">
        <v>0.80902777777777779</v>
      </c>
      <c r="Z140" s="54"/>
      <c r="AA140" s="54"/>
      <c r="AB140" s="588"/>
      <c r="AC140" s="588"/>
      <c r="AD140" s="420"/>
      <c r="AE140" s="420"/>
      <c r="AF140" s="48">
        <f t="shared" si="61"/>
        <v>-79.500000000000455</v>
      </c>
      <c r="AG140" s="125">
        <f t="shared" si="62"/>
        <v>0.94479166666666636</v>
      </c>
      <c r="AH140" s="611"/>
    </row>
    <row r="141" spans="1:34" ht="19.2" customHeight="1">
      <c r="A141" s="64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942</v>
      </c>
      <c r="H141" s="84">
        <f t="shared" si="89"/>
        <v>49794.12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1345.7142857142851</v>
      </c>
      <c r="O141" s="86">
        <f t="shared" si="91"/>
        <v>74.761904761904731</v>
      </c>
      <c r="P141" s="54">
        <f t="shared" si="86"/>
        <v>0</v>
      </c>
      <c r="Q141" s="88">
        <f t="shared" si="87"/>
        <v>-5.2380952380952692</v>
      </c>
      <c r="R141" s="421">
        <f t="shared" si="88"/>
        <v>0.93452380952380909</v>
      </c>
      <c r="S141" s="645"/>
      <c r="T141" s="63">
        <v>0.87083333333333335</v>
      </c>
      <c r="U141" s="252">
        <v>0.9</v>
      </c>
      <c r="V141" s="55">
        <v>8</v>
      </c>
      <c r="W141" s="247">
        <f t="shared" si="92"/>
        <v>42.000000000000014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-94.285714285714903</v>
      </c>
      <c r="AG141" s="125">
        <f t="shared" si="62"/>
        <v>0.93452380952380909</v>
      </c>
      <c r="AH141" s="611"/>
    </row>
    <row r="142" spans="1:34" ht="19.2" customHeight="1">
      <c r="A142" s="64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929</v>
      </c>
      <c r="H142" s="84">
        <f t="shared" si="89"/>
        <v>47072.43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1359.5121951219508</v>
      </c>
      <c r="O142" s="86">
        <f t="shared" si="91"/>
        <v>79.971305595408865</v>
      </c>
      <c r="P142" s="54">
        <f t="shared" si="86"/>
        <v>0</v>
      </c>
      <c r="Q142" s="88">
        <f t="shared" si="87"/>
        <v>-4.7345767575323094</v>
      </c>
      <c r="R142" s="421">
        <f t="shared" si="88"/>
        <v>0.94410569105691022</v>
      </c>
      <c r="S142" s="645"/>
      <c r="T142" s="63">
        <v>0.90416666666666667</v>
      </c>
      <c r="U142" s="252">
        <v>0.93263888888888891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-80.487804878049246</v>
      </c>
      <c r="AG142" s="125">
        <f t="shared" si="62"/>
        <v>0.94410569105691022</v>
      </c>
      <c r="AH142" s="611"/>
    </row>
    <row r="143" spans="1:34" ht="19.2" customHeight="1">
      <c r="A143" s="64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1218</v>
      </c>
      <c r="H143" s="84">
        <f t="shared" si="89"/>
        <v>61496.82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1353.3333333333342</v>
      </c>
      <c r="O143" s="86">
        <f t="shared" si="91"/>
        <v>90.222222222222271</v>
      </c>
      <c r="P143" s="54">
        <f t="shared" si="86"/>
        <v>1</v>
      </c>
      <c r="Q143" s="88">
        <f t="shared" si="87"/>
        <v>-12.63492063492059</v>
      </c>
      <c r="R143" s="421">
        <f t="shared" si="88"/>
        <v>0.87716049382716088</v>
      </c>
      <c r="S143" s="645"/>
      <c r="T143" s="63">
        <v>0.93611111111111112</v>
      </c>
      <c r="U143" s="252">
        <v>0.97361111111111109</v>
      </c>
      <c r="V143" s="55">
        <v>5</v>
      </c>
      <c r="W143" s="247">
        <f t="shared" si="92"/>
        <v>53.999999999999972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-86.666666666665833</v>
      </c>
      <c r="AG143" s="125">
        <f t="shared" si="62"/>
        <v>0.93981481481481544</v>
      </c>
      <c r="AH143" s="611"/>
    </row>
    <row r="144" spans="1:34" ht="19.2" customHeight="1">
      <c r="A144" s="64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2" customHeight="1">
      <c r="A145" s="64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2" customHeight="1">
      <c r="A146" s="64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2" customHeight="1">
      <c r="A147" s="644"/>
      <c r="B147" s="257">
        <v>0</v>
      </c>
      <c r="C147" s="100" t="s">
        <v>690</v>
      </c>
      <c r="D147" s="617" t="s">
        <v>691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1323.9606028315402</v>
      </c>
      <c r="O147" s="243">
        <f t="shared" si="93"/>
        <v>77.074865513610035</v>
      </c>
      <c r="P147" s="51">
        <f t="shared" ref="P147:P152" si="94">M147-J147</f>
        <v>0.11111111111111072</v>
      </c>
      <c r="Q147" s="139">
        <f t="shared" ref="Q147:Q152" si="95">O147-L147</f>
        <v>-9.423315191420528</v>
      </c>
      <c r="R147" s="258">
        <f t="shared" ref="R147:R152" si="96">O147/L147</f>
        <v>0.891057648674078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-149.92828605734871</v>
      </c>
      <c r="AG147" s="259">
        <f t="shared" si="62"/>
        <v>0.89827707693055869</v>
      </c>
      <c r="AH147" s="611"/>
    </row>
    <row r="148" spans="1:34" ht="19.2" customHeight="1">
      <c r="A148" s="648" t="s">
        <v>692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353.8</v>
      </c>
      <c r="H148" s="84">
        <f t="shared" ref="H148:H172" si="97">F148*G148</f>
        <v>10422.948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1061.4000000000037</v>
      </c>
      <c r="O148" s="47">
        <f t="shared" ref="O148:O152" si="99">N148/M148</f>
        <v>66.337500000000233</v>
      </c>
      <c r="P148" s="48">
        <f t="shared" si="94"/>
        <v>0</v>
      </c>
      <c r="Q148" s="49">
        <f t="shared" si="95"/>
        <v>-23.662499999999767</v>
      </c>
      <c r="R148" s="424">
        <f t="shared" si="96"/>
        <v>0.73708333333333598</v>
      </c>
      <c r="S148" s="649">
        <f>R160</f>
        <v>0.81250077102889218</v>
      </c>
      <c r="T148" s="246">
        <v>0.75</v>
      </c>
      <c r="U148" s="50">
        <v>0.76388888888888884</v>
      </c>
      <c r="V148" s="422">
        <v>5</v>
      </c>
      <c r="W148" s="433">
        <f>(U148-T148)*24*60</f>
        <v>19.999999999999929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-378.59999999999627</v>
      </c>
      <c r="AG148" s="125">
        <f t="shared" si="62"/>
        <v>0.73708333333333598</v>
      </c>
      <c r="AH148" s="611">
        <f>AG160</f>
        <v>0.83460243594133343</v>
      </c>
    </row>
    <row r="149" spans="1:34" ht="19.2" customHeight="1">
      <c r="A149" s="648"/>
      <c r="B149" s="420" t="s">
        <v>129</v>
      </c>
      <c r="C149" s="221"/>
      <c r="D149" s="251" t="s">
        <v>62</v>
      </c>
      <c r="E149" s="60"/>
      <c r="F149" s="362">
        <v>38.39</v>
      </c>
      <c r="G149" s="57">
        <v>859.25</v>
      </c>
      <c r="H149" s="84">
        <f t="shared" si="97"/>
        <v>32986.607499999998</v>
      </c>
      <c r="I149" s="260">
        <v>1</v>
      </c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1321.9230769230762</v>
      </c>
      <c r="O149" s="47">
        <f t="shared" si="99"/>
        <v>77.760180995475068</v>
      </c>
      <c r="P149" s="48">
        <f t="shared" si="94"/>
        <v>1</v>
      </c>
      <c r="Q149" s="49">
        <f t="shared" si="95"/>
        <v>-24.489819004524932</v>
      </c>
      <c r="R149" s="424">
        <f t="shared" si="96"/>
        <v>0.76049076768190771</v>
      </c>
      <c r="S149" s="650"/>
      <c r="T149" s="246">
        <v>0.76944444444444438</v>
      </c>
      <c r="U149" s="50">
        <v>0.79652777777777772</v>
      </c>
      <c r="V149" s="422">
        <v>8</v>
      </c>
      <c r="W149" s="433">
        <f t="shared" ref="W149:W159" si="100">(U149-T149)*24*60</f>
        <v>39.000000000000021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-314.07692307692378</v>
      </c>
      <c r="AG149" s="125">
        <f t="shared" si="62"/>
        <v>0.80802144066202708</v>
      </c>
      <c r="AH149" s="652"/>
    </row>
    <row r="150" spans="1:34" ht="19.2" customHeight="1">
      <c r="A150" s="648"/>
      <c r="B150" s="420" t="s">
        <v>129</v>
      </c>
      <c r="C150" s="221"/>
      <c r="D150" s="176" t="s">
        <v>206</v>
      </c>
      <c r="E150" s="60"/>
      <c r="F150" s="362">
        <v>50.67</v>
      </c>
      <c r="G150" s="57">
        <v>1009.7499999999999</v>
      </c>
      <c r="H150" s="84">
        <f t="shared" si="97"/>
        <v>51164.032499999994</v>
      </c>
      <c r="I150" s="260">
        <v>1</v>
      </c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1317.0652173913043</v>
      </c>
      <c r="O150" s="47">
        <f t="shared" si="99"/>
        <v>73.170289855072454</v>
      </c>
      <c r="P150" s="48">
        <f t="shared" si="94"/>
        <v>0</v>
      </c>
      <c r="Q150" s="49">
        <f t="shared" si="95"/>
        <v>-10.163043478260875</v>
      </c>
      <c r="R150" s="424">
        <f t="shared" si="96"/>
        <v>0.87804347826086948</v>
      </c>
      <c r="S150" s="650"/>
      <c r="T150" s="246">
        <v>0.80069444444444438</v>
      </c>
      <c r="U150" s="50">
        <v>0.83263888888888882</v>
      </c>
      <c r="V150" s="422">
        <v>6</v>
      </c>
      <c r="W150" s="433">
        <f t="shared" si="100"/>
        <v>46</v>
      </c>
      <c r="X150" s="216"/>
      <c r="Y150" s="216"/>
      <c r="Z150" s="217"/>
      <c r="AA150" s="217"/>
      <c r="AB150" s="588"/>
      <c r="AC150" s="588"/>
      <c r="AD150" s="420"/>
      <c r="AE150" s="420">
        <v>1</v>
      </c>
      <c r="AF150" s="48">
        <f t="shared" si="61"/>
        <v>-182.93478260869574</v>
      </c>
      <c r="AG150" s="125">
        <f t="shared" si="62"/>
        <v>0.87804347826086948</v>
      </c>
      <c r="AH150" s="652"/>
    </row>
    <row r="151" spans="1:34" s="218" customFormat="1" ht="19.2" customHeight="1">
      <c r="A151" s="648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1761</v>
      </c>
      <c r="H151" s="84">
        <f t="shared" si="97"/>
        <v>89916.66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1228.6046511627906</v>
      </c>
      <c r="O151" s="47">
        <f t="shared" si="99"/>
        <v>76.78779069767441</v>
      </c>
      <c r="P151" s="48">
        <f t="shared" si="94"/>
        <v>0</v>
      </c>
      <c r="Q151" s="49">
        <f t="shared" si="95"/>
        <v>-13.21220930232559</v>
      </c>
      <c r="R151" s="424">
        <f t="shared" si="96"/>
        <v>0.8531976744186045</v>
      </c>
      <c r="S151" s="650"/>
      <c r="T151" s="246">
        <v>0.84861111111111098</v>
      </c>
      <c r="U151" s="50">
        <v>0.90833333333333321</v>
      </c>
      <c r="V151" s="422">
        <v>23</v>
      </c>
      <c r="W151" s="433">
        <f t="shared" si="100"/>
        <v>86.000000000000014</v>
      </c>
      <c r="X151" s="216">
        <v>0.83680555555555547</v>
      </c>
      <c r="Y151" s="216">
        <v>0.84722222222222221</v>
      </c>
      <c r="Z151" s="217"/>
      <c r="AA151" s="217"/>
      <c r="AB151" s="588"/>
      <c r="AC151" s="588"/>
      <c r="AD151" s="221"/>
      <c r="AE151" s="221"/>
      <c r="AF151" s="48">
        <f t="shared" si="61"/>
        <v>-211.39534883720944</v>
      </c>
      <c r="AG151" s="125">
        <f t="shared" si="62"/>
        <v>0.8531976744186045</v>
      </c>
      <c r="AH151" s="652"/>
    </row>
    <row r="152" spans="1:34" s="218" customFormat="1" ht="19.2" customHeight="1">
      <c r="A152" s="648"/>
      <c r="B152" s="420" t="s">
        <v>132</v>
      </c>
      <c r="C152" s="221"/>
      <c r="D152" s="59" t="s">
        <v>208</v>
      </c>
      <c r="E152" s="60"/>
      <c r="F152" s="362">
        <v>56.43</v>
      </c>
      <c r="G152" s="57">
        <v>1531</v>
      </c>
      <c r="H152" s="84">
        <f t="shared" si="97"/>
        <v>86394.33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1293.8028169014071</v>
      </c>
      <c r="O152" s="47">
        <f t="shared" si="99"/>
        <v>76.106048053023954</v>
      </c>
      <c r="P152" s="48">
        <f t="shared" si="94"/>
        <v>1</v>
      </c>
      <c r="Q152" s="49">
        <f t="shared" si="95"/>
        <v>-13.893951946976046</v>
      </c>
      <c r="R152" s="424">
        <f t="shared" si="96"/>
        <v>0.84562275614471061</v>
      </c>
      <c r="S152" s="650"/>
      <c r="T152" s="261">
        <v>0.91249999999999987</v>
      </c>
      <c r="U152" s="63">
        <v>0.96180555555555547</v>
      </c>
      <c r="V152" s="435">
        <v>6</v>
      </c>
      <c r="W152" s="433">
        <f t="shared" si="100"/>
        <v>71.000000000000071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-146.19718309859286</v>
      </c>
      <c r="AG152" s="125">
        <f t="shared" si="62"/>
        <v>0.89847417840375499</v>
      </c>
      <c r="AH152" s="652"/>
    </row>
    <row r="153" spans="1:34" s="218" customFormat="1" ht="19.2" customHeight="1">
      <c r="A153" s="648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2" customHeight="1">
      <c r="A154" s="648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2" customHeight="1">
      <c r="A155" s="648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2" customHeight="1">
      <c r="A156" s="648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2" customHeight="1">
      <c r="A157" s="648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2" customHeight="1">
      <c r="A158" s="648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2" customHeight="1">
      <c r="A159" s="648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2" customHeight="1">
      <c r="A160" s="648"/>
      <c r="B160" s="267">
        <v>0</v>
      </c>
      <c r="C160" s="268" t="s">
        <v>693</v>
      </c>
      <c r="D160" s="647" t="s">
        <v>694</v>
      </c>
      <c r="E160" s="608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1244.5591524757165</v>
      </c>
      <c r="O160" s="270">
        <f t="shared" si="101"/>
        <v>74.032361920249215</v>
      </c>
      <c r="P160" s="65">
        <f t="shared" ref="P160:P163" si="102">M160-J160</f>
        <v>0.40000000000000213</v>
      </c>
      <c r="Q160" s="74">
        <f t="shared" ref="Q160:Q163" si="103">O160-L160</f>
        <v>-17.084304746417445</v>
      </c>
      <c r="R160" s="271">
        <f>O160/L160</f>
        <v>0.81250077102889218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-246.64084752428357</v>
      </c>
      <c r="AG160" s="129">
        <f t="shared" si="62"/>
        <v>0.83460243594133343</v>
      </c>
      <c r="AH160" s="652"/>
    </row>
    <row r="161" spans="1:36" ht="19.2" customHeight="1">
      <c r="A161" s="610" t="s">
        <v>695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3177</v>
      </c>
      <c r="H161" s="84">
        <f t="shared" ref="H161:H170" si="104">F161*G161</f>
        <v>108748.70999999999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2191.0344827586205</v>
      </c>
      <c r="O161" s="86">
        <f t="shared" ref="O161:O165" si="106">N161/M161</f>
        <v>168.54111405835542</v>
      </c>
      <c r="P161" s="54">
        <f t="shared" si="102"/>
        <v>0</v>
      </c>
      <c r="Q161" s="88">
        <f t="shared" si="103"/>
        <v>-4.5358090185676474</v>
      </c>
      <c r="R161" s="421">
        <f t="shared" ref="R161:R163" si="107">O161/L161</f>
        <v>0.97379310344827585</v>
      </c>
      <c r="S161" s="611">
        <f>R173</f>
        <v>0.94425908406382464</v>
      </c>
      <c r="T161" s="89">
        <v>0.16666666666666666</v>
      </c>
      <c r="U161" s="89">
        <v>0.22708333333333333</v>
      </c>
      <c r="V161" s="420">
        <v>5</v>
      </c>
      <c r="W161" s="90">
        <f t="shared" ref="W161:W172" si="108">(U161-T161)*24*60</f>
        <v>87.000000000000014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-58.96551724137953</v>
      </c>
      <c r="AG161" s="421">
        <f t="shared" si="62"/>
        <v>0.97379310344827574</v>
      </c>
      <c r="AH161" s="611">
        <f>AG173</f>
        <v>0.94773506039902999</v>
      </c>
    </row>
    <row r="162" spans="1:36" ht="19.2" customHeight="1">
      <c r="A162" s="610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3205</v>
      </c>
      <c r="H162" s="84">
        <f t="shared" si="104"/>
        <v>109707.15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2210.3448275862065</v>
      </c>
      <c r="O162" s="86">
        <f t="shared" si="106"/>
        <v>170.02652519893897</v>
      </c>
      <c r="P162" s="54">
        <f t="shared" si="102"/>
        <v>0</v>
      </c>
      <c r="Q162" s="88">
        <f t="shared" si="103"/>
        <v>-3.0503978779840963</v>
      </c>
      <c r="R162" s="421">
        <f t="shared" si="107"/>
        <v>0.98237547892720301</v>
      </c>
      <c r="S162" s="611"/>
      <c r="T162" s="89">
        <v>0.2326388888888889</v>
      </c>
      <c r="U162" s="89">
        <v>0.29305555555555557</v>
      </c>
      <c r="V162" s="420">
        <v>8</v>
      </c>
      <c r="W162" s="90">
        <f t="shared" si="108"/>
        <v>87.000000000000014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-39.65517241379348</v>
      </c>
      <c r="AG162" s="421">
        <f t="shared" si="62"/>
        <v>0.98237547892720289</v>
      </c>
      <c r="AH162" s="611"/>
    </row>
    <row r="163" spans="1:36" ht="19.2" customHeight="1">
      <c r="A163" s="610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3096.7999999999997</v>
      </c>
      <c r="H163" s="84">
        <f t="shared" si="104"/>
        <v>110958.34399999998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2160.5581395348831</v>
      </c>
      <c r="O163" s="86">
        <f t="shared" si="106"/>
        <v>196.41437632135302</v>
      </c>
      <c r="P163" s="54">
        <f t="shared" si="102"/>
        <v>0</v>
      </c>
      <c r="Q163" s="88">
        <f t="shared" si="103"/>
        <v>-8.1310782241015147</v>
      </c>
      <c r="R163" s="421">
        <f t="shared" si="107"/>
        <v>0.96024806201550372</v>
      </c>
      <c r="S163" s="611"/>
      <c r="T163" s="89">
        <v>0.30833333333333335</v>
      </c>
      <c r="U163" s="89">
        <v>0.36805555555555558</v>
      </c>
      <c r="V163" s="420">
        <v>22</v>
      </c>
      <c r="W163" s="90">
        <f t="shared" si="108"/>
        <v>86.000000000000014</v>
      </c>
      <c r="X163" s="96">
        <v>0.29722222222222222</v>
      </c>
      <c r="Y163" s="96">
        <v>0.30763888888888891</v>
      </c>
      <c r="Z163" s="54"/>
      <c r="AA163" s="54"/>
      <c r="AB163" s="588"/>
      <c r="AC163" s="588"/>
      <c r="AD163" s="420"/>
      <c r="AE163" s="420"/>
      <c r="AF163" s="54">
        <f t="shared" si="61"/>
        <v>-89.441860465116861</v>
      </c>
      <c r="AG163" s="421">
        <f t="shared" si="62"/>
        <v>0.96024806201550361</v>
      </c>
      <c r="AH163" s="611"/>
    </row>
    <row r="164" spans="1:36" ht="19.2" customHeight="1">
      <c r="A164" s="610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6262</v>
      </c>
      <c r="H164" s="84">
        <f t="shared" si="104"/>
        <v>227999.41999999998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2439.7402597402606</v>
      </c>
      <c r="O164" s="86">
        <f t="shared" si="106"/>
        <v>243.97402597402606</v>
      </c>
      <c r="P164" s="54">
        <f>M164-J164</f>
        <v>0</v>
      </c>
      <c r="Q164" s="88">
        <f>O164-L164</f>
        <v>-32.925974025973915</v>
      </c>
      <c r="R164" s="421">
        <f>O164/L164</f>
        <v>0.88109074024567025</v>
      </c>
      <c r="S164" s="611"/>
      <c r="T164" s="89">
        <v>0.40902777777777777</v>
      </c>
      <c r="U164" s="89">
        <v>0.51597222222222217</v>
      </c>
      <c r="V164" s="420">
        <v>6</v>
      </c>
      <c r="W164" s="90">
        <f t="shared" si="108"/>
        <v>153.99999999999994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-329.25974025973937</v>
      </c>
      <c r="AG164" s="421">
        <f>N164/K164</f>
        <v>0.88109074024567013</v>
      </c>
      <c r="AH164" s="611"/>
    </row>
    <row r="165" spans="1:36" ht="19.2" customHeight="1">
      <c r="A165" s="610"/>
      <c r="B165" s="121" t="s">
        <v>131</v>
      </c>
      <c r="C165" s="81"/>
      <c r="D165" s="82" t="s">
        <v>95</v>
      </c>
      <c r="E165" s="83"/>
      <c r="F165" s="358">
        <v>35.83</v>
      </c>
      <c r="G165" s="57">
        <v>1327.2</v>
      </c>
      <c r="H165" s="84">
        <f t="shared" si="104"/>
        <v>47553.576000000001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2152.2162162162149</v>
      </c>
      <c r="O165" s="86">
        <f t="shared" si="106"/>
        <v>195.65601965601954</v>
      </c>
      <c r="P165" s="54">
        <f>M165-J165</f>
        <v>0</v>
      </c>
      <c r="Q165" s="88">
        <f>O165-L165</f>
        <v>-8.8894348894349946</v>
      </c>
      <c r="R165" s="421">
        <f>O165/L165</f>
        <v>0.95654054054054005</v>
      </c>
      <c r="S165" s="611"/>
      <c r="T165" s="89">
        <v>0.53124999999999989</v>
      </c>
      <c r="U165" s="89">
        <v>0.55694444444444435</v>
      </c>
      <c r="V165" s="420">
        <v>22</v>
      </c>
      <c r="W165" s="90">
        <f t="shared" si="108"/>
        <v>37.000000000000028</v>
      </c>
      <c r="X165" s="96">
        <v>0.52013888888888882</v>
      </c>
      <c r="Y165" s="96">
        <v>0.53055555555555556</v>
      </c>
      <c r="Z165" s="54"/>
      <c r="AA165" s="54"/>
      <c r="AB165" s="588"/>
      <c r="AC165" s="588"/>
      <c r="AD165" s="420"/>
      <c r="AE165" s="420"/>
      <c r="AF165" s="54">
        <f>N165-K165</f>
        <v>-97.783783783785111</v>
      </c>
      <c r="AG165" s="421">
        <f>N165/K165</f>
        <v>0.95654054054053994</v>
      </c>
      <c r="AH165" s="611"/>
    </row>
    <row r="166" spans="1:36" ht="19.2" customHeight="1">
      <c r="A166" s="610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611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0</v>
      </c>
      <c r="AG166" s="421" t="e">
        <f>N166/K166</f>
        <v>#DIV/0!</v>
      </c>
      <c r="AH166" s="611"/>
    </row>
    <row r="167" spans="1:36" ht="19.2" customHeight="1">
      <c r="A167" s="610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2" customHeight="1">
      <c r="A168" s="610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2" customHeight="1">
      <c r="A169" s="610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2" customHeight="1">
      <c r="A170" s="610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2" customHeight="1">
      <c r="A171" s="610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2" customHeight="1">
      <c r="A172" s="610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2" customHeight="1">
      <c r="A173" s="610"/>
      <c r="B173" s="121">
        <v>0</v>
      </c>
      <c r="C173" s="100" t="s">
        <v>696</v>
      </c>
      <c r="D173" s="617" t="s">
        <v>697</v>
      </c>
      <c r="E173" s="617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2230.7787851672369</v>
      </c>
      <c r="O173" s="104">
        <f t="shared" si="109"/>
        <v>194.92241224173861</v>
      </c>
      <c r="P173" s="54">
        <f>M173-J173</f>
        <v>0</v>
      </c>
      <c r="Q173" s="88">
        <f>O173-L173</f>
        <v>-11.506538807212451</v>
      </c>
      <c r="R173" s="105">
        <f>O173/L173</f>
        <v>0.94425908406382464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0</v>
      </c>
      <c r="AF173" s="54">
        <f t="shared" si="61"/>
        <v>-123.02121483276323</v>
      </c>
      <c r="AG173" s="421">
        <f t="shared" si="62"/>
        <v>0.94773506039902999</v>
      </c>
      <c r="AH173" s="611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698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699</v>
      </c>
    </row>
    <row r="186" spans="23:36">
      <c r="W186" s="33"/>
      <c r="AJ186" s="275" t="s">
        <v>700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109:Q118 Q57:Q70">
    <cfRule type="cellIs" dxfId="6390" priority="3106" operator="lessThan">
      <formula>0</formula>
    </cfRule>
  </conditionalFormatting>
  <conditionalFormatting sqref="AH57 AH70 S43 S123 S95 AH95 S5:S9 AH5:AH9 S134 AH17:AH18 S17:S18 S32 S82 AH82 S57:S70">
    <cfRule type="cellIs" dxfId="6389" priority="3105" operator="lessThan">
      <formula>0.8</formula>
    </cfRule>
  </conditionalFormatting>
  <conditionalFormatting sqref="R147 R173 R30 R121 R95 R43 R134 R82 R157:R159 R17:R18 R109:R118 R57:R70">
    <cfRule type="cellIs" dxfId="6388" priority="3103" operator="lessThan">
      <formula>0.8</formula>
    </cfRule>
    <cfRule type="cellIs" dxfId="6387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109:R118 R57:R70">
    <cfRule type="cellIs" dxfId="6386" priority="3101" operator="greaterThan">
      <formula>1</formula>
    </cfRule>
    <cfRule type="cellIs" dxfId="6385" priority="3102" operator="lessThan">
      <formula>0.8</formula>
    </cfRule>
  </conditionalFormatting>
  <conditionalFormatting sqref="P147 P30 P121 P95 P43 P134 P82 P157:P159 P109:P118 P17:P28 P57:P70">
    <cfRule type="cellIs" dxfId="6384" priority="3100" operator="greaterThan">
      <formula>0</formula>
    </cfRule>
  </conditionalFormatting>
  <conditionalFormatting sqref="S161">
    <cfRule type="cellIs" dxfId="6383" priority="3099" operator="lessThan">
      <formula>0.8</formula>
    </cfRule>
  </conditionalFormatting>
  <conditionalFormatting sqref="Q161:Q167">
    <cfRule type="cellIs" dxfId="6382" priority="3098" operator="lessThan">
      <formula>0</formula>
    </cfRule>
  </conditionalFormatting>
  <conditionalFormatting sqref="R161:R167">
    <cfRule type="cellIs" dxfId="6381" priority="3096" operator="lessThan">
      <formula>0.8</formula>
    </cfRule>
    <cfRule type="cellIs" dxfId="6380" priority="3097" operator="greaterThan">
      <formula>1</formula>
    </cfRule>
  </conditionalFormatting>
  <conditionalFormatting sqref="R161:R167">
    <cfRule type="cellIs" dxfId="6379" priority="3094" operator="greaterThan">
      <formula>1</formula>
    </cfRule>
    <cfRule type="cellIs" dxfId="6378" priority="3095" operator="lessThan">
      <formula>0.8</formula>
    </cfRule>
  </conditionalFormatting>
  <conditionalFormatting sqref="P161:P167">
    <cfRule type="cellIs" dxfId="6377" priority="3093" operator="greaterThan">
      <formula>0</formula>
    </cfRule>
  </conditionalFormatting>
  <conditionalFormatting sqref="Q169:Q172 AF161:AF172">
    <cfRule type="cellIs" dxfId="6376" priority="3092" operator="lessThan">
      <formula>0</formula>
    </cfRule>
  </conditionalFormatting>
  <conditionalFormatting sqref="R169:R172">
    <cfRule type="cellIs" dxfId="6375" priority="3090" operator="lessThan">
      <formula>0.8</formula>
    </cfRule>
    <cfRule type="cellIs" dxfId="6374" priority="3091" operator="greaterThan">
      <formula>1</formula>
    </cfRule>
  </conditionalFormatting>
  <conditionalFormatting sqref="R169:R172 AG161:AG172">
    <cfRule type="cellIs" dxfId="6373" priority="3088" operator="greaterThan">
      <formula>1</formula>
    </cfRule>
    <cfRule type="cellIs" dxfId="6372" priority="3089" operator="lessThan">
      <formula>0.8</formula>
    </cfRule>
  </conditionalFormatting>
  <conditionalFormatting sqref="P169:P172">
    <cfRule type="cellIs" dxfId="6371" priority="3087" operator="greaterThan">
      <formula>0</formula>
    </cfRule>
  </conditionalFormatting>
  <conditionalFormatting sqref="AF145">
    <cfRule type="cellIs" dxfId="6370" priority="3086" operator="lessThan">
      <formula>0</formula>
    </cfRule>
  </conditionalFormatting>
  <conditionalFormatting sqref="AG145">
    <cfRule type="cellIs" dxfId="6369" priority="3084" operator="greaterThan">
      <formula>1</formula>
    </cfRule>
    <cfRule type="cellIs" dxfId="6368" priority="3085" operator="lessThan">
      <formula>0.8</formula>
    </cfRule>
  </conditionalFormatting>
  <conditionalFormatting sqref="AF44:AF54">
    <cfRule type="cellIs" dxfId="6367" priority="3083" operator="lessThan">
      <formula>0</formula>
    </cfRule>
  </conditionalFormatting>
  <conditionalFormatting sqref="AG44:AG54">
    <cfRule type="cellIs" dxfId="6366" priority="3081" operator="greaterThan">
      <formula>1</formula>
    </cfRule>
    <cfRule type="cellIs" dxfId="6365" priority="3082" operator="lessThan">
      <formula>0.8</formula>
    </cfRule>
  </conditionalFormatting>
  <conditionalFormatting sqref="AF83:AF94">
    <cfRule type="cellIs" dxfId="6364" priority="3080" operator="lessThan">
      <formula>0</formula>
    </cfRule>
  </conditionalFormatting>
  <conditionalFormatting sqref="AH83">
    <cfRule type="cellIs" dxfId="6363" priority="3079" operator="lessThan">
      <formula>0.8</formula>
    </cfRule>
  </conditionalFormatting>
  <conditionalFormatting sqref="AG83:AG94">
    <cfRule type="cellIs" dxfId="6362" priority="3077" operator="greaterThan">
      <formula>1</formula>
    </cfRule>
    <cfRule type="cellIs" dxfId="6361" priority="3078" operator="lessThan">
      <formula>0.8</formula>
    </cfRule>
  </conditionalFormatting>
  <conditionalFormatting sqref="S83">
    <cfRule type="cellIs" dxfId="6360" priority="3076" operator="lessThan">
      <formula>0.8</formula>
    </cfRule>
  </conditionalFormatting>
  <conditionalFormatting sqref="AH84">
    <cfRule type="cellIs" dxfId="6359" priority="3075" operator="lessThan">
      <formula>0.8</formula>
    </cfRule>
  </conditionalFormatting>
  <conditionalFormatting sqref="S84">
    <cfRule type="cellIs" dxfId="6358" priority="3074" operator="lessThan">
      <formula>0.8</formula>
    </cfRule>
  </conditionalFormatting>
  <conditionalFormatting sqref="S90">
    <cfRule type="cellIs" dxfId="6357" priority="3073" operator="lessThan">
      <formula>0.8</formula>
    </cfRule>
  </conditionalFormatting>
  <conditionalFormatting sqref="AH90">
    <cfRule type="cellIs" dxfId="6356" priority="3072" operator="lessThan">
      <formula>0.8</formula>
    </cfRule>
  </conditionalFormatting>
  <conditionalFormatting sqref="AF122">
    <cfRule type="cellIs" dxfId="6355" priority="3071" operator="lessThan">
      <formula>0</formula>
    </cfRule>
  </conditionalFormatting>
  <conditionalFormatting sqref="S122">
    <cfRule type="cellIs" dxfId="6354" priority="3070" operator="lessThan">
      <formula>0.8</formula>
    </cfRule>
  </conditionalFormatting>
  <conditionalFormatting sqref="AG122">
    <cfRule type="cellIs" dxfId="6353" priority="3068" operator="greaterThan">
      <formula>1</formula>
    </cfRule>
    <cfRule type="cellIs" dxfId="6352" priority="3069" operator="lessThan">
      <formula>0.8</formula>
    </cfRule>
  </conditionalFormatting>
  <conditionalFormatting sqref="P162:P168">
    <cfRule type="cellIs" dxfId="6351" priority="3062" operator="greaterThan">
      <formula>0</formula>
    </cfRule>
  </conditionalFormatting>
  <conditionalFormatting sqref="R162:R168">
    <cfRule type="cellIs" dxfId="6350" priority="3065" operator="lessThan">
      <formula>0.8</formula>
    </cfRule>
    <cfRule type="cellIs" dxfId="6349" priority="3066" operator="greaterThan">
      <formula>1</formula>
    </cfRule>
  </conditionalFormatting>
  <conditionalFormatting sqref="R162:R168">
    <cfRule type="cellIs" dxfId="6348" priority="3063" operator="greaterThan">
      <formula>1</formula>
    </cfRule>
    <cfRule type="cellIs" dxfId="6347" priority="3064" operator="lessThan">
      <formula>0.8</formula>
    </cfRule>
  </conditionalFormatting>
  <conditionalFormatting sqref="Q162:Q168">
    <cfRule type="cellIs" dxfId="6346" priority="3067" operator="lessThan">
      <formula>0</formula>
    </cfRule>
  </conditionalFormatting>
  <conditionalFormatting sqref="P132:P133">
    <cfRule type="cellIs" dxfId="6345" priority="3055" operator="greaterThan">
      <formula>0</formula>
    </cfRule>
  </conditionalFormatting>
  <conditionalFormatting sqref="AF124 Q132:Q133 AF132:AF133 AF126:AF127 AF129:AF130">
    <cfRule type="cellIs" dxfId="6344" priority="3061" operator="lessThan">
      <formula>0</formula>
    </cfRule>
  </conditionalFormatting>
  <conditionalFormatting sqref="S124:S133">
    <cfRule type="cellIs" dxfId="6343" priority="3060" operator="lessThan">
      <formula>0.8</formula>
    </cfRule>
  </conditionalFormatting>
  <conditionalFormatting sqref="R132:R133">
    <cfRule type="cellIs" dxfId="6342" priority="3058" operator="lessThan">
      <formula>0.8</formula>
    </cfRule>
    <cfRule type="cellIs" dxfId="6341" priority="3059" operator="greaterThan">
      <formula>1</formula>
    </cfRule>
  </conditionalFormatting>
  <conditionalFormatting sqref="AG124 R132:R133 AG132:AG133 AG126:AG127 AG129:AG130">
    <cfRule type="cellIs" dxfId="6340" priority="3056" operator="greaterThan">
      <formula>1</formula>
    </cfRule>
    <cfRule type="cellIs" dxfId="6339" priority="3057" operator="lessThan">
      <formula>0.8</formula>
    </cfRule>
  </conditionalFormatting>
  <conditionalFormatting sqref="AH109">
    <cfRule type="cellIs" dxfId="6338" priority="3054" operator="lessThan">
      <formula>0.8</formula>
    </cfRule>
  </conditionalFormatting>
  <conditionalFormatting sqref="R160 AG160">
    <cfRule type="cellIs" dxfId="6337" priority="3049" operator="greaterThan">
      <formula>1</formula>
    </cfRule>
    <cfRule type="cellIs" dxfId="6336" priority="3050" operator="lessThan">
      <formula>0.8</formula>
    </cfRule>
  </conditionalFormatting>
  <conditionalFormatting sqref="R160">
    <cfRule type="cellIs" dxfId="6335" priority="3051" operator="lessThan">
      <formula>0.8</formula>
    </cfRule>
    <cfRule type="cellIs" dxfId="6334" priority="3052" operator="greaterThan">
      <formula>1</formula>
    </cfRule>
  </conditionalFormatting>
  <conditionalFormatting sqref="P160">
    <cfRule type="cellIs" dxfId="6333" priority="3048" operator="greaterThan">
      <formula>0</formula>
    </cfRule>
  </conditionalFormatting>
  <conditionalFormatting sqref="AH148">
    <cfRule type="cellIs" dxfId="6332" priority="3047" operator="lessThan">
      <formula>0.8</formula>
    </cfRule>
  </conditionalFormatting>
  <conditionalFormatting sqref="Q160 AF160">
    <cfRule type="cellIs" dxfId="6331" priority="3053" operator="lessThan">
      <formula>0</formula>
    </cfRule>
  </conditionalFormatting>
  <conditionalFormatting sqref="AF148:AF154">
    <cfRule type="cellIs" dxfId="6330" priority="3046" operator="lessThan">
      <formula>0</formula>
    </cfRule>
  </conditionalFormatting>
  <conditionalFormatting sqref="S148">
    <cfRule type="cellIs" dxfId="6329" priority="3045" operator="lessThan">
      <formula>0.8</formula>
    </cfRule>
  </conditionalFormatting>
  <conditionalFormatting sqref="AG148:AG154">
    <cfRule type="cellIs" dxfId="6328" priority="3043" operator="greaterThan">
      <formula>1</formula>
    </cfRule>
    <cfRule type="cellIs" dxfId="6327" priority="3044" operator="lessThan">
      <formula>0.8</formula>
    </cfRule>
  </conditionalFormatting>
  <conditionalFormatting sqref="S86">
    <cfRule type="cellIs" dxfId="6326" priority="3042" operator="lessThan">
      <formula>0.8</formula>
    </cfRule>
  </conditionalFormatting>
  <conditionalFormatting sqref="S88 AH88">
    <cfRule type="cellIs" dxfId="6325" priority="3037" operator="lessThan">
      <formula>0.8</formula>
    </cfRule>
  </conditionalFormatting>
  <conditionalFormatting sqref="AH86">
    <cfRule type="cellIs" dxfId="6324" priority="3041" operator="lessThan">
      <formula>0.8</formula>
    </cfRule>
  </conditionalFormatting>
  <conditionalFormatting sqref="S87">
    <cfRule type="cellIs" dxfId="6323" priority="3040" operator="lessThan">
      <formula>0.8</formula>
    </cfRule>
  </conditionalFormatting>
  <conditionalFormatting sqref="AH87">
    <cfRule type="cellIs" dxfId="6322" priority="3039" operator="lessThan">
      <formula>0.8</formula>
    </cfRule>
  </conditionalFormatting>
  <conditionalFormatting sqref="S89 AH89">
    <cfRule type="cellIs" dxfId="6321" priority="3038" operator="lessThan">
      <formula>0.8</formula>
    </cfRule>
  </conditionalFormatting>
  <conditionalFormatting sqref="AF31 AF35 AF39">
    <cfRule type="cellIs" dxfId="6320" priority="3036" operator="lessThan">
      <formula>0</formula>
    </cfRule>
  </conditionalFormatting>
  <conditionalFormatting sqref="AH31 S31">
    <cfRule type="cellIs" dxfId="6319" priority="3035" operator="lessThan">
      <formula>0.8</formula>
    </cfRule>
  </conditionalFormatting>
  <conditionalFormatting sqref="AG31 AG35 AG39">
    <cfRule type="cellIs" dxfId="6318" priority="3033" operator="greaterThan">
      <formula>1</formula>
    </cfRule>
    <cfRule type="cellIs" dxfId="6317" priority="3034" operator="lessThan">
      <formula>0.8</formula>
    </cfRule>
  </conditionalFormatting>
  <conditionalFormatting sqref="AF135">
    <cfRule type="cellIs" dxfId="6316" priority="3032" operator="lessThan">
      <formula>0</formula>
    </cfRule>
  </conditionalFormatting>
  <conditionalFormatting sqref="AH135 S135">
    <cfRule type="cellIs" dxfId="6315" priority="3031" operator="lessThan">
      <formula>0.8</formula>
    </cfRule>
  </conditionalFormatting>
  <conditionalFormatting sqref="AG135">
    <cfRule type="cellIs" dxfId="6314" priority="3029" operator="greaterThan">
      <formula>1</formula>
    </cfRule>
    <cfRule type="cellIs" dxfId="6313" priority="3030" operator="lessThan">
      <formula>0.8</formula>
    </cfRule>
  </conditionalFormatting>
  <conditionalFormatting sqref="AF108 Q108">
    <cfRule type="cellIs" dxfId="6312" priority="3028" operator="lessThan">
      <formula>0</formula>
    </cfRule>
  </conditionalFormatting>
  <conditionalFormatting sqref="R108">
    <cfRule type="cellIs" dxfId="6311" priority="3026" operator="lessThan">
      <formula>0.8</formula>
    </cfRule>
    <cfRule type="cellIs" dxfId="6310" priority="3027" operator="greaterThan">
      <formula>1</formula>
    </cfRule>
  </conditionalFormatting>
  <conditionalFormatting sqref="AG108 R108">
    <cfRule type="cellIs" dxfId="6309" priority="3024" operator="greaterThan">
      <formula>1</formula>
    </cfRule>
    <cfRule type="cellIs" dxfId="6308" priority="3025" operator="lessThan">
      <formula>0.8</formula>
    </cfRule>
  </conditionalFormatting>
  <conditionalFormatting sqref="P108">
    <cfRule type="cellIs" dxfId="6307" priority="3023" operator="greaterThan">
      <formula>0</formula>
    </cfRule>
  </conditionalFormatting>
  <conditionalFormatting sqref="AH97">
    <cfRule type="cellIs" dxfId="6306" priority="3018" operator="lessThan">
      <formula>0.8</formula>
    </cfRule>
  </conditionalFormatting>
  <conditionalFormatting sqref="AG96 AG98 AG100 AG102:AG103 AG105:AG106">
    <cfRule type="cellIs" dxfId="6305" priority="3020" operator="greaterThan">
      <formula>1</formula>
    </cfRule>
    <cfRule type="cellIs" dxfId="6304" priority="3021" operator="lessThan">
      <formula>0.8</formula>
    </cfRule>
  </conditionalFormatting>
  <conditionalFormatting sqref="AF96 AF98 AF100 AF102:AF103 AF105:AF106">
    <cfRule type="cellIs" dxfId="6303" priority="3022" operator="lessThan">
      <formula>0</formula>
    </cfRule>
  </conditionalFormatting>
  <conditionalFormatting sqref="AG97 AG99 AG101 AG104">
    <cfRule type="cellIs" dxfId="6302" priority="3016" operator="greaterThan">
      <formula>1</formula>
    </cfRule>
    <cfRule type="cellIs" dxfId="6301" priority="3017" operator="lessThan">
      <formula>0.8</formula>
    </cfRule>
  </conditionalFormatting>
  <conditionalFormatting sqref="AF97 AF99 AF101 AF104">
    <cfRule type="cellIs" dxfId="6300" priority="3019" operator="lessThan">
      <formula>0</formula>
    </cfRule>
  </conditionalFormatting>
  <conditionalFormatting sqref="AF71 AF73 AF75 AF79 AF77">
    <cfRule type="cellIs" dxfId="6299" priority="3013" operator="lessThan">
      <formula>0</formula>
    </cfRule>
  </conditionalFormatting>
  <conditionalFormatting sqref="S71 AH71">
    <cfRule type="cellIs" dxfId="6298" priority="3012" operator="lessThan">
      <formula>0.8</formula>
    </cfRule>
  </conditionalFormatting>
  <conditionalFormatting sqref="AG71 AG73 AG75 AG79 AG77">
    <cfRule type="cellIs" dxfId="6297" priority="3010" operator="greaterThan">
      <formula>1</formula>
    </cfRule>
    <cfRule type="cellIs" dxfId="6296" priority="3011" operator="lessThan">
      <formula>0.8</formula>
    </cfRule>
  </conditionalFormatting>
  <conditionalFormatting sqref="AF72 AF76 AF80">
    <cfRule type="cellIs" dxfId="6295" priority="3009" operator="lessThan">
      <formula>0</formula>
    </cfRule>
  </conditionalFormatting>
  <conditionalFormatting sqref="S72 AH72">
    <cfRule type="cellIs" dxfId="6294" priority="3008" operator="lessThan">
      <formula>0.8</formula>
    </cfRule>
  </conditionalFormatting>
  <conditionalFormatting sqref="S11">
    <cfRule type="cellIs" dxfId="6293" priority="3015" operator="lessThan">
      <formula>0.8</formula>
    </cfRule>
  </conditionalFormatting>
  <conditionalFormatting sqref="S10">
    <cfRule type="cellIs" dxfId="6292" priority="3014" operator="lessThan">
      <formula>0.8</formula>
    </cfRule>
  </conditionalFormatting>
  <conditionalFormatting sqref="AG72 AG76 AG80">
    <cfRule type="cellIs" dxfId="6291" priority="3006" operator="greaterThan">
      <formula>1</formula>
    </cfRule>
    <cfRule type="cellIs" dxfId="6290" priority="3007" operator="lessThan">
      <formula>0.8</formula>
    </cfRule>
  </conditionalFormatting>
  <conditionalFormatting sqref="AF14:AF16 Q15:Q16">
    <cfRule type="cellIs" dxfId="6289" priority="3005" operator="lessThan">
      <formula>0</formula>
    </cfRule>
  </conditionalFormatting>
  <conditionalFormatting sqref="R15:R16">
    <cfRule type="cellIs" dxfId="6288" priority="3003" operator="lessThan">
      <formula>0.8</formula>
    </cfRule>
    <cfRule type="cellIs" dxfId="6287" priority="3004" operator="greaterThan">
      <formula>1</formula>
    </cfRule>
  </conditionalFormatting>
  <conditionalFormatting sqref="R15:R16">
    <cfRule type="cellIs" dxfId="6286" priority="3001" operator="greaterThan">
      <formula>1</formula>
    </cfRule>
    <cfRule type="cellIs" dxfId="6285" priority="3002" operator="lessThan">
      <formula>0.8</formula>
    </cfRule>
  </conditionalFormatting>
  <conditionalFormatting sqref="P15:P16">
    <cfRule type="cellIs" dxfId="6284" priority="3000" operator="greaterThan">
      <formula>0</formula>
    </cfRule>
  </conditionalFormatting>
  <conditionalFormatting sqref="AH98">
    <cfRule type="cellIs" dxfId="6283" priority="2999" operator="lessThan">
      <formula>0.8</formula>
    </cfRule>
  </conditionalFormatting>
  <conditionalFormatting sqref="AF33 AF37">
    <cfRule type="cellIs" dxfId="6282" priority="2998" operator="lessThan">
      <formula>0</formula>
    </cfRule>
  </conditionalFormatting>
  <conditionalFormatting sqref="AG33 AG37">
    <cfRule type="cellIs" dxfId="6281" priority="2996" operator="greaterThan">
      <formula>1</formula>
    </cfRule>
    <cfRule type="cellIs" dxfId="6280" priority="2997" operator="lessThan">
      <formula>0.8</formula>
    </cfRule>
  </conditionalFormatting>
  <conditionalFormatting sqref="P41:P42">
    <cfRule type="cellIs" dxfId="6279" priority="2990" operator="greaterThan">
      <formula>0</formula>
    </cfRule>
  </conditionalFormatting>
  <conditionalFormatting sqref="Q41:Q42 AF34 AF41:AF42 AF38">
    <cfRule type="cellIs" dxfId="6278" priority="2995" operator="lessThan">
      <formula>0</formula>
    </cfRule>
  </conditionalFormatting>
  <conditionalFormatting sqref="R41:R42">
    <cfRule type="cellIs" dxfId="6277" priority="2993" operator="lessThan">
      <formula>0.8</formula>
    </cfRule>
    <cfRule type="cellIs" dxfId="6276" priority="2994" operator="greaterThan">
      <formula>1</formula>
    </cfRule>
  </conditionalFormatting>
  <conditionalFormatting sqref="R41:R42 AG34 AG41:AG42 AG38">
    <cfRule type="cellIs" dxfId="6275" priority="2991" operator="greaterThan">
      <formula>1</formula>
    </cfRule>
    <cfRule type="cellIs" dxfId="6274" priority="2992" operator="lessThan">
      <formula>0.8</formula>
    </cfRule>
  </conditionalFormatting>
  <conditionalFormatting sqref="AF137:AF144">
    <cfRule type="cellIs" dxfId="6273" priority="2989" operator="lessThan">
      <formula>0</formula>
    </cfRule>
  </conditionalFormatting>
  <conditionalFormatting sqref="AH137 S137">
    <cfRule type="cellIs" dxfId="6272" priority="2988" operator="lessThan">
      <formula>0.8</formula>
    </cfRule>
  </conditionalFormatting>
  <conditionalFormatting sqref="AG137:AG144">
    <cfRule type="cellIs" dxfId="6271" priority="2986" operator="greaterThan">
      <formula>1</formula>
    </cfRule>
    <cfRule type="cellIs" dxfId="6270" priority="2987" operator="lessThan">
      <formula>0.8</formula>
    </cfRule>
  </conditionalFormatting>
  <conditionalFormatting sqref="AF55">
    <cfRule type="cellIs" dxfId="6269" priority="2985" operator="lessThan">
      <formula>0</formula>
    </cfRule>
  </conditionalFormatting>
  <conditionalFormatting sqref="AG55">
    <cfRule type="cellIs" dxfId="6268" priority="2983" operator="greaterThan">
      <formula>1</formula>
    </cfRule>
    <cfRule type="cellIs" dxfId="6267" priority="2984" operator="lessThan">
      <formula>0.8</formula>
    </cfRule>
  </conditionalFormatting>
  <conditionalFormatting sqref="AF56 Q56">
    <cfRule type="cellIs" dxfId="6266" priority="2982" operator="lessThan">
      <formula>0</formula>
    </cfRule>
  </conditionalFormatting>
  <conditionalFormatting sqref="R56">
    <cfRule type="cellIs" dxfId="6265" priority="2980" operator="lessThan">
      <formula>0.8</formula>
    </cfRule>
    <cfRule type="cellIs" dxfId="6264" priority="2981" operator="greaterThan">
      <formula>1</formula>
    </cfRule>
  </conditionalFormatting>
  <conditionalFormatting sqref="AG56 R56">
    <cfRule type="cellIs" dxfId="6263" priority="2978" operator="greaterThan">
      <formula>1</formula>
    </cfRule>
    <cfRule type="cellIs" dxfId="6262" priority="2979" operator="lessThan">
      <formula>0.8</formula>
    </cfRule>
  </conditionalFormatting>
  <conditionalFormatting sqref="P56">
    <cfRule type="cellIs" dxfId="6261" priority="2977" operator="greaterThan">
      <formula>0</formula>
    </cfRule>
  </conditionalFormatting>
  <conditionalFormatting sqref="P54:P55">
    <cfRule type="cellIs" dxfId="6260" priority="2971" operator="greaterThan">
      <formula>0</formula>
    </cfRule>
  </conditionalFormatting>
  <conditionalFormatting sqref="Q54:Q55">
    <cfRule type="cellIs" dxfId="6259" priority="2976" operator="lessThan">
      <formula>0</formula>
    </cfRule>
  </conditionalFormatting>
  <conditionalFormatting sqref="R54:R55">
    <cfRule type="cellIs" dxfId="6258" priority="2974" operator="lessThan">
      <formula>0.8</formula>
    </cfRule>
    <cfRule type="cellIs" dxfId="6257" priority="2975" operator="greaterThan">
      <formula>1</formula>
    </cfRule>
  </conditionalFormatting>
  <conditionalFormatting sqref="R54:R55">
    <cfRule type="cellIs" dxfId="6256" priority="2972" operator="greaterThan">
      <formula>1</formula>
    </cfRule>
    <cfRule type="cellIs" dxfId="6255" priority="2973" operator="lessThan">
      <formula>0.8</formula>
    </cfRule>
  </conditionalFormatting>
  <conditionalFormatting sqref="P80:P81">
    <cfRule type="cellIs" dxfId="6254" priority="2965" operator="greaterThan">
      <formula>0</formula>
    </cfRule>
  </conditionalFormatting>
  <conditionalFormatting sqref="AF81 Q80:Q81">
    <cfRule type="cellIs" dxfId="6253" priority="2970" operator="lessThan">
      <formula>0</formula>
    </cfRule>
  </conditionalFormatting>
  <conditionalFormatting sqref="R80:R81">
    <cfRule type="cellIs" dxfId="6252" priority="2968" operator="lessThan">
      <formula>0.8</formula>
    </cfRule>
    <cfRule type="cellIs" dxfId="6251" priority="2969" operator="greaterThan">
      <formula>1</formula>
    </cfRule>
  </conditionalFormatting>
  <conditionalFormatting sqref="AG81 R80:R81">
    <cfRule type="cellIs" dxfId="6250" priority="2966" operator="greaterThan">
      <formula>1</formula>
    </cfRule>
    <cfRule type="cellIs" dxfId="6249" priority="2967" operator="lessThan">
      <formula>0.8</formula>
    </cfRule>
  </conditionalFormatting>
  <conditionalFormatting sqref="AH85">
    <cfRule type="cellIs" dxfId="6248" priority="2964" operator="lessThan">
      <formula>0.8</formula>
    </cfRule>
  </conditionalFormatting>
  <conditionalFormatting sqref="S85">
    <cfRule type="cellIs" dxfId="6247" priority="2963" operator="lessThan">
      <formula>0.8</formula>
    </cfRule>
  </conditionalFormatting>
  <conditionalFormatting sqref="AF107">
    <cfRule type="cellIs" dxfId="6246" priority="2962" operator="lessThan">
      <formula>0</formula>
    </cfRule>
  </conditionalFormatting>
  <conditionalFormatting sqref="AH100:AH107">
    <cfRule type="cellIs" dxfId="6245" priority="2961" operator="lessThan">
      <formula>0.8</formula>
    </cfRule>
  </conditionalFormatting>
  <conditionalFormatting sqref="AG107">
    <cfRule type="cellIs" dxfId="6244" priority="2959" operator="greaterThan">
      <formula>1</formula>
    </cfRule>
    <cfRule type="cellIs" dxfId="6243" priority="2960" operator="lessThan">
      <formula>0.8</formula>
    </cfRule>
  </conditionalFormatting>
  <conditionalFormatting sqref="P106:P107">
    <cfRule type="cellIs" dxfId="6242" priority="2953" operator="greaterThan">
      <formula>0</formula>
    </cfRule>
  </conditionalFormatting>
  <conditionalFormatting sqref="Q106:Q107">
    <cfRule type="cellIs" dxfId="6241" priority="2958" operator="lessThan">
      <formula>0</formula>
    </cfRule>
  </conditionalFormatting>
  <conditionalFormatting sqref="R106:R107">
    <cfRule type="cellIs" dxfId="6240" priority="2956" operator="lessThan">
      <formula>0.8</formula>
    </cfRule>
    <cfRule type="cellIs" dxfId="6239" priority="2957" operator="greaterThan">
      <formula>1</formula>
    </cfRule>
  </conditionalFormatting>
  <conditionalFormatting sqref="R106:R107">
    <cfRule type="cellIs" dxfId="6238" priority="2954" operator="greaterThan">
      <formula>1</formula>
    </cfRule>
    <cfRule type="cellIs" dxfId="6237" priority="2955" operator="lessThan">
      <formula>0.8</formula>
    </cfRule>
  </conditionalFormatting>
  <conditionalFormatting sqref="AF109:AF120">
    <cfRule type="cellIs" dxfId="6236" priority="2952" operator="lessThan">
      <formula>0</formula>
    </cfRule>
  </conditionalFormatting>
  <conditionalFormatting sqref="S109">
    <cfRule type="cellIs" dxfId="6235" priority="2951" operator="lessThan">
      <formula>0.8</formula>
    </cfRule>
  </conditionalFormatting>
  <conditionalFormatting sqref="AG109:AG120">
    <cfRule type="cellIs" dxfId="6234" priority="2949" operator="greaterThan">
      <formula>1</formula>
    </cfRule>
    <cfRule type="cellIs" dxfId="6233" priority="2950" operator="lessThan">
      <formula>0.8</formula>
    </cfRule>
  </conditionalFormatting>
  <conditionalFormatting sqref="S150">
    <cfRule type="cellIs" dxfId="6232" priority="2948" operator="lessThan">
      <formula>0.8</formula>
    </cfRule>
  </conditionalFormatting>
  <conditionalFormatting sqref="AH150">
    <cfRule type="cellIs" dxfId="6231" priority="2947" operator="lessThan">
      <formula>0.8</formula>
    </cfRule>
  </conditionalFormatting>
  <conditionalFormatting sqref="S149">
    <cfRule type="cellIs" dxfId="6230" priority="2946" operator="lessThan">
      <formula>0.8</formula>
    </cfRule>
  </conditionalFormatting>
  <conditionalFormatting sqref="Q26:Q29">
    <cfRule type="cellIs" dxfId="6229" priority="2945" operator="lessThan">
      <formula>0</formula>
    </cfRule>
  </conditionalFormatting>
  <conditionalFormatting sqref="S21:S29 AH21:AH29">
    <cfRule type="cellIs" dxfId="6228" priority="2944" operator="lessThan">
      <formula>0.8</formula>
    </cfRule>
  </conditionalFormatting>
  <conditionalFormatting sqref="R26:R29">
    <cfRule type="cellIs" dxfId="6227" priority="2942" operator="lessThan">
      <formula>0.8</formula>
    </cfRule>
    <cfRule type="cellIs" dxfId="6226" priority="2943" operator="greaterThan">
      <formula>1</formula>
    </cfRule>
  </conditionalFormatting>
  <conditionalFormatting sqref="R26:R29">
    <cfRule type="cellIs" dxfId="6225" priority="2940" operator="greaterThan">
      <formula>1</formula>
    </cfRule>
    <cfRule type="cellIs" dxfId="6224" priority="2941" operator="lessThan">
      <formula>0.8</formula>
    </cfRule>
  </conditionalFormatting>
  <conditionalFormatting sqref="P29">
    <cfRule type="cellIs" dxfId="6223" priority="2939" operator="greaterThan">
      <formula>0</formula>
    </cfRule>
  </conditionalFormatting>
  <conditionalFormatting sqref="AH91 S91">
    <cfRule type="cellIs" dxfId="6222" priority="2938" operator="lessThan">
      <formula>0.8</formula>
    </cfRule>
  </conditionalFormatting>
  <conditionalFormatting sqref="P92:P94">
    <cfRule type="cellIs" dxfId="6221" priority="2932" operator="greaterThan">
      <formula>0</formula>
    </cfRule>
  </conditionalFormatting>
  <conditionalFormatting sqref="Q92:Q94">
    <cfRule type="cellIs" dxfId="6220" priority="2937" operator="lessThan">
      <formula>0</formula>
    </cfRule>
  </conditionalFormatting>
  <conditionalFormatting sqref="R92:R94">
    <cfRule type="cellIs" dxfId="6219" priority="2935" operator="lessThan">
      <formula>0.8</formula>
    </cfRule>
    <cfRule type="cellIs" dxfId="6218" priority="2936" operator="greaterThan">
      <formula>1</formula>
    </cfRule>
  </conditionalFormatting>
  <conditionalFormatting sqref="R92:R94">
    <cfRule type="cellIs" dxfId="6217" priority="2933" operator="greaterThan">
      <formula>1</formula>
    </cfRule>
    <cfRule type="cellIs" dxfId="6216" priority="2934" operator="lessThan">
      <formula>0.8</formula>
    </cfRule>
  </conditionalFormatting>
  <conditionalFormatting sqref="AF146 Q146">
    <cfRule type="cellIs" dxfId="6215" priority="2931" operator="lessThan">
      <formula>0</formula>
    </cfRule>
  </conditionalFormatting>
  <conditionalFormatting sqref="AH139:AH146 S139:S146">
    <cfRule type="cellIs" dxfId="6214" priority="2930" operator="lessThan">
      <formula>0.8</formula>
    </cfRule>
  </conditionalFormatting>
  <conditionalFormatting sqref="R146">
    <cfRule type="cellIs" dxfId="6213" priority="2928" operator="lessThan">
      <formula>0.8</formula>
    </cfRule>
    <cfRule type="cellIs" dxfId="6212" priority="2929" operator="greaterThan">
      <formula>1</formula>
    </cfRule>
  </conditionalFormatting>
  <conditionalFormatting sqref="AG146 R146">
    <cfRule type="cellIs" dxfId="6211" priority="2926" operator="greaterThan">
      <formula>1</formula>
    </cfRule>
    <cfRule type="cellIs" dxfId="6210" priority="2927" operator="lessThan">
      <formula>0.8</formula>
    </cfRule>
  </conditionalFormatting>
  <conditionalFormatting sqref="P146">
    <cfRule type="cellIs" dxfId="6209" priority="2925" operator="greaterThan">
      <formula>0</formula>
    </cfRule>
  </conditionalFormatting>
  <conditionalFormatting sqref="Q119:Q120">
    <cfRule type="cellIs" dxfId="6208" priority="2924" operator="lessThan">
      <formula>0</formula>
    </cfRule>
  </conditionalFormatting>
  <conditionalFormatting sqref="R119:R120">
    <cfRule type="cellIs" dxfId="6207" priority="2922" operator="lessThan">
      <formula>0.8</formula>
    </cfRule>
    <cfRule type="cellIs" dxfId="6206" priority="2923" operator="greaterThan">
      <formula>1</formula>
    </cfRule>
  </conditionalFormatting>
  <conditionalFormatting sqref="R119:R120">
    <cfRule type="cellIs" dxfId="6205" priority="2920" operator="greaterThan">
      <formula>1</formula>
    </cfRule>
    <cfRule type="cellIs" dxfId="6204" priority="2921" operator="lessThan">
      <formula>0.8</formula>
    </cfRule>
  </conditionalFormatting>
  <conditionalFormatting sqref="P119:P120">
    <cfRule type="cellIs" dxfId="6203" priority="2919" operator="greaterThan">
      <formula>0</formula>
    </cfRule>
  </conditionalFormatting>
  <conditionalFormatting sqref="S44:S56">
    <cfRule type="cellIs" dxfId="6202" priority="2918" operator="lessThan">
      <formula>0.8</formula>
    </cfRule>
  </conditionalFormatting>
  <conditionalFormatting sqref="S108">
    <cfRule type="cellIs" dxfId="6201" priority="2917" operator="lessThan">
      <formula>0.8</formula>
    </cfRule>
  </conditionalFormatting>
  <conditionalFormatting sqref="S96">
    <cfRule type="cellIs" dxfId="6200" priority="2916" operator="lessThan">
      <formula>0.8</formula>
    </cfRule>
  </conditionalFormatting>
  <conditionalFormatting sqref="S97">
    <cfRule type="cellIs" dxfId="6199" priority="2915" operator="lessThan">
      <formula>0.8</formula>
    </cfRule>
  </conditionalFormatting>
  <conditionalFormatting sqref="S103">
    <cfRule type="cellIs" dxfId="6198" priority="2914" operator="lessThan">
      <formula>0.8</formula>
    </cfRule>
  </conditionalFormatting>
  <conditionalFormatting sqref="S99">
    <cfRule type="cellIs" dxfId="6197" priority="2913" operator="lessThan">
      <formula>0.8</formula>
    </cfRule>
  </conditionalFormatting>
  <conditionalFormatting sqref="S101">
    <cfRule type="cellIs" dxfId="6196" priority="2910" operator="lessThan">
      <formula>0.8</formula>
    </cfRule>
  </conditionalFormatting>
  <conditionalFormatting sqref="S100">
    <cfRule type="cellIs" dxfId="6195" priority="2912" operator="lessThan">
      <formula>0.8</formula>
    </cfRule>
  </conditionalFormatting>
  <conditionalFormatting sqref="S102">
    <cfRule type="cellIs" dxfId="6194" priority="2911" operator="lessThan">
      <formula>0.8</formula>
    </cfRule>
  </conditionalFormatting>
  <conditionalFormatting sqref="S98">
    <cfRule type="cellIs" dxfId="6193" priority="2909" operator="lessThan">
      <formula>0.8</formula>
    </cfRule>
  </conditionalFormatting>
  <conditionalFormatting sqref="S104">
    <cfRule type="cellIs" dxfId="6192" priority="2908" operator="lessThan">
      <formula>0.8</formula>
    </cfRule>
  </conditionalFormatting>
  <conditionalFormatting sqref="Q162:Q167">
    <cfRule type="cellIs" dxfId="6191" priority="2907" operator="lessThan">
      <formula>0</formula>
    </cfRule>
  </conditionalFormatting>
  <conditionalFormatting sqref="R162:R167">
    <cfRule type="cellIs" dxfId="6190" priority="2905" operator="lessThan">
      <formula>0.8</formula>
    </cfRule>
    <cfRule type="cellIs" dxfId="6189" priority="2906" operator="greaterThan">
      <formula>1</formula>
    </cfRule>
  </conditionalFormatting>
  <conditionalFormatting sqref="R162:R167">
    <cfRule type="cellIs" dxfId="6188" priority="2903" operator="greaterThan">
      <formula>1</formula>
    </cfRule>
    <cfRule type="cellIs" dxfId="6187" priority="2904" operator="lessThan">
      <formula>0.8</formula>
    </cfRule>
  </conditionalFormatting>
  <conditionalFormatting sqref="P162:P167">
    <cfRule type="cellIs" dxfId="6186" priority="2902" operator="greaterThan">
      <formula>0</formula>
    </cfRule>
  </conditionalFormatting>
  <conditionalFormatting sqref="P168">
    <cfRule type="cellIs" dxfId="6185" priority="2896" operator="greaterThan">
      <formula>0</formula>
    </cfRule>
  </conditionalFormatting>
  <conditionalFormatting sqref="R168">
    <cfRule type="cellIs" dxfId="6184" priority="2899" operator="lessThan">
      <formula>0.8</formula>
    </cfRule>
    <cfRule type="cellIs" dxfId="6183" priority="2900" operator="greaterThan">
      <formula>1</formula>
    </cfRule>
  </conditionalFormatting>
  <conditionalFormatting sqref="R168">
    <cfRule type="cellIs" dxfId="6182" priority="2897" operator="greaterThan">
      <formula>1</formula>
    </cfRule>
    <cfRule type="cellIs" dxfId="6181" priority="2898" operator="lessThan">
      <formula>0.8</formula>
    </cfRule>
  </conditionalFormatting>
  <conditionalFormatting sqref="Q168">
    <cfRule type="cellIs" dxfId="6180" priority="2901" operator="lessThan">
      <formula>0</formula>
    </cfRule>
  </conditionalFormatting>
  <conditionalFormatting sqref="Q83">
    <cfRule type="cellIs" dxfId="6179" priority="2895" operator="lessThan">
      <formula>0</formula>
    </cfRule>
  </conditionalFormatting>
  <conditionalFormatting sqref="R83">
    <cfRule type="cellIs" dxfId="6178" priority="2893" operator="lessThan">
      <formula>0.8</formula>
    </cfRule>
    <cfRule type="cellIs" dxfId="6177" priority="2894" operator="greaterThan">
      <formula>1</formula>
    </cfRule>
  </conditionalFormatting>
  <conditionalFormatting sqref="R83">
    <cfRule type="cellIs" dxfId="6176" priority="2891" operator="greaterThan">
      <formula>1</formula>
    </cfRule>
    <cfRule type="cellIs" dxfId="6175" priority="2892" operator="lessThan">
      <formula>0.8</formula>
    </cfRule>
  </conditionalFormatting>
  <conditionalFormatting sqref="P83">
    <cfRule type="cellIs" dxfId="6174" priority="2890" operator="greaterThan">
      <formula>0</formula>
    </cfRule>
  </conditionalFormatting>
  <conditionalFormatting sqref="Q83">
    <cfRule type="cellIs" dxfId="6173" priority="2889" operator="lessThan">
      <formula>0</formula>
    </cfRule>
  </conditionalFormatting>
  <conditionalFormatting sqref="R83">
    <cfRule type="cellIs" dxfId="6172" priority="2887" operator="lessThan">
      <formula>0.8</formula>
    </cfRule>
    <cfRule type="cellIs" dxfId="6171" priority="2888" operator="greaterThan">
      <formula>1</formula>
    </cfRule>
  </conditionalFormatting>
  <conditionalFormatting sqref="R83">
    <cfRule type="cellIs" dxfId="6170" priority="2885" operator="greaterThan">
      <formula>1</formula>
    </cfRule>
    <cfRule type="cellIs" dxfId="6169" priority="2886" operator="lessThan">
      <formula>0.8</formula>
    </cfRule>
  </conditionalFormatting>
  <conditionalFormatting sqref="P83">
    <cfRule type="cellIs" dxfId="6168" priority="2884" operator="greaterThan">
      <formula>0</formula>
    </cfRule>
  </conditionalFormatting>
  <conditionalFormatting sqref="Q83">
    <cfRule type="cellIs" dxfId="6167" priority="2883" operator="lessThan">
      <formula>0</formula>
    </cfRule>
  </conditionalFormatting>
  <conditionalFormatting sqref="R83">
    <cfRule type="cellIs" dxfId="6166" priority="2881" operator="lessThan">
      <formula>0.8</formula>
    </cfRule>
    <cfRule type="cellIs" dxfId="6165" priority="2882" operator="greaterThan">
      <formula>1</formula>
    </cfRule>
  </conditionalFormatting>
  <conditionalFormatting sqref="R83">
    <cfRule type="cellIs" dxfId="6164" priority="2879" operator="greaterThan">
      <formula>1</formula>
    </cfRule>
    <cfRule type="cellIs" dxfId="6163" priority="2880" operator="lessThan">
      <formula>0.8</formula>
    </cfRule>
  </conditionalFormatting>
  <conditionalFormatting sqref="P83">
    <cfRule type="cellIs" dxfId="6162" priority="2878" operator="greaterThan">
      <formula>0</formula>
    </cfRule>
  </conditionalFormatting>
  <conditionalFormatting sqref="Q83">
    <cfRule type="cellIs" dxfId="6161" priority="2877" operator="lessThan">
      <formula>0</formula>
    </cfRule>
  </conditionalFormatting>
  <conditionalFormatting sqref="R83">
    <cfRule type="cellIs" dxfId="6160" priority="2875" operator="lessThan">
      <formula>0.8</formula>
    </cfRule>
    <cfRule type="cellIs" dxfId="6159" priority="2876" operator="greaterThan">
      <formula>1</formula>
    </cfRule>
  </conditionalFormatting>
  <conditionalFormatting sqref="R83">
    <cfRule type="cellIs" dxfId="6158" priority="2873" operator="greaterThan">
      <formula>1</formula>
    </cfRule>
    <cfRule type="cellIs" dxfId="6157" priority="2874" operator="lessThan">
      <formula>0.8</formula>
    </cfRule>
  </conditionalFormatting>
  <conditionalFormatting sqref="P83">
    <cfRule type="cellIs" dxfId="6156" priority="2872" operator="greaterThan">
      <formula>0</formula>
    </cfRule>
  </conditionalFormatting>
  <conditionalFormatting sqref="P83">
    <cfRule type="cellIs" dxfId="6155" priority="2866" operator="greaterThan">
      <formula>0</formula>
    </cfRule>
  </conditionalFormatting>
  <conditionalFormatting sqref="Q83">
    <cfRule type="cellIs" dxfId="6154" priority="2871" operator="lessThan">
      <formula>0</formula>
    </cfRule>
  </conditionalFormatting>
  <conditionalFormatting sqref="R83">
    <cfRule type="cellIs" dxfId="6153" priority="2869" operator="lessThan">
      <formula>0.8</formula>
    </cfRule>
    <cfRule type="cellIs" dxfId="6152" priority="2870" operator="greaterThan">
      <formula>1</formula>
    </cfRule>
  </conditionalFormatting>
  <conditionalFormatting sqref="R83">
    <cfRule type="cellIs" dxfId="6151" priority="2867" operator="greaterThan">
      <formula>1</formula>
    </cfRule>
    <cfRule type="cellIs" dxfId="6150" priority="2868" operator="lessThan">
      <formula>0.8</formula>
    </cfRule>
  </conditionalFormatting>
  <conditionalFormatting sqref="P83">
    <cfRule type="cellIs" dxfId="6149" priority="2860" operator="greaterThan">
      <formula>0</formula>
    </cfRule>
  </conditionalFormatting>
  <conditionalFormatting sqref="Q83">
    <cfRule type="cellIs" dxfId="6148" priority="2865" operator="lessThan">
      <formula>0</formula>
    </cfRule>
  </conditionalFormatting>
  <conditionalFormatting sqref="R83">
    <cfRule type="cellIs" dxfId="6147" priority="2863" operator="lessThan">
      <formula>0.8</formula>
    </cfRule>
    <cfRule type="cellIs" dxfId="6146" priority="2864" operator="greaterThan">
      <formula>1</formula>
    </cfRule>
  </conditionalFormatting>
  <conditionalFormatting sqref="R83">
    <cfRule type="cellIs" dxfId="6145" priority="2861" operator="greaterThan">
      <formula>1</formula>
    </cfRule>
    <cfRule type="cellIs" dxfId="6144" priority="2862" operator="lessThan">
      <formula>0.8</formula>
    </cfRule>
  </conditionalFormatting>
  <conditionalFormatting sqref="R83">
    <cfRule type="cellIs" dxfId="6143" priority="2857" operator="lessThan">
      <formula>0.8</formula>
    </cfRule>
    <cfRule type="cellIs" dxfId="6142" priority="2858" operator="greaterThan">
      <formula>1</formula>
    </cfRule>
  </conditionalFormatting>
  <conditionalFormatting sqref="R83">
    <cfRule type="cellIs" dxfId="6141" priority="2855" operator="greaterThan">
      <formula>1</formula>
    </cfRule>
    <cfRule type="cellIs" dxfId="6140" priority="2856" operator="lessThan">
      <formula>0.8</formula>
    </cfRule>
  </conditionalFormatting>
  <conditionalFormatting sqref="P83">
    <cfRule type="cellIs" dxfId="6139" priority="2854" operator="greaterThan">
      <formula>0</formula>
    </cfRule>
  </conditionalFormatting>
  <conditionalFormatting sqref="Q83">
    <cfRule type="cellIs" dxfId="6138" priority="2859" operator="lessThan">
      <formula>0</formula>
    </cfRule>
  </conditionalFormatting>
  <conditionalFormatting sqref="Q83">
    <cfRule type="cellIs" dxfId="6137" priority="2853" operator="lessThan">
      <formula>0</formula>
    </cfRule>
  </conditionalFormatting>
  <conditionalFormatting sqref="R83">
    <cfRule type="cellIs" dxfId="6136" priority="2851" operator="lessThan">
      <formula>0.8</formula>
    </cfRule>
    <cfRule type="cellIs" dxfId="6135" priority="2852" operator="greaterThan">
      <formula>1</formula>
    </cfRule>
  </conditionalFormatting>
  <conditionalFormatting sqref="R83">
    <cfRule type="cellIs" dxfId="6134" priority="2849" operator="greaterThan">
      <formula>1</formula>
    </cfRule>
    <cfRule type="cellIs" dxfId="6133" priority="2850" operator="lessThan">
      <formula>0.8</formula>
    </cfRule>
  </conditionalFormatting>
  <conditionalFormatting sqref="P83">
    <cfRule type="cellIs" dxfId="6132" priority="2848" operator="greaterThan">
      <formula>0</formula>
    </cfRule>
  </conditionalFormatting>
  <conditionalFormatting sqref="P83">
    <cfRule type="cellIs" dxfId="6131" priority="2842" operator="greaterThan">
      <formula>0</formula>
    </cfRule>
  </conditionalFormatting>
  <conditionalFormatting sqref="Q83">
    <cfRule type="cellIs" dxfId="6130" priority="2847" operator="lessThan">
      <formula>0</formula>
    </cfRule>
  </conditionalFormatting>
  <conditionalFormatting sqref="R83">
    <cfRule type="cellIs" dxfId="6129" priority="2845" operator="lessThan">
      <formula>0.8</formula>
    </cfRule>
    <cfRule type="cellIs" dxfId="6128" priority="2846" operator="greaterThan">
      <formula>1</formula>
    </cfRule>
  </conditionalFormatting>
  <conditionalFormatting sqref="R83">
    <cfRule type="cellIs" dxfId="6127" priority="2843" operator="greaterThan">
      <formula>1</formula>
    </cfRule>
    <cfRule type="cellIs" dxfId="6126" priority="2844" operator="lessThan">
      <formula>0.8</formula>
    </cfRule>
  </conditionalFormatting>
  <conditionalFormatting sqref="P83">
    <cfRule type="cellIs" dxfId="6125" priority="2836" operator="greaterThan">
      <formula>0</formula>
    </cfRule>
  </conditionalFormatting>
  <conditionalFormatting sqref="Q83">
    <cfRule type="cellIs" dxfId="6124" priority="2841" operator="lessThan">
      <formula>0</formula>
    </cfRule>
  </conditionalFormatting>
  <conditionalFormatting sqref="R83">
    <cfRule type="cellIs" dxfId="6123" priority="2839" operator="lessThan">
      <formula>0.8</formula>
    </cfRule>
    <cfRule type="cellIs" dxfId="6122" priority="2840" operator="greaterThan">
      <formula>1</formula>
    </cfRule>
  </conditionalFormatting>
  <conditionalFormatting sqref="R83">
    <cfRule type="cellIs" dxfId="6121" priority="2837" operator="greaterThan">
      <formula>1</formula>
    </cfRule>
    <cfRule type="cellIs" dxfId="6120" priority="2838" operator="lessThan">
      <formula>0.8</formula>
    </cfRule>
  </conditionalFormatting>
  <conditionalFormatting sqref="R83">
    <cfRule type="cellIs" dxfId="6119" priority="2833" operator="lessThan">
      <formula>0.8</formula>
    </cfRule>
    <cfRule type="cellIs" dxfId="6118" priority="2834" operator="greaterThan">
      <formula>1</formula>
    </cfRule>
  </conditionalFormatting>
  <conditionalFormatting sqref="R83">
    <cfRule type="cellIs" dxfId="6117" priority="2831" operator="greaterThan">
      <formula>1</formula>
    </cfRule>
    <cfRule type="cellIs" dxfId="6116" priority="2832" operator="lessThan">
      <formula>0.8</formula>
    </cfRule>
  </conditionalFormatting>
  <conditionalFormatting sqref="P83">
    <cfRule type="cellIs" dxfId="6115" priority="2830" operator="greaterThan">
      <formula>0</formula>
    </cfRule>
  </conditionalFormatting>
  <conditionalFormatting sqref="Q83">
    <cfRule type="cellIs" dxfId="6114" priority="2835" operator="lessThan">
      <formula>0</formula>
    </cfRule>
  </conditionalFormatting>
  <conditionalFormatting sqref="P83">
    <cfRule type="cellIs" dxfId="6113" priority="2824" operator="greaterThan">
      <formula>0</formula>
    </cfRule>
  </conditionalFormatting>
  <conditionalFormatting sqref="Q83">
    <cfRule type="cellIs" dxfId="6112" priority="2829" operator="lessThan">
      <formula>0</formula>
    </cfRule>
  </conditionalFormatting>
  <conditionalFormatting sqref="R83">
    <cfRule type="cellIs" dxfId="6111" priority="2827" operator="lessThan">
      <formula>0.8</formula>
    </cfRule>
    <cfRule type="cellIs" dxfId="6110" priority="2828" operator="greaterThan">
      <formula>1</formula>
    </cfRule>
  </conditionalFormatting>
  <conditionalFormatting sqref="R83">
    <cfRule type="cellIs" dxfId="6109" priority="2825" operator="greaterThan">
      <formula>1</formula>
    </cfRule>
    <cfRule type="cellIs" dxfId="6108" priority="2826" operator="lessThan">
      <formula>0.8</formula>
    </cfRule>
  </conditionalFormatting>
  <conditionalFormatting sqref="R83">
    <cfRule type="cellIs" dxfId="6107" priority="2821" operator="lessThan">
      <formula>0.8</formula>
    </cfRule>
    <cfRule type="cellIs" dxfId="6106" priority="2822" operator="greaterThan">
      <formula>1</formula>
    </cfRule>
  </conditionalFormatting>
  <conditionalFormatting sqref="R83">
    <cfRule type="cellIs" dxfId="6105" priority="2819" operator="greaterThan">
      <formula>1</formula>
    </cfRule>
    <cfRule type="cellIs" dxfId="6104" priority="2820" operator="lessThan">
      <formula>0.8</formula>
    </cfRule>
  </conditionalFormatting>
  <conditionalFormatting sqref="P83">
    <cfRule type="cellIs" dxfId="6103" priority="2818" operator="greaterThan">
      <formula>0</formula>
    </cfRule>
  </conditionalFormatting>
  <conditionalFormatting sqref="Q83">
    <cfRule type="cellIs" dxfId="6102" priority="2823" operator="lessThan">
      <formula>0</formula>
    </cfRule>
  </conditionalFormatting>
  <conditionalFormatting sqref="R83">
    <cfRule type="cellIs" dxfId="6101" priority="2815" operator="lessThan">
      <formula>0.8</formula>
    </cfRule>
    <cfRule type="cellIs" dxfId="6100" priority="2816" operator="greaterThan">
      <formula>1</formula>
    </cfRule>
  </conditionalFormatting>
  <conditionalFormatting sqref="R83">
    <cfRule type="cellIs" dxfId="6099" priority="2813" operator="greaterThan">
      <formula>1</formula>
    </cfRule>
    <cfRule type="cellIs" dxfId="6098" priority="2814" operator="lessThan">
      <formula>0.8</formula>
    </cfRule>
  </conditionalFormatting>
  <conditionalFormatting sqref="P83">
    <cfRule type="cellIs" dxfId="6097" priority="2812" operator="greaterThan">
      <formula>0</formula>
    </cfRule>
  </conditionalFormatting>
  <conditionalFormatting sqref="Q83">
    <cfRule type="cellIs" dxfId="6096" priority="2817" operator="lessThan">
      <formula>0</formula>
    </cfRule>
  </conditionalFormatting>
  <conditionalFormatting sqref="Q83">
    <cfRule type="cellIs" dxfId="6095" priority="2811" operator="lessThan">
      <formula>0</formula>
    </cfRule>
  </conditionalFormatting>
  <conditionalFormatting sqref="R83">
    <cfRule type="cellIs" dxfId="6094" priority="2809" operator="lessThan">
      <formula>0.8</formula>
    </cfRule>
    <cfRule type="cellIs" dxfId="6093" priority="2810" operator="greaterThan">
      <formula>1</formula>
    </cfRule>
  </conditionalFormatting>
  <conditionalFormatting sqref="R83">
    <cfRule type="cellIs" dxfId="6092" priority="2807" operator="greaterThan">
      <formula>1</formula>
    </cfRule>
    <cfRule type="cellIs" dxfId="6091" priority="2808" operator="lessThan">
      <formula>0.8</formula>
    </cfRule>
  </conditionalFormatting>
  <conditionalFormatting sqref="P83">
    <cfRule type="cellIs" dxfId="6090" priority="2806" operator="greaterThan">
      <formula>0</formula>
    </cfRule>
  </conditionalFormatting>
  <conditionalFormatting sqref="Q83">
    <cfRule type="cellIs" dxfId="6089" priority="2800" operator="lessThan">
      <formula>0</formula>
    </cfRule>
  </conditionalFormatting>
  <conditionalFormatting sqref="R83">
    <cfRule type="cellIs" dxfId="6088" priority="2804" operator="lessThan">
      <formula>0.8</formula>
    </cfRule>
    <cfRule type="cellIs" dxfId="6087" priority="2805" operator="greaterThan">
      <formula>1</formula>
    </cfRule>
  </conditionalFormatting>
  <conditionalFormatting sqref="R83">
    <cfRule type="cellIs" dxfId="6086" priority="2802" operator="greaterThan">
      <formula>1</formula>
    </cfRule>
    <cfRule type="cellIs" dxfId="6085" priority="2803" operator="lessThan">
      <formula>0.8</formula>
    </cfRule>
  </conditionalFormatting>
  <conditionalFormatting sqref="P83">
    <cfRule type="cellIs" dxfId="6084" priority="2801" operator="greaterThan">
      <formula>0</formula>
    </cfRule>
  </conditionalFormatting>
  <conditionalFormatting sqref="Q83">
    <cfRule type="cellIs" dxfId="6083" priority="2799" operator="lessThan">
      <formula>0</formula>
    </cfRule>
  </conditionalFormatting>
  <conditionalFormatting sqref="R83">
    <cfRule type="cellIs" dxfId="6082" priority="2797" operator="lessThan">
      <formula>0.8</formula>
    </cfRule>
    <cfRule type="cellIs" dxfId="6081" priority="2798" operator="greaterThan">
      <formula>1</formula>
    </cfRule>
  </conditionalFormatting>
  <conditionalFormatting sqref="R83">
    <cfRule type="cellIs" dxfId="6080" priority="2795" operator="greaterThan">
      <formula>1</formula>
    </cfRule>
    <cfRule type="cellIs" dxfId="6079" priority="2796" operator="lessThan">
      <formula>0.8</formula>
    </cfRule>
  </conditionalFormatting>
  <conditionalFormatting sqref="P83">
    <cfRule type="cellIs" dxfId="6078" priority="2794" operator="greaterThan">
      <formula>0</formula>
    </cfRule>
  </conditionalFormatting>
  <conditionalFormatting sqref="Q83">
    <cfRule type="cellIs" dxfId="6077" priority="2793" operator="lessThan">
      <formula>0</formula>
    </cfRule>
  </conditionalFormatting>
  <conditionalFormatting sqref="R83">
    <cfRule type="cellIs" dxfId="6076" priority="2791" operator="lessThan">
      <formula>0.8</formula>
    </cfRule>
    <cfRule type="cellIs" dxfId="6075" priority="2792" operator="greaterThan">
      <formula>1</formula>
    </cfRule>
  </conditionalFormatting>
  <conditionalFormatting sqref="R83">
    <cfRule type="cellIs" dxfId="6074" priority="2789" operator="greaterThan">
      <formula>1</formula>
    </cfRule>
    <cfRule type="cellIs" dxfId="6073" priority="2790" operator="lessThan">
      <formula>0.8</formula>
    </cfRule>
  </conditionalFormatting>
  <conditionalFormatting sqref="P83">
    <cfRule type="cellIs" dxfId="6072" priority="2788" operator="greaterThan">
      <formula>0</formula>
    </cfRule>
  </conditionalFormatting>
  <conditionalFormatting sqref="Q83">
    <cfRule type="cellIs" dxfId="6071" priority="2787" operator="lessThan">
      <formula>0</formula>
    </cfRule>
  </conditionalFormatting>
  <conditionalFormatting sqref="R83">
    <cfRule type="cellIs" dxfId="6070" priority="2785" operator="lessThan">
      <formula>0.8</formula>
    </cfRule>
    <cfRule type="cellIs" dxfId="6069" priority="2786" operator="greaterThan">
      <formula>1</formula>
    </cfRule>
  </conditionalFormatting>
  <conditionalFormatting sqref="R83">
    <cfRule type="cellIs" dxfId="6068" priority="2783" operator="greaterThan">
      <formula>1</formula>
    </cfRule>
    <cfRule type="cellIs" dxfId="6067" priority="2784" operator="lessThan">
      <formula>0.8</formula>
    </cfRule>
  </conditionalFormatting>
  <conditionalFormatting sqref="P83">
    <cfRule type="cellIs" dxfId="6066" priority="2782" operator="greaterThan">
      <formula>0</formula>
    </cfRule>
  </conditionalFormatting>
  <conditionalFormatting sqref="Q83">
    <cfRule type="cellIs" dxfId="6065" priority="2781" operator="lessThan">
      <formula>0</formula>
    </cfRule>
  </conditionalFormatting>
  <conditionalFormatting sqref="R83">
    <cfRule type="cellIs" dxfId="6064" priority="2779" operator="lessThan">
      <formula>0.8</formula>
    </cfRule>
    <cfRule type="cellIs" dxfId="6063" priority="2780" operator="greaterThan">
      <formula>1</formula>
    </cfRule>
  </conditionalFormatting>
  <conditionalFormatting sqref="R83">
    <cfRule type="cellIs" dxfId="6062" priority="2777" operator="greaterThan">
      <formula>1</formula>
    </cfRule>
    <cfRule type="cellIs" dxfId="6061" priority="2778" operator="lessThan">
      <formula>0.8</formula>
    </cfRule>
  </conditionalFormatting>
  <conditionalFormatting sqref="P83">
    <cfRule type="cellIs" dxfId="6060" priority="2776" operator="greaterThan">
      <formula>0</formula>
    </cfRule>
  </conditionalFormatting>
  <conditionalFormatting sqref="Q83">
    <cfRule type="cellIs" dxfId="6059" priority="2775" operator="lessThan">
      <formula>0</formula>
    </cfRule>
  </conditionalFormatting>
  <conditionalFormatting sqref="R83">
    <cfRule type="cellIs" dxfId="6058" priority="2773" operator="lessThan">
      <formula>0.8</formula>
    </cfRule>
    <cfRule type="cellIs" dxfId="6057" priority="2774" operator="greaterThan">
      <formula>1</formula>
    </cfRule>
  </conditionalFormatting>
  <conditionalFormatting sqref="R83">
    <cfRule type="cellIs" dxfId="6056" priority="2771" operator="greaterThan">
      <formula>1</formula>
    </cfRule>
    <cfRule type="cellIs" dxfId="6055" priority="2772" operator="lessThan">
      <formula>0.8</formula>
    </cfRule>
  </conditionalFormatting>
  <conditionalFormatting sqref="P83">
    <cfRule type="cellIs" dxfId="6054" priority="2770" operator="greaterThan">
      <formula>0</formula>
    </cfRule>
  </conditionalFormatting>
  <conditionalFormatting sqref="P83">
    <cfRule type="cellIs" dxfId="6053" priority="2764" operator="greaterThan">
      <formula>0</formula>
    </cfRule>
  </conditionalFormatting>
  <conditionalFormatting sqref="Q83">
    <cfRule type="cellIs" dxfId="6052" priority="2769" operator="lessThan">
      <formula>0</formula>
    </cfRule>
  </conditionalFormatting>
  <conditionalFormatting sqref="R83">
    <cfRule type="cellIs" dxfId="6051" priority="2767" operator="lessThan">
      <formula>0.8</formula>
    </cfRule>
    <cfRule type="cellIs" dxfId="6050" priority="2768" operator="greaterThan">
      <formula>1</formula>
    </cfRule>
  </conditionalFormatting>
  <conditionalFormatting sqref="R83">
    <cfRule type="cellIs" dxfId="6049" priority="2765" operator="greaterThan">
      <formula>1</formula>
    </cfRule>
    <cfRule type="cellIs" dxfId="6048" priority="2766" operator="lessThan">
      <formula>0.8</formula>
    </cfRule>
  </conditionalFormatting>
  <conditionalFormatting sqref="P83">
    <cfRule type="cellIs" dxfId="6047" priority="2758" operator="greaterThan">
      <formula>0</formula>
    </cfRule>
  </conditionalFormatting>
  <conditionalFormatting sqref="Q83">
    <cfRule type="cellIs" dxfId="6046" priority="2763" operator="lessThan">
      <formula>0</formula>
    </cfRule>
  </conditionalFormatting>
  <conditionalFormatting sqref="R83">
    <cfRule type="cellIs" dxfId="6045" priority="2761" operator="lessThan">
      <formula>0.8</formula>
    </cfRule>
    <cfRule type="cellIs" dxfId="6044" priority="2762" operator="greaterThan">
      <formula>1</formula>
    </cfRule>
  </conditionalFormatting>
  <conditionalFormatting sqref="R83">
    <cfRule type="cellIs" dxfId="6043" priority="2759" operator="greaterThan">
      <formula>1</formula>
    </cfRule>
    <cfRule type="cellIs" dxfId="6042" priority="2760" operator="lessThan">
      <formula>0.8</formula>
    </cfRule>
  </conditionalFormatting>
  <conditionalFormatting sqref="R83">
    <cfRule type="cellIs" dxfId="6041" priority="2755" operator="lessThan">
      <formula>0.8</formula>
    </cfRule>
    <cfRule type="cellIs" dxfId="6040" priority="2756" operator="greaterThan">
      <formula>1</formula>
    </cfRule>
  </conditionalFormatting>
  <conditionalFormatting sqref="R83">
    <cfRule type="cellIs" dxfId="6039" priority="2753" operator="greaterThan">
      <formula>1</formula>
    </cfRule>
    <cfRule type="cellIs" dxfId="6038" priority="2754" operator="lessThan">
      <formula>0.8</formula>
    </cfRule>
  </conditionalFormatting>
  <conditionalFormatting sqref="P83">
    <cfRule type="cellIs" dxfId="6037" priority="2752" operator="greaterThan">
      <formula>0</formula>
    </cfRule>
  </conditionalFormatting>
  <conditionalFormatting sqref="Q83">
    <cfRule type="cellIs" dxfId="6036" priority="2757" operator="lessThan">
      <formula>0</formula>
    </cfRule>
  </conditionalFormatting>
  <conditionalFormatting sqref="Q83">
    <cfRule type="cellIs" dxfId="6035" priority="2751" operator="lessThan">
      <formula>0</formula>
    </cfRule>
  </conditionalFormatting>
  <conditionalFormatting sqref="R83">
    <cfRule type="cellIs" dxfId="6034" priority="2749" operator="lessThan">
      <formula>0.8</formula>
    </cfRule>
    <cfRule type="cellIs" dxfId="6033" priority="2750" operator="greaterThan">
      <formula>1</formula>
    </cfRule>
  </conditionalFormatting>
  <conditionalFormatting sqref="R83">
    <cfRule type="cellIs" dxfId="6032" priority="2747" operator="greaterThan">
      <formula>1</formula>
    </cfRule>
    <cfRule type="cellIs" dxfId="6031" priority="2748" operator="lessThan">
      <formula>0.8</formula>
    </cfRule>
  </conditionalFormatting>
  <conditionalFormatting sqref="P83">
    <cfRule type="cellIs" dxfId="6030" priority="2746" operator="greaterThan">
      <formula>0</formula>
    </cfRule>
  </conditionalFormatting>
  <conditionalFormatting sqref="Q83">
    <cfRule type="cellIs" dxfId="6029" priority="2745" operator="lessThan">
      <formula>0</formula>
    </cfRule>
  </conditionalFormatting>
  <conditionalFormatting sqref="R83">
    <cfRule type="cellIs" dxfId="6028" priority="2743" operator="lessThan">
      <formula>0.8</formula>
    </cfRule>
    <cfRule type="cellIs" dxfId="6027" priority="2744" operator="greaterThan">
      <formula>1</formula>
    </cfRule>
  </conditionalFormatting>
  <conditionalFormatting sqref="R83">
    <cfRule type="cellIs" dxfId="6026" priority="2741" operator="greaterThan">
      <formula>1</formula>
    </cfRule>
    <cfRule type="cellIs" dxfId="6025" priority="2742" operator="lessThan">
      <formula>0.8</formula>
    </cfRule>
  </conditionalFormatting>
  <conditionalFormatting sqref="P83">
    <cfRule type="cellIs" dxfId="6024" priority="2740" operator="greaterThan">
      <formula>0</formula>
    </cfRule>
  </conditionalFormatting>
  <conditionalFormatting sqref="Q83">
    <cfRule type="cellIs" dxfId="6023" priority="2739" operator="lessThan">
      <formula>0</formula>
    </cfRule>
  </conditionalFormatting>
  <conditionalFormatting sqref="R83">
    <cfRule type="cellIs" dxfId="6022" priority="2737" operator="lessThan">
      <formula>0.8</formula>
    </cfRule>
    <cfRule type="cellIs" dxfId="6021" priority="2738" operator="greaterThan">
      <formula>1</formula>
    </cfRule>
  </conditionalFormatting>
  <conditionalFormatting sqref="R83">
    <cfRule type="cellIs" dxfId="6020" priority="2735" operator="greaterThan">
      <formula>1</formula>
    </cfRule>
    <cfRule type="cellIs" dxfId="6019" priority="2736" operator="lessThan">
      <formula>0.8</formula>
    </cfRule>
  </conditionalFormatting>
  <conditionalFormatting sqref="P83">
    <cfRule type="cellIs" dxfId="6018" priority="2734" operator="greaterThan">
      <formula>0</formula>
    </cfRule>
  </conditionalFormatting>
  <conditionalFormatting sqref="Q83">
    <cfRule type="cellIs" dxfId="6017" priority="2733" operator="lessThan">
      <formula>0</formula>
    </cfRule>
  </conditionalFormatting>
  <conditionalFormatting sqref="R83">
    <cfRule type="cellIs" dxfId="6016" priority="2731" operator="lessThan">
      <formula>0.8</formula>
    </cfRule>
    <cfRule type="cellIs" dxfId="6015" priority="2732" operator="greaterThan">
      <formula>1</formula>
    </cfRule>
  </conditionalFormatting>
  <conditionalFormatting sqref="R83">
    <cfRule type="cellIs" dxfId="6014" priority="2729" operator="greaterThan">
      <formula>1</formula>
    </cfRule>
    <cfRule type="cellIs" dxfId="6013" priority="2730" operator="lessThan">
      <formula>0.8</formula>
    </cfRule>
  </conditionalFormatting>
  <conditionalFormatting sqref="P83">
    <cfRule type="cellIs" dxfId="6012" priority="2728" operator="greaterThan">
      <formula>0</formula>
    </cfRule>
  </conditionalFormatting>
  <conditionalFormatting sqref="P83">
    <cfRule type="cellIs" dxfId="6011" priority="2722" operator="greaterThan">
      <formula>0</formula>
    </cfRule>
  </conditionalFormatting>
  <conditionalFormatting sqref="Q83">
    <cfRule type="cellIs" dxfId="6010" priority="2727" operator="lessThan">
      <formula>0</formula>
    </cfRule>
  </conditionalFormatting>
  <conditionalFormatting sqref="R83">
    <cfRule type="cellIs" dxfId="6009" priority="2725" operator="lessThan">
      <formula>0.8</formula>
    </cfRule>
    <cfRule type="cellIs" dxfId="6008" priority="2726" operator="greaterThan">
      <formula>1</formula>
    </cfRule>
  </conditionalFormatting>
  <conditionalFormatting sqref="R83">
    <cfRule type="cellIs" dxfId="6007" priority="2723" operator="greaterThan">
      <formula>1</formula>
    </cfRule>
    <cfRule type="cellIs" dxfId="6006" priority="2724" operator="lessThan">
      <formula>0.8</formula>
    </cfRule>
  </conditionalFormatting>
  <conditionalFormatting sqref="P83">
    <cfRule type="cellIs" dxfId="6005" priority="2716" operator="greaterThan">
      <formula>0</formula>
    </cfRule>
  </conditionalFormatting>
  <conditionalFormatting sqref="Q83">
    <cfRule type="cellIs" dxfId="6004" priority="2721" operator="lessThan">
      <formula>0</formula>
    </cfRule>
  </conditionalFormatting>
  <conditionalFormatting sqref="R83">
    <cfRule type="cellIs" dxfId="6003" priority="2719" operator="lessThan">
      <formula>0.8</formula>
    </cfRule>
    <cfRule type="cellIs" dxfId="6002" priority="2720" operator="greaterThan">
      <formula>1</formula>
    </cfRule>
  </conditionalFormatting>
  <conditionalFormatting sqref="R83">
    <cfRule type="cellIs" dxfId="6001" priority="2717" operator="greaterThan">
      <formula>1</formula>
    </cfRule>
    <cfRule type="cellIs" dxfId="6000" priority="2718" operator="lessThan">
      <formula>0.8</formula>
    </cfRule>
  </conditionalFormatting>
  <conditionalFormatting sqref="R83">
    <cfRule type="cellIs" dxfId="5999" priority="2713" operator="lessThan">
      <formula>0.8</formula>
    </cfRule>
    <cfRule type="cellIs" dxfId="5998" priority="2714" operator="greaterThan">
      <formula>1</formula>
    </cfRule>
  </conditionalFormatting>
  <conditionalFormatting sqref="R83">
    <cfRule type="cellIs" dxfId="5997" priority="2711" operator="greaterThan">
      <formula>1</formula>
    </cfRule>
    <cfRule type="cellIs" dxfId="5996" priority="2712" operator="lessThan">
      <formula>0.8</formula>
    </cfRule>
  </conditionalFormatting>
  <conditionalFormatting sqref="P83">
    <cfRule type="cellIs" dxfId="5995" priority="2710" operator="greaterThan">
      <formula>0</formula>
    </cfRule>
  </conditionalFormatting>
  <conditionalFormatting sqref="Q83">
    <cfRule type="cellIs" dxfId="5994" priority="2715" operator="lessThan">
      <formula>0</formula>
    </cfRule>
  </conditionalFormatting>
  <conditionalFormatting sqref="Q83">
    <cfRule type="cellIs" dxfId="5993" priority="2709" operator="lessThan">
      <formula>0</formula>
    </cfRule>
  </conditionalFormatting>
  <conditionalFormatting sqref="R83">
    <cfRule type="cellIs" dxfId="5992" priority="2707" operator="lessThan">
      <formula>0.8</formula>
    </cfRule>
    <cfRule type="cellIs" dxfId="5991" priority="2708" operator="greaterThan">
      <formula>1</formula>
    </cfRule>
  </conditionalFormatting>
  <conditionalFormatting sqref="R83">
    <cfRule type="cellIs" dxfId="5990" priority="2705" operator="greaterThan">
      <formula>1</formula>
    </cfRule>
    <cfRule type="cellIs" dxfId="5989" priority="2706" operator="lessThan">
      <formula>0.8</formula>
    </cfRule>
  </conditionalFormatting>
  <conditionalFormatting sqref="P83">
    <cfRule type="cellIs" dxfId="5988" priority="2704" operator="greaterThan">
      <formula>0</formula>
    </cfRule>
  </conditionalFormatting>
  <conditionalFormatting sqref="P83">
    <cfRule type="cellIs" dxfId="5987" priority="2698" operator="greaterThan">
      <formula>0</formula>
    </cfRule>
  </conditionalFormatting>
  <conditionalFormatting sqref="Q83">
    <cfRule type="cellIs" dxfId="5986" priority="2703" operator="lessThan">
      <formula>0</formula>
    </cfRule>
  </conditionalFormatting>
  <conditionalFormatting sqref="R83">
    <cfRule type="cellIs" dxfId="5985" priority="2701" operator="lessThan">
      <formula>0.8</formula>
    </cfRule>
    <cfRule type="cellIs" dxfId="5984" priority="2702" operator="greaterThan">
      <formula>1</formula>
    </cfRule>
  </conditionalFormatting>
  <conditionalFormatting sqref="R83">
    <cfRule type="cellIs" dxfId="5983" priority="2699" operator="greaterThan">
      <formula>1</formula>
    </cfRule>
    <cfRule type="cellIs" dxfId="5982" priority="2700" operator="lessThan">
      <formula>0.8</formula>
    </cfRule>
  </conditionalFormatting>
  <conditionalFormatting sqref="P83">
    <cfRule type="cellIs" dxfId="5981" priority="2692" operator="greaterThan">
      <formula>0</formula>
    </cfRule>
  </conditionalFormatting>
  <conditionalFormatting sqref="Q83">
    <cfRule type="cellIs" dxfId="5980" priority="2697" operator="lessThan">
      <formula>0</formula>
    </cfRule>
  </conditionalFormatting>
  <conditionalFormatting sqref="R83">
    <cfRule type="cellIs" dxfId="5979" priority="2695" operator="lessThan">
      <formula>0.8</formula>
    </cfRule>
    <cfRule type="cellIs" dxfId="5978" priority="2696" operator="greaterThan">
      <formula>1</formula>
    </cfRule>
  </conditionalFormatting>
  <conditionalFormatting sqref="R83">
    <cfRule type="cellIs" dxfId="5977" priority="2693" operator="greaterThan">
      <formula>1</formula>
    </cfRule>
    <cfRule type="cellIs" dxfId="5976" priority="2694" operator="lessThan">
      <formula>0.8</formula>
    </cfRule>
  </conditionalFormatting>
  <conditionalFormatting sqref="R83">
    <cfRule type="cellIs" dxfId="5975" priority="2689" operator="lessThan">
      <formula>0.8</formula>
    </cfRule>
    <cfRule type="cellIs" dxfId="5974" priority="2690" operator="greaterThan">
      <formula>1</formula>
    </cfRule>
  </conditionalFormatting>
  <conditionalFormatting sqref="R83">
    <cfRule type="cellIs" dxfId="5973" priority="2687" operator="greaterThan">
      <formula>1</formula>
    </cfRule>
    <cfRule type="cellIs" dxfId="5972" priority="2688" operator="lessThan">
      <formula>0.8</formula>
    </cfRule>
  </conditionalFormatting>
  <conditionalFormatting sqref="P83">
    <cfRule type="cellIs" dxfId="5971" priority="2686" operator="greaterThan">
      <formula>0</formula>
    </cfRule>
  </conditionalFormatting>
  <conditionalFormatting sqref="Q83">
    <cfRule type="cellIs" dxfId="5970" priority="2691" operator="lessThan">
      <formula>0</formula>
    </cfRule>
  </conditionalFormatting>
  <conditionalFormatting sqref="P83">
    <cfRule type="cellIs" dxfId="5969" priority="2680" operator="greaterThan">
      <formula>0</formula>
    </cfRule>
  </conditionalFormatting>
  <conditionalFormatting sqref="Q83">
    <cfRule type="cellIs" dxfId="5968" priority="2685" operator="lessThan">
      <formula>0</formula>
    </cfRule>
  </conditionalFormatting>
  <conditionalFormatting sqref="R83">
    <cfRule type="cellIs" dxfId="5967" priority="2683" operator="lessThan">
      <formula>0.8</formula>
    </cfRule>
    <cfRule type="cellIs" dxfId="5966" priority="2684" operator="greaterThan">
      <formula>1</formula>
    </cfRule>
  </conditionalFormatting>
  <conditionalFormatting sqref="R83">
    <cfRule type="cellIs" dxfId="5965" priority="2681" operator="greaterThan">
      <formula>1</formula>
    </cfRule>
    <cfRule type="cellIs" dxfId="5964" priority="2682" operator="lessThan">
      <formula>0.8</formula>
    </cfRule>
  </conditionalFormatting>
  <conditionalFormatting sqref="R83">
    <cfRule type="cellIs" dxfId="5963" priority="2677" operator="lessThan">
      <formula>0.8</formula>
    </cfRule>
    <cfRule type="cellIs" dxfId="5962" priority="2678" operator="greaterThan">
      <formula>1</formula>
    </cfRule>
  </conditionalFormatting>
  <conditionalFormatting sqref="R83">
    <cfRule type="cellIs" dxfId="5961" priority="2675" operator="greaterThan">
      <formula>1</formula>
    </cfRule>
    <cfRule type="cellIs" dxfId="5960" priority="2676" operator="lessThan">
      <formula>0.8</formula>
    </cfRule>
  </conditionalFormatting>
  <conditionalFormatting sqref="P83">
    <cfRule type="cellIs" dxfId="5959" priority="2674" operator="greaterThan">
      <formula>0</formula>
    </cfRule>
  </conditionalFormatting>
  <conditionalFormatting sqref="Q83">
    <cfRule type="cellIs" dxfId="5958" priority="2679" operator="lessThan">
      <formula>0</formula>
    </cfRule>
  </conditionalFormatting>
  <conditionalFormatting sqref="R83">
    <cfRule type="cellIs" dxfId="5957" priority="2671" operator="lessThan">
      <formula>0.8</formula>
    </cfRule>
    <cfRule type="cellIs" dxfId="5956" priority="2672" operator="greaterThan">
      <formula>1</formula>
    </cfRule>
  </conditionalFormatting>
  <conditionalFormatting sqref="R83">
    <cfRule type="cellIs" dxfId="5955" priority="2669" operator="greaterThan">
      <formula>1</formula>
    </cfRule>
    <cfRule type="cellIs" dxfId="5954" priority="2670" operator="lessThan">
      <formula>0.8</formula>
    </cfRule>
  </conditionalFormatting>
  <conditionalFormatting sqref="P83">
    <cfRule type="cellIs" dxfId="5953" priority="2668" operator="greaterThan">
      <formula>0</formula>
    </cfRule>
  </conditionalFormatting>
  <conditionalFormatting sqref="Q83">
    <cfRule type="cellIs" dxfId="5952" priority="2673" operator="lessThan">
      <formula>0</formula>
    </cfRule>
  </conditionalFormatting>
  <conditionalFormatting sqref="Q83">
    <cfRule type="cellIs" dxfId="5951" priority="2667" operator="lessThan">
      <formula>0</formula>
    </cfRule>
  </conditionalFormatting>
  <conditionalFormatting sqref="R83">
    <cfRule type="cellIs" dxfId="5950" priority="2665" operator="lessThan">
      <formula>0.8</formula>
    </cfRule>
    <cfRule type="cellIs" dxfId="5949" priority="2666" operator="greaterThan">
      <formula>1</formula>
    </cfRule>
  </conditionalFormatting>
  <conditionalFormatting sqref="R83">
    <cfRule type="cellIs" dxfId="5948" priority="2663" operator="greaterThan">
      <formula>1</formula>
    </cfRule>
    <cfRule type="cellIs" dxfId="5947" priority="2664" operator="lessThan">
      <formula>0.8</formula>
    </cfRule>
  </conditionalFormatting>
  <conditionalFormatting sqref="P83">
    <cfRule type="cellIs" dxfId="5946" priority="2662" operator="greaterThan">
      <formula>0</formula>
    </cfRule>
  </conditionalFormatting>
  <conditionalFormatting sqref="Q83">
    <cfRule type="cellIs" dxfId="5945" priority="2656" operator="lessThan">
      <formula>0</formula>
    </cfRule>
  </conditionalFormatting>
  <conditionalFormatting sqref="R83">
    <cfRule type="cellIs" dxfId="5944" priority="2660" operator="lessThan">
      <formula>0.8</formula>
    </cfRule>
    <cfRule type="cellIs" dxfId="5943" priority="2661" operator="greaterThan">
      <formula>1</formula>
    </cfRule>
  </conditionalFormatting>
  <conditionalFormatting sqref="R83">
    <cfRule type="cellIs" dxfId="5942" priority="2658" operator="greaterThan">
      <formula>1</formula>
    </cfRule>
    <cfRule type="cellIs" dxfId="5941" priority="2659" operator="lessThan">
      <formula>0.8</formula>
    </cfRule>
  </conditionalFormatting>
  <conditionalFormatting sqref="P83">
    <cfRule type="cellIs" dxfId="5940" priority="2657" operator="greaterThan">
      <formula>0</formula>
    </cfRule>
  </conditionalFormatting>
  <conditionalFormatting sqref="Q83">
    <cfRule type="cellIs" dxfId="5939" priority="2655" operator="lessThan">
      <formula>0</formula>
    </cfRule>
  </conditionalFormatting>
  <conditionalFormatting sqref="R83">
    <cfRule type="cellIs" dxfId="5938" priority="2653" operator="lessThan">
      <formula>0.8</formula>
    </cfRule>
    <cfRule type="cellIs" dxfId="5937" priority="2654" operator="greaterThan">
      <formula>1</formula>
    </cfRule>
  </conditionalFormatting>
  <conditionalFormatting sqref="R83">
    <cfRule type="cellIs" dxfId="5936" priority="2651" operator="greaterThan">
      <formula>1</formula>
    </cfRule>
    <cfRule type="cellIs" dxfId="5935" priority="2652" operator="lessThan">
      <formula>0.8</formula>
    </cfRule>
  </conditionalFormatting>
  <conditionalFormatting sqref="P83">
    <cfRule type="cellIs" dxfId="5934" priority="2650" operator="greaterThan">
      <formula>0</formula>
    </cfRule>
  </conditionalFormatting>
  <conditionalFormatting sqref="Q83">
    <cfRule type="cellIs" dxfId="5933" priority="2649" operator="lessThan">
      <formula>0</formula>
    </cfRule>
  </conditionalFormatting>
  <conditionalFormatting sqref="R83">
    <cfRule type="cellIs" dxfId="5932" priority="2647" operator="lessThan">
      <formula>0.8</formula>
    </cfRule>
    <cfRule type="cellIs" dxfId="5931" priority="2648" operator="greaterThan">
      <formula>1</formula>
    </cfRule>
  </conditionalFormatting>
  <conditionalFormatting sqref="R83">
    <cfRule type="cellIs" dxfId="5930" priority="2645" operator="greaterThan">
      <formula>1</formula>
    </cfRule>
    <cfRule type="cellIs" dxfId="5929" priority="2646" operator="lessThan">
      <formula>0.8</formula>
    </cfRule>
  </conditionalFormatting>
  <conditionalFormatting sqref="P83">
    <cfRule type="cellIs" dxfId="5928" priority="2644" operator="greaterThan">
      <formula>0</formula>
    </cfRule>
  </conditionalFormatting>
  <conditionalFormatting sqref="Q83">
    <cfRule type="cellIs" dxfId="5927" priority="2643" operator="lessThan">
      <formula>0</formula>
    </cfRule>
  </conditionalFormatting>
  <conditionalFormatting sqref="R83">
    <cfRule type="cellIs" dxfId="5926" priority="2641" operator="lessThan">
      <formula>0.8</formula>
    </cfRule>
    <cfRule type="cellIs" dxfId="5925" priority="2642" operator="greaterThan">
      <formula>1</formula>
    </cfRule>
  </conditionalFormatting>
  <conditionalFormatting sqref="R83">
    <cfRule type="cellIs" dxfId="5924" priority="2639" operator="greaterThan">
      <formula>1</formula>
    </cfRule>
    <cfRule type="cellIs" dxfId="5923" priority="2640" operator="lessThan">
      <formula>0.8</formula>
    </cfRule>
  </conditionalFormatting>
  <conditionalFormatting sqref="P83">
    <cfRule type="cellIs" dxfId="5922" priority="2638" operator="greaterThan">
      <formula>0</formula>
    </cfRule>
  </conditionalFormatting>
  <conditionalFormatting sqref="Q83">
    <cfRule type="cellIs" dxfId="5921" priority="2637" operator="lessThan">
      <formula>0</formula>
    </cfRule>
  </conditionalFormatting>
  <conditionalFormatting sqref="R83">
    <cfRule type="cellIs" dxfId="5920" priority="2635" operator="lessThan">
      <formula>0.8</formula>
    </cfRule>
    <cfRule type="cellIs" dxfId="5919" priority="2636" operator="greaterThan">
      <formula>1</formula>
    </cfRule>
  </conditionalFormatting>
  <conditionalFormatting sqref="R83">
    <cfRule type="cellIs" dxfId="5918" priority="2633" operator="greaterThan">
      <formula>1</formula>
    </cfRule>
    <cfRule type="cellIs" dxfId="5917" priority="2634" operator="lessThan">
      <formula>0.8</formula>
    </cfRule>
  </conditionalFormatting>
  <conditionalFormatting sqref="P83">
    <cfRule type="cellIs" dxfId="5916" priority="2632" operator="greaterThan">
      <formula>0</formula>
    </cfRule>
  </conditionalFormatting>
  <conditionalFormatting sqref="Q83">
    <cfRule type="cellIs" dxfId="5915" priority="2631" operator="lessThan">
      <formula>0</formula>
    </cfRule>
  </conditionalFormatting>
  <conditionalFormatting sqref="R83">
    <cfRule type="cellIs" dxfId="5914" priority="2629" operator="lessThan">
      <formula>0.8</formula>
    </cfRule>
    <cfRule type="cellIs" dxfId="5913" priority="2630" operator="greaterThan">
      <formula>1</formula>
    </cfRule>
  </conditionalFormatting>
  <conditionalFormatting sqref="R83">
    <cfRule type="cellIs" dxfId="5912" priority="2627" operator="greaterThan">
      <formula>1</formula>
    </cfRule>
    <cfRule type="cellIs" dxfId="5911" priority="2628" operator="lessThan">
      <formula>0.8</formula>
    </cfRule>
  </conditionalFormatting>
  <conditionalFormatting sqref="P83">
    <cfRule type="cellIs" dxfId="5910" priority="2626" operator="greaterThan">
      <formula>0</formula>
    </cfRule>
  </conditionalFormatting>
  <conditionalFormatting sqref="P83">
    <cfRule type="cellIs" dxfId="5909" priority="2620" operator="greaterThan">
      <formula>0</formula>
    </cfRule>
  </conditionalFormatting>
  <conditionalFormatting sqref="Q83">
    <cfRule type="cellIs" dxfId="5908" priority="2625" operator="lessThan">
      <formula>0</formula>
    </cfRule>
  </conditionalFormatting>
  <conditionalFormatting sqref="R83">
    <cfRule type="cellIs" dxfId="5907" priority="2623" operator="lessThan">
      <formula>0.8</formula>
    </cfRule>
    <cfRule type="cellIs" dxfId="5906" priority="2624" operator="greaterThan">
      <formula>1</formula>
    </cfRule>
  </conditionalFormatting>
  <conditionalFormatting sqref="R83">
    <cfRule type="cellIs" dxfId="5905" priority="2621" operator="greaterThan">
      <formula>1</formula>
    </cfRule>
    <cfRule type="cellIs" dxfId="5904" priority="2622" operator="lessThan">
      <formula>0.8</formula>
    </cfRule>
  </conditionalFormatting>
  <conditionalFormatting sqref="P83">
    <cfRule type="cellIs" dxfId="5903" priority="2614" operator="greaterThan">
      <formula>0</formula>
    </cfRule>
  </conditionalFormatting>
  <conditionalFormatting sqref="Q83">
    <cfRule type="cellIs" dxfId="5902" priority="2619" operator="lessThan">
      <formula>0</formula>
    </cfRule>
  </conditionalFormatting>
  <conditionalFormatting sqref="R83">
    <cfRule type="cellIs" dxfId="5901" priority="2617" operator="lessThan">
      <formula>0.8</formula>
    </cfRule>
    <cfRule type="cellIs" dxfId="5900" priority="2618" operator="greaterThan">
      <formula>1</formula>
    </cfRule>
  </conditionalFormatting>
  <conditionalFormatting sqref="R83">
    <cfRule type="cellIs" dxfId="5899" priority="2615" operator="greaterThan">
      <formula>1</formula>
    </cfRule>
    <cfRule type="cellIs" dxfId="5898" priority="2616" operator="lessThan">
      <formula>0.8</formula>
    </cfRule>
  </conditionalFormatting>
  <conditionalFormatting sqref="R83">
    <cfRule type="cellIs" dxfId="5897" priority="2611" operator="lessThan">
      <formula>0.8</formula>
    </cfRule>
    <cfRule type="cellIs" dxfId="5896" priority="2612" operator="greaterThan">
      <formula>1</formula>
    </cfRule>
  </conditionalFormatting>
  <conditionalFormatting sqref="R83">
    <cfRule type="cellIs" dxfId="5895" priority="2609" operator="greaterThan">
      <formula>1</formula>
    </cfRule>
    <cfRule type="cellIs" dxfId="5894" priority="2610" operator="lessThan">
      <formula>0.8</formula>
    </cfRule>
  </conditionalFormatting>
  <conditionalFormatting sqref="P83">
    <cfRule type="cellIs" dxfId="5893" priority="2608" operator="greaterThan">
      <formula>0</formula>
    </cfRule>
  </conditionalFormatting>
  <conditionalFormatting sqref="Q83">
    <cfRule type="cellIs" dxfId="5892" priority="2613" operator="lessThan">
      <formula>0</formula>
    </cfRule>
  </conditionalFormatting>
  <conditionalFormatting sqref="Q83">
    <cfRule type="cellIs" dxfId="5891" priority="2602" operator="lessThan">
      <formula>0</formula>
    </cfRule>
  </conditionalFormatting>
  <conditionalFormatting sqref="P83">
    <cfRule type="cellIs" dxfId="5890" priority="2603" operator="greaterThan">
      <formula>0</formula>
    </cfRule>
  </conditionalFormatting>
  <conditionalFormatting sqref="R83">
    <cfRule type="cellIs" dxfId="5889" priority="2606" operator="lessThan">
      <formula>0.8</formula>
    </cfRule>
    <cfRule type="cellIs" dxfId="5888" priority="2607" operator="greaterThan">
      <formula>1</formula>
    </cfRule>
  </conditionalFormatting>
  <conditionalFormatting sqref="R83">
    <cfRule type="cellIs" dxfId="5887" priority="2604" operator="greaterThan">
      <formula>1</formula>
    </cfRule>
    <cfRule type="cellIs" dxfId="5886" priority="2605" operator="lessThan">
      <formula>0.8</formula>
    </cfRule>
  </conditionalFormatting>
  <conditionalFormatting sqref="Q83">
    <cfRule type="cellIs" dxfId="5885" priority="2596" operator="lessThan">
      <formula>0</formula>
    </cfRule>
  </conditionalFormatting>
  <conditionalFormatting sqref="R83">
    <cfRule type="cellIs" dxfId="5884" priority="2600" operator="lessThan">
      <formula>0.8</formula>
    </cfRule>
    <cfRule type="cellIs" dxfId="5883" priority="2601" operator="greaterThan">
      <formula>1</formula>
    </cfRule>
  </conditionalFormatting>
  <conditionalFormatting sqref="R83">
    <cfRule type="cellIs" dxfId="5882" priority="2598" operator="greaterThan">
      <formula>1</formula>
    </cfRule>
    <cfRule type="cellIs" dxfId="5881" priority="2599" operator="lessThan">
      <formula>0.8</formula>
    </cfRule>
  </conditionalFormatting>
  <conditionalFormatting sqref="P83">
    <cfRule type="cellIs" dxfId="5880" priority="2597" operator="greaterThan">
      <formula>0</formula>
    </cfRule>
  </conditionalFormatting>
  <conditionalFormatting sqref="Q83">
    <cfRule type="cellIs" dxfId="5879" priority="2595" operator="lessThan">
      <formula>0</formula>
    </cfRule>
  </conditionalFormatting>
  <conditionalFormatting sqref="R83">
    <cfRule type="cellIs" dxfId="5878" priority="2593" operator="lessThan">
      <formula>0.8</formula>
    </cfRule>
    <cfRule type="cellIs" dxfId="5877" priority="2594" operator="greaterThan">
      <formula>1</formula>
    </cfRule>
  </conditionalFormatting>
  <conditionalFormatting sqref="R83">
    <cfRule type="cellIs" dxfId="5876" priority="2591" operator="greaterThan">
      <formula>1</formula>
    </cfRule>
    <cfRule type="cellIs" dxfId="5875" priority="2592" operator="lessThan">
      <formula>0.8</formula>
    </cfRule>
  </conditionalFormatting>
  <conditionalFormatting sqref="P83">
    <cfRule type="cellIs" dxfId="5874" priority="2590" operator="greaterThan">
      <formula>0</formula>
    </cfRule>
  </conditionalFormatting>
  <conditionalFormatting sqref="Q83">
    <cfRule type="cellIs" dxfId="5873" priority="2589" operator="lessThan">
      <formula>0</formula>
    </cfRule>
  </conditionalFormatting>
  <conditionalFormatting sqref="R83">
    <cfRule type="cellIs" dxfId="5872" priority="2587" operator="lessThan">
      <formula>0.8</formula>
    </cfRule>
    <cfRule type="cellIs" dxfId="5871" priority="2588" operator="greaterThan">
      <formula>1</formula>
    </cfRule>
  </conditionalFormatting>
  <conditionalFormatting sqref="R83">
    <cfRule type="cellIs" dxfId="5870" priority="2585" operator="greaterThan">
      <formula>1</formula>
    </cfRule>
    <cfRule type="cellIs" dxfId="5869" priority="2586" operator="lessThan">
      <formula>0.8</formula>
    </cfRule>
  </conditionalFormatting>
  <conditionalFormatting sqref="P83">
    <cfRule type="cellIs" dxfId="5868" priority="2584" operator="greaterThan">
      <formula>0</formula>
    </cfRule>
  </conditionalFormatting>
  <conditionalFormatting sqref="Q83">
    <cfRule type="cellIs" dxfId="5867" priority="2583" operator="lessThan">
      <formula>0</formula>
    </cfRule>
  </conditionalFormatting>
  <conditionalFormatting sqref="R83">
    <cfRule type="cellIs" dxfId="5866" priority="2581" operator="lessThan">
      <formula>0.8</formula>
    </cfRule>
    <cfRule type="cellIs" dxfId="5865" priority="2582" operator="greaterThan">
      <formula>1</formula>
    </cfRule>
  </conditionalFormatting>
  <conditionalFormatting sqref="R83">
    <cfRule type="cellIs" dxfId="5864" priority="2579" operator="greaterThan">
      <formula>1</formula>
    </cfRule>
    <cfRule type="cellIs" dxfId="5863" priority="2580" operator="lessThan">
      <formula>0.8</formula>
    </cfRule>
  </conditionalFormatting>
  <conditionalFormatting sqref="P83">
    <cfRule type="cellIs" dxfId="5862" priority="2578" operator="greaterThan">
      <formula>0</formula>
    </cfRule>
  </conditionalFormatting>
  <conditionalFormatting sqref="Q83">
    <cfRule type="cellIs" dxfId="5861" priority="2577" operator="lessThan">
      <formula>0</formula>
    </cfRule>
  </conditionalFormatting>
  <conditionalFormatting sqref="R83">
    <cfRule type="cellIs" dxfId="5860" priority="2575" operator="lessThan">
      <formula>0.8</formula>
    </cfRule>
    <cfRule type="cellIs" dxfId="5859" priority="2576" operator="greaterThan">
      <formula>1</formula>
    </cfRule>
  </conditionalFormatting>
  <conditionalFormatting sqref="R83">
    <cfRule type="cellIs" dxfId="5858" priority="2573" operator="greaterThan">
      <formula>1</formula>
    </cfRule>
    <cfRule type="cellIs" dxfId="5857" priority="2574" operator="lessThan">
      <formula>0.8</formula>
    </cfRule>
  </conditionalFormatting>
  <conditionalFormatting sqref="P83">
    <cfRule type="cellIs" dxfId="5856" priority="2572" operator="greaterThan">
      <formula>0</formula>
    </cfRule>
  </conditionalFormatting>
  <conditionalFormatting sqref="Q83">
    <cfRule type="cellIs" dxfId="5855" priority="2571" operator="lessThan">
      <formula>0</formula>
    </cfRule>
  </conditionalFormatting>
  <conditionalFormatting sqref="R83">
    <cfRule type="cellIs" dxfId="5854" priority="2569" operator="lessThan">
      <formula>0.8</formula>
    </cfRule>
    <cfRule type="cellIs" dxfId="5853" priority="2570" operator="greaterThan">
      <formula>1</formula>
    </cfRule>
  </conditionalFormatting>
  <conditionalFormatting sqref="R83">
    <cfRule type="cellIs" dxfId="5852" priority="2567" operator="greaterThan">
      <formula>1</formula>
    </cfRule>
    <cfRule type="cellIs" dxfId="5851" priority="2568" operator="lessThan">
      <formula>0.8</formula>
    </cfRule>
  </conditionalFormatting>
  <conditionalFormatting sqref="P83">
    <cfRule type="cellIs" dxfId="5850" priority="2566" operator="greaterThan">
      <formula>0</formula>
    </cfRule>
  </conditionalFormatting>
  <conditionalFormatting sqref="Q83">
    <cfRule type="cellIs" dxfId="5849" priority="2565" operator="lessThan">
      <formula>0</formula>
    </cfRule>
  </conditionalFormatting>
  <conditionalFormatting sqref="R83">
    <cfRule type="cellIs" dxfId="5848" priority="2563" operator="lessThan">
      <formula>0.8</formula>
    </cfRule>
    <cfRule type="cellIs" dxfId="5847" priority="2564" operator="greaterThan">
      <formula>1</formula>
    </cfRule>
  </conditionalFormatting>
  <conditionalFormatting sqref="R83">
    <cfRule type="cellIs" dxfId="5846" priority="2561" operator="greaterThan">
      <formula>1</formula>
    </cfRule>
    <cfRule type="cellIs" dxfId="5845" priority="2562" operator="lessThan">
      <formula>0.8</formula>
    </cfRule>
  </conditionalFormatting>
  <conditionalFormatting sqref="P83">
    <cfRule type="cellIs" dxfId="5844" priority="2560" operator="greaterThan">
      <formula>0</formula>
    </cfRule>
  </conditionalFormatting>
  <conditionalFormatting sqref="Q83">
    <cfRule type="cellIs" dxfId="5843" priority="2559" operator="lessThan">
      <formula>0</formula>
    </cfRule>
  </conditionalFormatting>
  <conditionalFormatting sqref="R83">
    <cfRule type="cellIs" dxfId="5842" priority="2557" operator="lessThan">
      <formula>0.8</formula>
    </cfRule>
    <cfRule type="cellIs" dxfId="5841" priority="2558" operator="greaterThan">
      <formula>1</formula>
    </cfRule>
  </conditionalFormatting>
  <conditionalFormatting sqref="R83">
    <cfRule type="cellIs" dxfId="5840" priority="2555" operator="greaterThan">
      <formula>1</formula>
    </cfRule>
    <cfRule type="cellIs" dxfId="5839" priority="2556" operator="lessThan">
      <formula>0.8</formula>
    </cfRule>
  </conditionalFormatting>
  <conditionalFormatting sqref="P83">
    <cfRule type="cellIs" dxfId="5838" priority="2554" operator="greaterThan">
      <formula>0</formula>
    </cfRule>
  </conditionalFormatting>
  <conditionalFormatting sqref="P83">
    <cfRule type="cellIs" dxfId="5837" priority="2548" operator="greaterThan">
      <formula>0</formula>
    </cfRule>
  </conditionalFormatting>
  <conditionalFormatting sqref="Q83">
    <cfRule type="cellIs" dxfId="5836" priority="2553" operator="lessThan">
      <formula>0</formula>
    </cfRule>
  </conditionalFormatting>
  <conditionalFormatting sqref="R83">
    <cfRule type="cellIs" dxfId="5835" priority="2551" operator="lessThan">
      <formula>0.8</formula>
    </cfRule>
    <cfRule type="cellIs" dxfId="5834" priority="2552" operator="greaterThan">
      <formula>1</formula>
    </cfRule>
  </conditionalFormatting>
  <conditionalFormatting sqref="R83">
    <cfRule type="cellIs" dxfId="5833" priority="2549" operator="greaterThan">
      <formula>1</formula>
    </cfRule>
    <cfRule type="cellIs" dxfId="5832" priority="2550" operator="lessThan">
      <formula>0.8</formula>
    </cfRule>
  </conditionalFormatting>
  <conditionalFormatting sqref="P83">
    <cfRule type="cellIs" dxfId="5831" priority="2542" operator="greaterThan">
      <formula>0</formula>
    </cfRule>
  </conditionalFormatting>
  <conditionalFormatting sqref="Q83">
    <cfRule type="cellIs" dxfId="5830" priority="2547" operator="lessThan">
      <formula>0</formula>
    </cfRule>
  </conditionalFormatting>
  <conditionalFormatting sqref="R83">
    <cfRule type="cellIs" dxfId="5829" priority="2545" operator="lessThan">
      <formula>0.8</formula>
    </cfRule>
    <cfRule type="cellIs" dxfId="5828" priority="2546" operator="greaterThan">
      <formula>1</formula>
    </cfRule>
  </conditionalFormatting>
  <conditionalFormatting sqref="R83">
    <cfRule type="cellIs" dxfId="5827" priority="2543" operator="greaterThan">
      <formula>1</formula>
    </cfRule>
    <cfRule type="cellIs" dxfId="5826" priority="2544" operator="lessThan">
      <formula>0.8</formula>
    </cfRule>
  </conditionalFormatting>
  <conditionalFormatting sqref="R83">
    <cfRule type="cellIs" dxfId="5825" priority="2539" operator="lessThan">
      <formula>0.8</formula>
    </cfRule>
    <cfRule type="cellIs" dxfId="5824" priority="2540" operator="greaterThan">
      <formula>1</formula>
    </cfRule>
  </conditionalFormatting>
  <conditionalFormatting sqref="R83">
    <cfRule type="cellIs" dxfId="5823" priority="2537" operator="greaterThan">
      <formula>1</formula>
    </cfRule>
    <cfRule type="cellIs" dxfId="5822" priority="2538" operator="lessThan">
      <formula>0.8</formula>
    </cfRule>
  </conditionalFormatting>
  <conditionalFormatting sqref="P83">
    <cfRule type="cellIs" dxfId="5821" priority="2536" operator="greaterThan">
      <formula>0</formula>
    </cfRule>
  </conditionalFormatting>
  <conditionalFormatting sqref="Q83">
    <cfRule type="cellIs" dxfId="5820" priority="2541" operator="lessThan">
      <formula>0</formula>
    </cfRule>
  </conditionalFormatting>
  <conditionalFormatting sqref="Q83">
    <cfRule type="cellIs" dxfId="5819" priority="2535" operator="lessThan">
      <formula>0</formula>
    </cfRule>
  </conditionalFormatting>
  <conditionalFormatting sqref="R83">
    <cfRule type="cellIs" dxfId="5818" priority="2533" operator="lessThan">
      <formula>0.8</formula>
    </cfRule>
    <cfRule type="cellIs" dxfId="5817" priority="2534" operator="greaterThan">
      <formula>1</formula>
    </cfRule>
  </conditionalFormatting>
  <conditionalFormatting sqref="R83">
    <cfRule type="cellIs" dxfId="5816" priority="2531" operator="greaterThan">
      <formula>1</formula>
    </cfRule>
    <cfRule type="cellIs" dxfId="5815" priority="2532" operator="lessThan">
      <formula>0.8</formula>
    </cfRule>
  </conditionalFormatting>
  <conditionalFormatting sqref="P83">
    <cfRule type="cellIs" dxfId="5814" priority="2530" operator="greaterThan">
      <formula>0</formula>
    </cfRule>
  </conditionalFormatting>
  <conditionalFormatting sqref="P83">
    <cfRule type="cellIs" dxfId="5813" priority="2524" operator="greaterThan">
      <formula>0</formula>
    </cfRule>
  </conditionalFormatting>
  <conditionalFormatting sqref="Q83">
    <cfRule type="cellIs" dxfId="5812" priority="2529" operator="lessThan">
      <formula>0</formula>
    </cfRule>
  </conditionalFormatting>
  <conditionalFormatting sqref="R83">
    <cfRule type="cellIs" dxfId="5811" priority="2527" operator="lessThan">
      <formula>0.8</formula>
    </cfRule>
    <cfRule type="cellIs" dxfId="5810" priority="2528" operator="greaterThan">
      <formula>1</formula>
    </cfRule>
  </conditionalFormatting>
  <conditionalFormatting sqref="R83">
    <cfRule type="cellIs" dxfId="5809" priority="2525" operator="greaterThan">
      <formula>1</formula>
    </cfRule>
    <cfRule type="cellIs" dxfId="5808" priority="2526" operator="lessThan">
      <formula>0.8</formula>
    </cfRule>
  </conditionalFormatting>
  <conditionalFormatting sqref="P83">
    <cfRule type="cellIs" dxfId="5807" priority="2518" operator="greaterThan">
      <formula>0</formula>
    </cfRule>
  </conditionalFormatting>
  <conditionalFormatting sqref="Q83">
    <cfRule type="cellIs" dxfId="5806" priority="2523" operator="lessThan">
      <formula>0</formula>
    </cfRule>
  </conditionalFormatting>
  <conditionalFormatting sqref="R83">
    <cfRule type="cellIs" dxfId="5805" priority="2521" operator="lessThan">
      <formula>0.8</formula>
    </cfRule>
    <cfRule type="cellIs" dxfId="5804" priority="2522" operator="greaterThan">
      <formula>1</formula>
    </cfRule>
  </conditionalFormatting>
  <conditionalFormatting sqref="R83">
    <cfRule type="cellIs" dxfId="5803" priority="2519" operator="greaterThan">
      <formula>1</formula>
    </cfRule>
    <cfRule type="cellIs" dxfId="5802" priority="2520" operator="lessThan">
      <formula>0.8</formula>
    </cfRule>
  </conditionalFormatting>
  <conditionalFormatting sqref="R83">
    <cfRule type="cellIs" dxfId="5801" priority="2515" operator="lessThan">
      <formula>0.8</formula>
    </cfRule>
    <cfRule type="cellIs" dxfId="5800" priority="2516" operator="greaterThan">
      <formula>1</formula>
    </cfRule>
  </conditionalFormatting>
  <conditionalFormatting sqref="R83">
    <cfRule type="cellIs" dxfId="5799" priority="2513" operator="greaterThan">
      <formula>1</formula>
    </cfRule>
    <cfRule type="cellIs" dxfId="5798" priority="2514" operator="lessThan">
      <formula>0.8</formula>
    </cfRule>
  </conditionalFormatting>
  <conditionalFormatting sqref="P83">
    <cfRule type="cellIs" dxfId="5797" priority="2512" operator="greaterThan">
      <formula>0</formula>
    </cfRule>
  </conditionalFormatting>
  <conditionalFormatting sqref="Q83">
    <cfRule type="cellIs" dxfId="5796" priority="2517" operator="lessThan">
      <formula>0</formula>
    </cfRule>
  </conditionalFormatting>
  <conditionalFormatting sqref="P83">
    <cfRule type="cellIs" dxfId="5795" priority="2506" operator="greaterThan">
      <formula>0</formula>
    </cfRule>
  </conditionalFormatting>
  <conditionalFormatting sqref="Q83">
    <cfRule type="cellIs" dxfId="5794" priority="2511" operator="lessThan">
      <formula>0</formula>
    </cfRule>
  </conditionalFormatting>
  <conditionalFormatting sqref="R83">
    <cfRule type="cellIs" dxfId="5793" priority="2509" operator="lessThan">
      <formula>0.8</formula>
    </cfRule>
    <cfRule type="cellIs" dxfId="5792" priority="2510" operator="greaterThan">
      <formula>1</formula>
    </cfRule>
  </conditionalFormatting>
  <conditionalFormatting sqref="R83">
    <cfRule type="cellIs" dxfId="5791" priority="2507" operator="greaterThan">
      <formula>1</formula>
    </cfRule>
    <cfRule type="cellIs" dxfId="5790" priority="2508" operator="lessThan">
      <formula>0.8</formula>
    </cfRule>
  </conditionalFormatting>
  <conditionalFormatting sqref="R83">
    <cfRule type="cellIs" dxfId="5789" priority="2503" operator="lessThan">
      <formula>0.8</formula>
    </cfRule>
    <cfRule type="cellIs" dxfId="5788" priority="2504" operator="greaterThan">
      <formula>1</formula>
    </cfRule>
  </conditionalFormatting>
  <conditionalFormatting sqref="R83">
    <cfRule type="cellIs" dxfId="5787" priority="2501" operator="greaterThan">
      <formula>1</formula>
    </cfRule>
    <cfRule type="cellIs" dxfId="5786" priority="2502" operator="lessThan">
      <formula>0.8</formula>
    </cfRule>
  </conditionalFormatting>
  <conditionalFormatting sqref="P83">
    <cfRule type="cellIs" dxfId="5785" priority="2500" operator="greaterThan">
      <formula>0</formula>
    </cfRule>
  </conditionalFormatting>
  <conditionalFormatting sqref="Q83">
    <cfRule type="cellIs" dxfId="5784" priority="2505" operator="lessThan">
      <formula>0</formula>
    </cfRule>
  </conditionalFormatting>
  <conditionalFormatting sqref="R83">
    <cfRule type="cellIs" dxfId="5783" priority="2497" operator="lessThan">
      <formula>0.8</formula>
    </cfRule>
    <cfRule type="cellIs" dxfId="5782" priority="2498" operator="greaterThan">
      <formula>1</formula>
    </cfRule>
  </conditionalFormatting>
  <conditionalFormatting sqref="R83">
    <cfRule type="cellIs" dxfId="5781" priority="2495" operator="greaterThan">
      <formula>1</formula>
    </cfRule>
    <cfRule type="cellIs" dxfId="5780" priority="2496" operator="lessThan">
      <formula>0.8</formula>
    </cfRule>
  </conditionalFormatting>
  <conditionalFormatting sqref="P83">
    <cfRule type="cellIs" dxfId="5779" priority="2494" operator="greaterThan">
      <formula>0</formula>
    </cfRule>
  </conditionalFormatting>
  <conditionalFormatting sqref="Q83">
    <cfRule type="cellIs" dxfId="5778" priority="2499" operator="lessThan">
      <formula>0</formula>
    </cfRule>
  </conditionalFormatting>
  <conditionalFormatting sqref="Q83">
    <cfRule type="cellIs" dxfId="5777" priority="2493" operator="lessThan">
      <formula>0</formula>
    </cfRule>
  </conditionalFormatting>
  <conditionalFormatting sqref="R83">
    <cfRule type="cellIs" dxfId="5776" priority="2491" operator="lessThan">
      <formula>0.8</formula>
    </cfRule>
    <cfRule type="cellIs" dxfId="5775" priority="2492" operator="greaterThan">
      <formula>1</formula>
    </cfRule>
  </conditionalFormatting>
  <conditionalFormatting sqref="R83">
    <cfRule type="cellIs" dxfId="5774" priority="2489" operator="greaterThan">
      <formula>1</formula>
    </cfRule>
    <cfRule type="cellIs" dxfId="5773" priority="2490" operator="lessThan">
      <formula>0.8</formula>
    </cfRule>
  </conditionalFormatting>
  <conditionalFormatting sqref="P83">
    <cfRule type="cellIs" dxfId="5772" priority="2488" operator="greaterThan">
      <formula>0</formula>
    </cfRule>
  </conditionalFormatting>
  <conditionalFormatting sqref="Q83">
    <cfRule type="cellIs" dxfId="5771" priority="2482" operator="lessThan">
      <formula>0</formula>
    </cfRule>
  </conditionalFormatting>
  <conditionalFormatting sqref="R83">
    <cfRule type="cellIs" dxfId="5770" priority="2486" operator="lessThan">
      <formula>0.8</formula>
    </cfRule>
    <cfRule type="cellIs" dxfId="5769" priority="2487" operator="greaterThan">
      <formula>1</formula>
    </cfRule>
  </conditionalFormatting>
  <conditionalFormatting sqref="R83">
    <cfRule type="cellIs" dxfId="5768" priority="2484" operator="greaterThan">
      <formula>1</formula>
    </cfRule>
    <cfRule type="cellIs" dxfId="5767" priority="2485" operator="lessThan">
      <formula>0.8</formula>
    </cfRule>
  </conditionalFormatting>
  <conditionalFormatting sqref="P83">
    <cfRule type="cellIs" dxfId="5766" priority="2483" operator="greaterThan">
      <formula>0</formula>
    </cfRule>
  </conditionalFormatting>
  <conditionalFormatting sqref="Q83">
    <cfRule type="cellIs" dxfId="5765" priority="2481" operator="lessThan">
      <formula>0</formula>
    </cfRule>
  </conditionalFormatting>
  <conditionalFormatting sqref="R83">
    <cfRule type="cellIs" dxfId="5764" priority="2479" operator="lessThan">
      <formula>0.8</formula>
    </cfRule>
    <cfRule type="cellIs" dxfId="5763" priority="2480" operator="greaterThan">
      <formula>1</formula>
    </cfRule>
  </conditionalFormatting>
  <conditionalFormatting sqref="R83">
    <cfRule type="cellIs" dxfId="5762" priority="2477" operator="greaterThan">
      <formula>1</formula>
    </cfRule>
    <cfRule type="cellIs" dxfId="5761" priority="2478" operator="lessThan">
      <formula>0.8</formula>
    </cfRule>
  </conditionalFormatting>
  <conditionalFormatting sqref="P83">
    <cfRule type="cellIs" dxfId="5760" priority="2476" operator="greaterThan">
      <formula>0</formula>
    </cfRule>
  </conditionalFormatting>
  <conditionalFormatting sqref="Q83">
    <cfRule type="cellIs" dxfId="5759" priority="2475" operator="lessThan">
      <formula>0</formula>
    </cfRule>
  </conditionalFormatting>
  <conditionalFormatting sqref="R83">
    <cfRule type="cellIs" dxfId="5758" priority="2473" operator="lessThan">
      <formula>0.8</formula>
    </cfRule>
    <cfRule type="cellIs" dxfId="5757" priority="2474" operator="greaterThan">
      <formula>1</formula>
    </cfRule>
  </conditionalFormatting>
  <conditionalFormatting sqref="R83">
    <cfRule type="cellIs" dxfId="5756" priority="2471" operator="greaterThan">
      <formula>1</formula>
    </cfRule>
    <cfRule type="cellIs" dxfId="5755" priority="2472" operator="lessThan">
      <formula>0.8</formula>
    </cfRule>
  </conditionalFormatting>
  <conditionalFormatting sqref="P83">
    <cfRule type="cellIs" dxfId="5754" priority="2470" operator="greaterThan">
      <formula>0</formula>
    </cfRule>
  </conditionalFormatting>
  <conditionalFormatting sqref="Q83">
    <cfRule type="cellIs" dxfId="5753" priority="2469" operator="lessThan">
      <formula>0</formula>
    </cfRule>
  </conditionalFormatting>
  <conditionalFormatting sqref="R83">
    <cfRule type="cellIs" dxfId="5752" priority="2467" operator="lessThan">
      <formula>0.8</formula>
    </cfRule>
    <cfRule type="cellIs" dxfId="5751" priority="2468" operator="greaterThan">
      <formula>1</formula>
    </cfRule>
  </conditionalFormatting>
  <conditionalFormatting sqref="R83">
    <cfRule type="cellIs" dxfId="5750" priority="2465" operator="greaterThan">
      <formula>1</formula>
    </cfRule>
    <cfRule type="cellIs" dxfId="5749" priority="2466" operator="lessThan">
      <formula>0.8</formula>
    </cfRule>
  </conditionalFormatting>
  <conditionalFormatting sqref="P83">
    <cfRule type="cellIs" dxfId="5748" priority="2464" operator="greaterThan">
      <formula>0</formula>
    </cfRule>
  </conditionalFormatting>
  <conditionalFormatting sqref="Q83">
    <cfRule type="cellIs" dxfId="5747" priority="2463" operator="lessThan">
      <formula>0</formula>
    </cfRule>
  </conditionalFormatting>
  <conditionalFormatting sqref="R83">
    <cfRule type="cellIs" dxfId="5746" priority="2461" operator="lessThan">
      <formula>0.8</formula>
    </cfRule>
    <cfRule type="cellIs" dxfId="5745" priority="2462" operator="greaterThan">
      <formula>1</formula>
    </cfRule>
  </conditionalFormatting>
  <conditionalFormatting sqref="R83">
    <cfRule type="cellIs" dxfId="5744" priority="2459" operator="greaterThan">
      <formula>1</formula>
    </cfRule>
    <cfRule type="cellIs" dxfId="5743" priority="2460" operator="lessThan">
      <formula>0.8</formula>
    </cfRule>
  </conditionalFormatting>
  <conditionalFormatting sqref="P83">
    <cfRule type="cellIs" dxfId="5742" priority="2458" operator="greaterThan">
      <formula>0</formula>
    </cfRule>
  </conditionalFormatting>
  <conditionalFormatting sqref="Q83">
    <cfRule type="cellIs" dxfId="5741" priority="2457" operator="lessThan">
      <formula>0</formula>
    </cfRule>
  </conditionalFormatting>
  <conditionalFormatting sqref="R83">
    <cfRule type="cellIs" dxfId="5740" priority="2455" operator="lessThan">
      <formula>0.8</formula>
    </cfRule>
    <cfRule type="cellIs" dxfId="5739" priority="2456" operator="greaterThan">
      <formula>1</formula>
    </cfRule>
  </conditionalFormatting>
  <conditionalFormatting sqref="R83">
    <cfRule type="cellIs" dxfId="5738" priority="2453" operator="greaterThan">
      <formula>1</formula>
    </cfRule>
    <cfRule type="cellIs" dxfId="5737" priority="2454" operator="lessThan">
      <formula>0.8</formula>
    </cfRule>
  </conditionalFormatting>
  <conditionalFormatting sqref="P83">
    <cfRule type="cellIs" dxfId="5736" priority="2452" operator="greaterThan">
      <formula>0</formula>
    </cfRule>
  </conditionalFormatting>
  <conditionalFormatting sqref="P83">
    <cfRule type="cellIs" dxfId="5735" priority="2446" operator="greaterThan">
      <formula>0</formula>
    </cfRule>
  </conditionalFormatting>
  <conditionalFormatting sqref="Q83">
    <cfRule type="cellIs" dxfId="5734" priority="2451" operator="lessThan">
      <formula>0</formula>
    </cfRule>
  </conditionalFormatting>
  <conditionalFormatting sqref="R83">
    <cfRule type="cellIs" dxfId="5733" priority="2449" operator="lessThan">
      <formula>0.8</formula>
    </cfRule>
    <cfRule type="cellIs" dxfId="5732" priority="2450" operator="greaterThan">
      <formula>1</formula>
    </cfRule>
  </conditionalFormatting>
  <conditionalFormatting sqref="R83">
    <cfRule type="cellIs" dxfId="5731" priority="2447" operator="greaterThan">
      <formula>1</formula>
    </cfRule>
    <cfRule type="cellIs" dxfId="5730" priority="2448" operator="lessThan">
      <formula>0.8</formula>
    </cfRule>
  </conditionalFormatting>
  <conditionalFormatting sqref="P83">
    <cfRule type="cellIs" dxfId="5729" priority="2440" operator="greaterThan">
      <formula>0</formula>
    </cfRule>
  </conditionalFormatting>
  <conditionalFormatting sqref="Q83">
    <cfRule type="cellIs" dxfId="5728" priority="2445" operator="lessThan">
      <formula>0</formula>
    </cfRule>
  </conditionalFormatting>
  <conditionalFormatting sqref="R83">
    <cfRule type="cellIs" dxfId="5727" priority="2443" operator="lessThan">
      <formula>0.8</formula>
    </cfRule>
    <cfRule type="cellIs" dxfId="5726" priority="2444" operator="greaterThan">
      <formula>1</formula>
    </cfRule>
  </conditionalFormatting>
  <conditionalFormatting sqref="R83">
    <cfRule type="cellIs" dxfId="5725" priority="2441" operator="greaterThan">
      <formula>1</formula>
    </cfRule>
    <cfRule type="cellIs" dxfId="5724" priority="2442" operator="lessThan">
      <formula>0.8</formula>
    </cfRule>
  </conditionalFormatting>
  <conditionalFormatting sqref="R83">
    <cfRule type="cellIs" dxfId="5723" priority="2437" operator="lessThan">
      <formula>0.8</formula>
    </cfRule>
    <cfRule type="cellIs" dxfId="5722" priority="2438" operator="greaterThan">
      <formula>1</formula>
    </cfRule>
  </conditionalFormatting>
  <conditionalFormatting sqref="R83">
    <cfRule type="cellIs" dxfId="5721" priority="2435" operator="greaterThan">
      <formula>1</formula>
    </cfRule>
    <cfRule type="cellIs" dxfId="5720" priority="2436" operator="lessThan">
      <formula>0.8</formula>
    </cfRule>
  </conditionalFormatting>
  <conditionalFormatting sqref="P83">
    <cfRule type="cellIs" dxfId="5719" priority="2434" operator="greaterThan">
      <formula>0</formula>
    </cfRule>
  </conditionalFormatting>
  <conditionalFormatting sqref="Q83">
    <cfRule type="cellIs" dxfId="5718" priority="2439" operator="lessThan">
      <formula>0</formula>
    </cfRule>
  </conditionalFormatting>
  <conditionalFormatting sqref="P123 P126:P131">
    <cfRule type="cellIs" dxfId="5717" priority="2428" operator="greaterThan">
      <formula>0</formula>
    </cfRule>
  </conditionalFormatting>
  <conditionalFormatting sqref="Q123 Q126:Q131">
    <cfRule type="cellIs" dxfId="5716" priority="2433" operator="lessThan">
      <formula>0</formula>
    </cfRule>
  </conditionalFormatting>
  <conditionalFormatting sqref="R123 R126:R131">
    <cfRule type="cellIs" dxfId="5715" priority="2431" operator="lessThan">
      <formula>0.8</formula>
    </cfRule>
    <cfRule type="cellIs" dxfId="5714" priority="2432" operator="greaterThan">
      <formula>1</formula>
    </cfRule>
  </conditionalFormatting>
  <conditionalFormatting sqref="R123 R126:R131">
    <cfRule type="cellIs" dxfId="5713" priority="2429" operator="greaterThan">
      <formula>1</formula>
    </cfRule>
    <cfRule type="cellIs" dxfId="5712" priority="2430" operator="lessThan">
      <formula>0.8</formula>
    </cfRule>
  </conditionalFormatting>
  <conditionalFormatting sqref="Q123 Q126:Q131">
    <cfRule type="cellIs" dxfId="5711" priority="2427" operator="lessThan">
      <formula>0</formula>
    </cfRule>
  </conditionalFormatting>
  <conditionalFormatting sqref="R123 R126:R131">
    <cfRule type="cellIs" dxfId="5710" priority="2425" operator="lessThan">
      <formula>0.8</formula>
    </cfRule>
    <cfRule type="cellIs" dxfId="5709" priority="2426" operator="greaterThan">
      <formula>1</formula>
    </cfRule>
  </conditionalFormatting>
  <conditionalFormatting sqref="R123 R126:R131">
    <cfRule type="cellIs" dxfId="5708" priority="2423" operator="greaterThan">
      <formula>1</formula>
    </cfRule>
    <cfRule type="cellIs" dxfId="5707" priority="2424" operator="lessThan">
      <formula>0.8</formula>
    </cfRule>
  </conditionalFormatting>
  <conditionalFormatting sqref="P123 P126:P131">
    <cfRule type="cellIs" dxfId="5706" priority="2422" operator="greaterThan">
      <formula>0</formula>
    </cfRule>
  </conditionalFormatting>
  <conditionalFormatting sqref="Q31">
    <cfRule type="cellIs" dxfId="5705" priority="2421" operator="lessThan">
      <formula>0</formula>
    </cfRule>
  </conditionalFormatting>
  <conditionalFormatting sqref="R31">
    <cfRule type="cellIs" dxfId="5704" priority="2419" operator="lessThan">
      <formula>0.8</formula>
    </cfRule>
    <cfRule type="cellIs" dxfId="5703" priority="2420" operator="greaterThan">
      <formula>1</formula>
    </cfRule>
  </conditionalFormatting>
  <conditionalFormatting sqref="R31">
    <cfRule type="cellIs" dxfId="5702" priority="2417" operator="greaterThan">
      <formula>1</formula>
    </cfRule>
    <cfRule type="cellIs" dxfId="5701" priority="2418" operator="lessThan">
      <formula>0.8</formula>
    </cfRule>
  </conditionalFormatting>
  <conditionalFormatting sqref="P31:P40">
    <cfRule type="cellIs" dxfId="5700" priority="2416" operator="greaterThan">
      <formula>0</formula>
    </cfRule>
  </conditionalFormatting>
  <conditionalFormatting sqref="Q31">
    <cfRule type="cellIs" dxfId="5699" priority="2415" operator="lessThan">
      <formula>0</formula>
    </cfRule>
  </conditionalFormatting>
  <conditionalFormatting sqref="R31">
    <cfRule type="cellIs" dxfId="5698" priority="2413" operator="lessThan">
      <formula>0.8</formula>
    </cfRule>
    <cfRule type="cellIs" dxfId="5697" priority="2414" operator="greaterThan">
      <formula>1</formula>
    </cfRule>
  </conditionalFormatting>
  <conditionalFormatting sqref="R31">
    <cfRule type="cellIs" dxfId="5696" priority="2411" operator="greaterThan">
      <formula>1</formula>
    </cfRule>
    <cfRule type="cellIs" dxfId="5695" priority="2412" operator="lessThan">
      <formula>0.8</formula>
    </cfRule>
  </conditionalFormatting>
  <conditionalFormatting sqref="P31:P40">
    <cfRule type="cellIs" dxfId="5694" priority="2410" operator="greaterThan">
      <formula>0</formula>
    </cfRule>
  </conditionalFormatting>
  <conditionalFormatting sqref="Q31">
    <cfRule type="cellIs" dxfId="5693" priority="2409" operator="lessThan">
      <formula>0</formula>
    </cfRule>
  </conditionalFormatting>
  <conditionalFormatting sqref="R31">
    <cfRule type="cellIs" dxfId="5692" priority="2407" operator="lessThan">
      <formula>0.8</formula>
    </cfRule>
    <cfRule type="cellIs" dxfId="5691" priority="2408" operator="greaterThan">
      <formula>1</formula>
    </cfRule>
  </conditionalFormatting>
  <conditionalFormatting sqref="R31">
    <cfRule type="cellIs" dxfId="5690" priority="2405" operator="greaterThan">
      <formula>1</formula>
    </cfRule>
    <cfRule type="cellIs" dxfId="5689" priority="2406" operator="lessThan">
      <formula>0.8</formula>
    </cfRule>
  </conditionalFormatting>
  <conditionalFormatting sqref="P31:P40">
    <cfRule type="cellIs" dxfId="5688" priority="2404" operator="greaterThan">
      <formula>0</formula>
    </cfRule>
  </conditionalFormatting>
  <conditionalFormatting sqref="Q31">
    <cfRule type="cellIs" dxfId="5687" priority="2403" operator="lessThan">
      <formula>0</formula>
    </cfRule>
  </conditionalFormatting>
  <conditionalFormatting sqref="R31">
    <cfRule type="cellIs" dxfId="5686" priority="2401" operator="lessThan">
      <formula>0.8</formula>
    </cfRule>
    <cfRule type="cellIs" dxfId="5685" priority="2402" operator="greaterThan">
      <formula>1</formula>
    </cfRule>
  </conditionalFormatting>
  <conditionalFormatting sqref="R31">
    <cfRule type="cellIs" dxfId="5684" priority="2399" operator="greaterThan">
      <formula>1</formula>
    </cfRule>
    <cfRule type="cellIs" dxfId="5683" priority="2400" operator="lessThan">
      <formula>0.8</formula>
    </cfRule>
  </conditionalFormatting>
  <conditionalFormatting sqref="P31:P40">
    <cfRule type="cellIs" dxfId="5682" priority="2398" operator="greaterThan">
      <formula>0</formula>
    </cfRule>
  </conditionalFormatting>
  <conditionalFormatting sqref="P31:P40">
    <cfRule type="cellIs" dxfId="5681" priority="2392" operator="greaterThan">
      <formula>0</formula>
    </cfRule>
  </conditionalFormatting>
  <conditionalFormatting sqref="Q31">
    <cfRule type="cellIs" dxfId="5680" priority="2397" operator="lessThan">
      <formula>0</formula>
    </cfRule>
  </conditionalFormatting>
  <conditionalFormatting sqref="R31">
    <cfRule type="cellIs" dxfId="5679" priority="2395" operator="lessThan">
      <formula>0.8</formula>
    </cfRule>
    <cfRule type="cellIs" dxfId="5678" priority="2396" operator="greaterThan">
      <formula>1</formula>
    </cfRule>
  </conditionalFormatting>
  <conditionalFormatting sqref="R31">
    <cfRule type="cellIs" dxfId="5677" priority="2393" operator="greaterThan">
      <formula>1</formula>
    </cfRule>
    <cfRule type="cellIs" dxfId="5676" priority="2394" operator="lessThan">
      <formula>0.8</formula>
    </cfRule>
  </conditionalFormatting>
  <conditionalFormatting sqref="P31:P40">
    <cfRule type="cellIs" dxfId="5675" priority="2386" operator="greaterThan">
      <formula>0</formula>
    </cfRule>
  </conditionalFormatting>
  <conditionalFormatting sqref="Q31">
    <cfRule type="cellIs" dxfId="5674" priority="2391" operator="lessThan">
      <formula>0</formula>
    </cfRule>
  </conditionalFormatting>
  <conditionalFormatting sqref="R31">
    <cfRule type="cellIs" dxfId="5673" priority="2389" operator="lessThan">
      <formula>0.8</formula>
    </cfRule>
    <cfRule type="cellIs" dxfId="5672" priority="2390" operator="greaterThan">
      <formula>1</formula>
    </cfRule>
  </conditionalFormatting>
  <conditionalFormatting sqref="R31">
    <cfRule type="cellIs" dxfId="5671" priority="2387" operator="greaterThan">
      <formula>1</formula>
    </cfRule>
    <cfRule type="cellIs" dxfId="5670" priority="2388" operator="lessThan">
      <formula>0.8</formula>
    </cfRule>
  </conditionalFormatting>
  <conditionalFormatting sqref="R31">
    <cfRule type="cellIs" dxfId="5669" priority="2383" operator="lessThan">
      <formula>0.8</formula>
    </cfRule>
    <cfRule type="cellIs" dxfId="5668" priority="2384" operator="greaterThan">
      <formula>1</formula>
    </cfRule>
  </conditionalFormatting>
  <conditionalFormatting sqref="R31">
    <cfRule type="cellIs" dxfId="5667" priority="2381" operator="greaterThan">
      <formula>1</formula>
    </cfRule>
    <cfRule type="cellIs" dxfId="5666" priority="2382" operator="lessThan">
      <formula>0.8</formula>
    </cfRule>
  </conditionalFormatting>
  <conditionalFormatting sqref="P31:P40">
    <cfRule type="cellIs" dxfId="5665" priority="2380" operator="greaterThan">
      <formula>0</formula>
    </cfRule>
  </conditionalFormatting>
  <conditionalFormatting sqref="Q31">
    <cfRule type="cellIs" dxfId="5664" priority="2385" operator="lessThan">
      <formula>0</formula>
    </cfRule>
  </conditionalFormatting>
  <conditionalFormatting sqref="Q31">
    <cfRule type="cellIs" dxfId="5663" priority="2379" operator="lessThan">
      <formula>0</formula>
    </cfRule>
  </conditionalFormatting>
  <conditionalFormatting sqref="R31">
    <cfRule type="cellIs" dxfId="5662" priority="2377" operator="lessThan">
      <formula>0.8</formula>
    </cfRule>
    <cfRule type="cellIs" dxfId="5661" priority="2378" operator="greaterThan">
      <formula>1</formula>
    </cfRule>
  </conditionalFormatting>
  <conditionalFormatting sqref="R31">
    <cfRule type="cellIs" dxfId="5660" priority="2375" operator="greaterThan">
      <formula>1</formula>
    </cfRule>
    <cfRule type="cellIs" dxfId="5659" priority="2376" operator="lessThan">
      <formula>0.8</formula>
    </cfRule>
  </conditionalFormatting>
  <conditionalFormatting sqref="P31:P40">
    <cfRule type="cellIs" dxfId="5658" priority="2374" operator="greaterThan">
      <formula>0</formula>
    </cfRule>
  </conditionalFormatting>
  <conditionalFormatting sqref="P31:P40">
    <cfRule type="cellIs" dxfId="5657" priority="2368" operator="greaterThan">
      <formula>0</formula>
    </cfRule>
  </conditionalFormatting>
  <conditionalFormatting sqref="Q31">
    <cfRule type="cellIs" dxfId="5656" priority="2373" operator="lessThan">
      <formula>0</formula>
    </cfRule>
  </conditionalFormatting>
  <conditionalFormatting sqref="R31">
    <cfRule type="cellIs" dxfId="5655" priority="2371" operator="lessThan">
      <formula>0.8</formula>
    </cfRule>
    <cfRule type="cellIs" dxfId="5654" priority="2372" operator="greaterThan">
      <formula>1</formula>
    </cfRule>
  </conditionalFormatting>
  <conditionalFormatting sqref="R31">
    <cfRule type="cellIs" dxfId="5653" priority="2369" operator="greaterThan">
      <formula>1</formula>
    </cfRule>
    <cfRule type="cellIs" dxfId="5652" priority="2370" operator="lessThan">
      <formula>0.8</formula>
    </cfRule>
  </conditionalFormatting>
  <conditionalFormatting sqref="P31:P40">
    <cfRule type="cellIs" dxfId="5651" priority="2362" operator="greaterThan">
      <formula>0</formula>
    </cfRule>
  </conditionalFormatting>
  <conditionalFormatting sqref="Q31">
    <cfRule type="cellIs" dxfId="5650" priority="2367" operator="lessThan">
      <formula>0</formula>
    </cfRule>
  </conditionalFormatting>
  <conditionalFormatting sqref="R31">
    <cfRule type="cellIs" dxfId="5649" priority="2365" operator="lessThan">
      <formula>0.8</formula>
    </cfRule>
    <cfRule type="cellIs" dxfId="5648" priority="2366" operator="greaterThan">
      <formula>1</formula>
    </cfRule>
  </conditionalFormatting>
  <conditionalFormatting sqref="R31">
    <cfRule type="cellIs" dxfId="5647" priority="2363" operator="greaterThan">
      <formula>1</formula>
    </cfRule>
    <cfRule type="cellIs" dxfId="5646" priority="2364" operator="lessThan">
      <formula>0.8</formula>
    </cfRule>
  </conditionalFormatting>
  <conditionalFormatting sqref="R31">
    <cfRule type="cellIs" dxfId="5645" priority="2359" operator="lessThan">
      <formula>0.8</formula>
    </cfRule>
    <cfRule type="cellIs" dxfId="5644" priority="2360" operator="greaterThan">
      <formula>1</formula>
    </cfRule>
  </conditionalFormatting>
  <conditionalFormatting sqref="R31">
    <cfRule type="cellIs" dxfId="5643" priority="2357" operator="greaterThan">
      <formula>1</formula>
    </cfRule>
    <cfRule type="cellIs" dxfId="5642" priority="2358" operator="lessThan">
      <formula>0.8</formula>
    </cfRule>
  </conditionalFormatting>
  <conditionalFormatting sqref="P31:P40">
    <cfRule type="cellIs" dxfId="5641" priority="2356" operator="greaterThan">
      <formula>0</formula>
    </cfRule>
  </conditionalFormatting>
  <conditionalFormatting sqref="Q31">
    <cfRule type="cellIs" dxfId="5640" priority="2361" operator="lessThan">
      <formula>0</formula>
    </cfRule>
  </conditionalFormatting>
  <conditionalFormatting sqref="P31:P40">
    <cfRule type="cellIs" dxfId="5639" priority="2350" operator="greaterThan">
      <formula>0</formula>
    </cfRule>
  </conditionalFormatting>
  <conditionalFormatting sqref="Q31">
    <cfRule type="cellIs" dxfId="5638" priority="2355" operator="lessThan">
      <formula>0</formula>
    </cfRule>
  </conditionalFormatting>
  <conditionalFormatting sqref="R31">
    <cfRule type="cellIs" dxfId="5637" priority="2353" operator="lessThan">
      <formula>0.8</formula>
    </cfRule>
    <cfRule type="cellIs" dxfId="5636" priority="2354" operator="greaterThan">
      <formula>1</formula>
    </cfRule>
  </conditionalFormatting>
  <conditionalFormatting sqref="R31">
    <cfRule type="cellIs" dxfId="5635" priority="2351" operator="greaterThan">
      <formula>1</formula>
    </cfRule>
    <cfRule type="cellIs" dxfId="5634" priority="2352" operator="lessThan">
      <formula>0.8</formula>
    </cfRule>
  </conditionalFormatting>
  <conditionalFormatting sqref="R31">
    <cfRule type="cellIs" dxfId="5633" priority="2347" operator="lessThan">
      <formula>0.8</formula>
    </cfRule>
    <cfRule type="cellIs" dxfId="5632" priority="2348" operator="greaterThan">
      <formula>1</formula>
    </cfRule>
  </conditionalFormatting>
  <conditionalFormatting sqref="R31">
    <cfRule type="cellIs" dxfId="5631" priority="2345" operator="greaterThan">
      <formula>1</formula>
    </cfRule>
    <cfRule type="cellIs" dxfId="5630" priority="2346" operator="lessThan">
      <formula>0.8</formula>
    </cfRule>
  </conditionalFormatting>
  <conditionalFormatting sqref="P31:P40">
    <cfRule type="cellIs" dxfId="5629" priority="2344" operator="greaterThan">
      <formula>0</formula>
    </cfRule>
  </conditionalFormatting>
  <conditionalFormatting sqref="Q31">
    <cfRule type="cellIs" dxfId="5628" priority="2349" operator="lessThan">
      <formula>0</formula>
    </cfRule>
  </conditionalFormatting>
  <conditionalFormatting sqref="R31">
    <cfRule type="cellIs" dxfId="5627" priority="2341" operator="lessThan">
      <formula>0.8</formula>
    </cfRule>
    <cfRule type="cellIs" dxfId="5626" priority="2342" operator="greaterThan">
      <formula>1</formula>
    </cfRule>
  </conditionalFormatting>
  <conditionalFormatting sqref="R31">
    <cfRule type="cellIs" dxfId="5625" priority="2339" operator="greaterThan">
      <formula>1</formula>
    </cfRule>
    <cfRule type="cellIs" dxfId="5624" priority="2340" operator="lessThan">
      <formula>0.8</formula>
    </cfRule>
  </conditionalFormatting>
  <conditionalFormatting sqref="P31:P40">
    <cfRule type="cellIs" dxfId="5623" priority="2338" operator="greaterThan">
      <formula>0</formula>
    </cfRule>
  </conditionalFormatting>
  <conditionalFormatting sqref="Q31">
    <cfRule type="cellIs" dxfId="5622" priority="2343" operator="lessThan">
      <formula>0</formula>
    </cfRule>
  </conditionalFormatting>
  <conditionalFormatting sqref="Q31">
    <cfRule type="cellIs" dxfId="5621" priority="2337" operator="lessThan">
      <formula>0</formula>
    </cfRule>
  </conditionalFormatting>
  <conditionalFormatting sqref="R31">
    <cfRule type="cellIs" dxfId="5620" priority="2335" operator="lessThan">
      <formula>0.8</formula>
    </cfRule>
    <cfRule type="cellIs" dxfId="5619" priority="2336" operator="greaterThan">
      <formula>1</formula>
    </cfRule>
  </conditionalFormatting>
  <conditionalFormatting sqref="R31">
    <cfRule type="cellIs" dxfId="5618" priority="2333" operator="greaterThan">
      <formula>1</formula>
    </cfRule>
    <cfRule type="cellIs" dxfId="5617" priority="2334" operator="lessThan">
      <formula>0.8</formula>
    </cfRule>
  </conditionalFormatting>
  <conditionalFormatting sqref="P31:P40">
    <cfRule type="cellIs" dxfId="5616" priority="2332" operator="greaterThan">
      <formula>0</formula>
    </cfRule>
  </conditionalFormatting>
  <conditionalFormatting sqref="Q31">
    <cfRule type="cellIs" dxfId="5615" priority="2326" operator="lessThan">
      <formula>0</formula>
    </cfRule>
  </conditionalFormatting>
  <conditionalFormatting sqref="R31">
    <cfRule type="cellIs" dxfId="5614" priority="2330" operator="lessThan">
      <formula>0.8</formula>
    </cfRule>
    <cfRule type="cellIs" dxfId="5613" priority="2331" operator="greaterThan">
      <formula>1</formula>
    </cfRule>
  </conditionalFormatting>
  <conditionalFormatting sqref="R31">
    <cfRule type="cellIs" dxfId="5612" priority="2328" operator="greaterThan">
      <formula>1</formula>
    </cfRule>
    <cfRule type="cellIs" dxfId="5611" priority="2329" operator="lessThan">
      <formula>0.8</formula>
    </cfRule>
  </conditionalFormatting>
  <conditionalFormatting sqref="P31:P40">
    <cfRule type="cellIs" dxfId="5610" priority="2327" operator="greaterThan">
      <formula>0</formula>
    </cfRule>
  </conditionalFormatting>
  <conditionalFormatting sqref="Q31">
    <cfRule type="cellIs" dxfId="5609" priority="2325" operator="lessThan">
      <formula>0</formula>
    </cfRule>
  </conditionalFormatting>
  <conditionalFormatting sqref="R31">
    <cfRule type="cellIs" dxfId="5608" priority="2323" operator="lessThan">
      <formula>0.8</formula>
    </cfRule>
    <cfRule type="cellIs" dxfId="5607" priority="2324" operator="greaterThan">
      <formula>1</formula>
    </cfRule>
  </conditionalFormatting>
  <conditionalFormatting sqref="R31">
    <cfRule type="cellIs" dxfId="5606" priority="2321" operator="greaterThan">
      <formula>1</formula>
    </cfRule>
    <cfRule type="cellIs" dxfId="5605" priority="2322" operator="lessThan">
      <formula>0.8</formula>
    </cfRule>
  </conditionalFormatting>
  <conditionalFormatting sqref="P31:P40">
    <cfRule type="cellIs" dxfId="5604" priority="2320" operator="greaterThan">
      <formula>0</formula>
    </cfRule>
  </conditionalFormatting>
  <conditionalFormatting sqref="Q31">
    <cfRule type="cellIs" dxfId="5603" priority="2319" operator="lessThan">
      <formula>0</formula>
    </cfRule>
  </conditionalFormatting>
  <conditionalFormatting sqref="R31">
    <cfRule type="cellIs" dxfId="5602" priority="2317" operator="lessThan">
      <formula>0.8</formula>
    </cfRule>
    <cfRule type="cellIs" dxfId="5601" priority="2318" operator="greaterThan">
      <formula>1</formula>
    </cfRule>
  </conditionalFormatting>
  <conditionalFormatting sqref="R31">
    <cfRule type="cellIs" dxfId="5600" priority="2315" operator="greaterThan">
      <formula>1</formula>
    </cfRule>
    <cfRule type="cellIs" dxfId="5599" priority="2316" operator="lessThan">
      <formula>0.8</formula>
    </cfRule>
  </conditionalFormatting>
  <conditionalFormatting sqref="P31:P40">
    <cfRule type="cellIs" dxfId="5598" priority="2314" operator="greaterThan">
      <formula>0</formula>
    </cfRule>
  </conditionalFormatting>
  <conditionalFormatting sqref="Q31">
    <cfRule type="cellIs" dxfId="5597" priority="2313" operator="lessThan">
      <formula>0</formula>
    </cfRule>
  </conditionalFormatting>
  <conditionalFormatting sqref="R31">
    <cfRule type="cellIs" dxfId="5596" priority="2311" operator="lessThan">
      <formula>0.8</formula>
    </cfRule>
    <cfRule type="cellIs" dxfId="5595" priority="2312" operator="greaterThan">
      <formula>1</formula>
    </cfRule>
  </conditionalFormatting>
  <conditionalFormatting sqref="R31">
    <cfRule type="cellIs" dxfId="5594" priority="2309" operator="greaterThan">
      <formula>1</formula>
    </cfRule>
    <cfRule type="cellIs" dxfId="5593" priority="2310" operator="lessThan">
      <formula>0.8</formula>
    </cfRule>
  </conditionalFormatting>
  <conditionalFormatting sqref="P31:P40">
    <cfRule type="cellIs" dxfId="5592" priority="2308" operator="greaterThan">
      <formula>0</formula>
    </cfRule>
  </conditionalFormatting>
  <conditionalFormatting sqref="Q31">
    <cfRule type="cellIs" dxfId="5591" priority="2307" operator="lessThan">
      <formula>0</formula>
    </cfRule>
  </conditionalFormatting>
  <conditionalFormatting sqref="R31">
    <cfRule type="cellIs" dxfId="5590" priority="2305" operator="lessThan">
      <formula>0.8</formula>
    </cfRule>
    <cfRule type="cellIs" dxfId="5589" priority="2306" operator="greaterThan">
      <formula>1</formula>
    </cfRule>
  </conditionalFormatting>
  <conditionalFormatting sqref="R31">
    <cfRule type="cellIs" dxfId="5588" priority="2303" operator="greaterThan">
      <formula>1</formula>
    </cfRule>
    <cfRule type="cellIs" dxfId="5587" priority="2304" operator="lessThan">
      <formula>0.8</formula>
    </cfRule>
  </conditionalFormatting>
  <conditionalFormatting sqref="P31:P40">
    <cfRule type="cellIs" dxfId="5586" priority="2302" operator="greaterThan">
      <formula>0</formula>
    </cfRule>
  </conditionalFormatting>
  <conditionalFormatting sqref="Q31">
    <cfRule type="cellIs" dxfId="5585" priority="2301" operator="lessThan">
      <formula>0</formula>
    </cfRule>
  </conditionalFormatting>
  <conditionalFormatting sqref="R31">
    <cfRule type="cellIs" dxfId="5584" priority="2299" operator="lessThan">
      <formula>0.8</formula>
    </cfRule>
    <cfRule type="cellIs" dxfId="5583" priority="2300" operator="greaterThan">
      <formula>1</formula>
    </cfRule>
  </conditionalFormatting>
  <conditionalFormatting sqref="R31">
    <cfRule type="cellIs" dxfId="5582" priority="2297" operator="greaterThan">
      <formula>1</formula>
    </cfRule>
    <cfRule type="cellIs" dxfId="5581" priority="2298" operator="lessThan">
      <formula>0.8</formula>
    </cfRule>
  </conditionalFormatting>
  <conditionalFormatting sqref="P31:P40">
    <cfRule type="cellIs" dxfId="5580" priority="2296" operator="greaterThan">
      <formula>0</formula>
    </cfRule>
  </conditionalFormatting>
  <conditionalFormatting sqref="P31:P40">
    <cfRule type="cellIs" dxfId="5579" priority="2290" operator="greaterThan">
      <formula>0</formula>
    </cfRule>
  </conditionalFormatting>
  <conditionalFormatting sqref="Q31">
    <cfRule type="cellIs" dxfId="5578" priority="2295" operator="lessThan">
      <formula>0</formula>
    </cfRule>
  </conditionalFormatting>
  <conditionalFormatting sqref="R31">
    <cfRule type="cellIs" dxfId="5577" priority="2293" operator="lessThan">
      <formula>0.8</formula>
    </cfRule>
    <cfRule type="cellIs" dxfId="5576" priority="2294" operator="greaterThan">
      <formula>1</formula>
    </cfRule>
  </conditionalFormatting>
  <conditionalFormatting sqref="R31">
    <cfRule type="cellIs" dxfId="5575" priority="2291" operator="greaterThan">
      <formula>1</formula>
    </cfRule>
    <cfRule type="cellIs" dxfId="5574" priority="2292" operator="lessThan">
      <formula>0.8</formula>
    </cfRule>
  </conditionalFormatting>
  <conditionalFormatting sqref="P31:P40">
    <cfRule type="cellIs" dxfId="5573" priority="2284" operator="greaterThan">
      <formula>0</formula>
    </cfRule>
  </conditionalFormatting>
  <conditionalFormatting sqref="Q31">
    <cfRule type="cellIs" dxfId="5572" priority="2289" operator="lessThan">
      <formula>0</formula>
    </cfRule>
  </conditionalFormatting>
  <conditionalFormatting sqref="R31">
    <cfRule type="cellIs" dxfId="5571" priority="2287" operator="lessThan">
      <formula>0.8</formula>
    </cfRule>
    <cfRule type="cellIs" dxfId="5570" priority="2288" operator="greaterThan">
      <formula>1</formula>
    </cfRule>
  </conditionalFormatting>
  <conditionalFormatting sqref="R31">
    <cfRule type="cellIs" dxfId="5569" priority="2285" operator="greaterThan">
      <formula>1</formula>
    </cfRule>
    <cfRule type="cellIs" dxfId="5568" priority="2286" operator="lessThan">
      <formula>0.8</formula>
    </cfRule>
  </conditionalFormatting>
  <conditionalFormatting sqref="R31">
    <cfRule type="cellIs" dxfId="5567" priority="2281" operator="lessThan">
      <formula>0.8</formula>
    </cfRule>
    <cfRule type="cellIs" dxfId="5566" priority="2282" operator="greaterThan">
      <formula>1</formula>
    </cfRule>
  </conditionalFormatting>
  <conditionalFormatting sqref="R31">
    <cfRule type="cellIs" dxfId="5565" priority="2279" operator="greaterThan">
      <formula>1</formula>
    </cfRule>
    <cfRule type="cellIs" dxfId="5564" priority="2280" operator="lessThan">
      <formula>0.8</formula>
    </cfRule>
  </conditionalFormatting>
  <conditionalFormatting sqref="P31:P40">
    <cfRule type="cellIs" dxfId="5563" priority="2278" operator="greaterThan">
      <formula>0</formula>
    </cfRule>
  </conditionalFormatting>
  <conditionalFormatting sqref="Q31">
    <cfRule type="cellIs" dxfId="5562" priority="2283" operator="lessThan">
      <formula>0</formula>
    </cfRule>
  </conditionalFormatting>
  <conditionalFormatting sqref="Q31">
    <cfRule type="cellIs" dxfId="5561" priority="2277" operator="lessThan">
      <formula>0</formula>
    </cfRule>
  </conditionalFormatting>
  <conditionalFormatting sqref="R31">
    <cfRule type="cellIs" dxfId="5560" priority="2275" operator="lessThan">
      <formula>0.8</formula>
    </cfRule>
    <cfRule type="cellIs" dxfId="5559" priority="2276" operator="greaterThan">
      <formula>1</formula>
    </cfRule>
  </conditionalFormatting>
  <conditionalFormatting sqref="R31">
    <cfRule type="cellIs" dxfId="5558" priority="2273" operator="greaterThan">
      <formula>1</formula>
    </cfRule>
    <cfRule type="cellIs" dxfId="5557" priority="2274" operator="lessThan">
      <formula>0.8</formula>
    </cfRule>
  </conditionalFormatting>
  <conditionalFormatting sqref="P31:P40">
    <cfRule type="cellIs" dxfId="5556" priority="2272" operator="greaterThan">
      <formula>0</formula>
    </cfRule>
  </conditionalFormatting>
  <conditionalFormatting sqref="Q31">
    <cfRule type="cellIs" dxfId="5555" priority="2271" operator="lessThan">
      <formula>0</formula>
    </cfRule>
  </conditionalFormatting>
  <conditionalFormatting sqref="R31">
    <cfRule type="cellIs" dxfId="5554" priority="2269" operator="lessThan">
      <formula>0.8</formula>
    </cfRule>
    <cfRule type="cellIs" dxfId="5553" priority="2270" operator="greaterThan">
      <formula>1</formula>
    </cfRule>
  </conditionalFormatting>
  <conditionalFormatting sqref="R31">
    <cfRule type="cellIs" dxfId="5552" priority="2267" operator="greaterThan">
      <formula>1</formula>
    </cfRule>
    <cfRule type="cellIs" dxfId="5551" priority="2268" operator="lessThan">
      <formula>0.8</formula>
    </cfRule>
  </conditionalFormatting>
  <conditionalFormatting sqref="P31:P40">
    <cfRule type="cellIs" dxfId="5550" priority="2266" operator="greaterThan">
      <formula>0</formula>
    </cfRule>
  </conditionalFormatting>
  <conditionalFormatting sqref="Q31">
    <cfRule type="cellIs" dxfId="5549" priority="2265" operator="lessThan">
      <formula>0</formula>
    </cfRule>
  </conditionalFormatting>
  <conditionalFormatting sqref="R31">
    <cfRule type="cellIs" dxfId="5548" priority="2263" operator="lessThan">
      <formula>0.8</formula>
    </cfRule>
    <cfRule type="cellIs" dxfId="5547" priority="2264" operator="greaterThan">
      <formula>1</formula>
    </cfRule>
  </conditionalFormatting>
  <conditionalFormatting sqref="R31">
    <cfRule type="cellIs" dxfId="5546" priority="2261" operator="greaterThan">
      <formula>1</formula>
    </cfRule>
    <cfRule type="cellIs" dxfId="5545" priority="2262" operator="lessThan">
      <formula>0.8</formula>
    </cfRule>
  </conditionalFormatting>
  <conditionalFormatting sqref="P31:P40">
    <cfRule type="cellIs" dxfId="5544" priority="2260" operator="greaterThan">
      <formula>0</formula>
    </cfRule>
  </conditionalFormatting>
  <conditionalFormatting sqref="Q31">
    <cfRule type="cellIs" dxfId="5543" priority="2259" operator="lessThan">
      <formula>0</formula>
    </cfRule>
  </conditionalFormatting>
  <conditionalFormatting sqref="R31">
    <cfRule type="cellIs" dxfId="5542" priority="2257" operator="lessThan">
      <formula>0.8</formula>
    </cfRule>
    <cfRule type="cellIs" dxfId="5541" priority="2258" operator="greaterThan">
      <formula>1</formula>
    </cfRule>
  </conditionalFormatting>
  <conditionalFormatting sqref="R31">
    <cfRule type="cellIs" dxfId="5540" priority="2255" operator="greaterThan">
      <formula>1</formula>
    </cfRule>
    <cfRule type="cellIs" dxfId="5539" priority="2256" operator="lessThan">
      <formula>0.8</formula>
    </cfRule>
  </conditionalFormatting>
  <conditionalFormatting sqref="P31:P40">
    <cfRule type="cellIs" dxfId="5538" priority="2254" operator="greaterThan">
      <formula>0</formula>
    </cfRule>
  </conditionalFormatting>
  <conditionalFormatting sqref="P31:P40">
    <cfRule type="cellIs" dxfId="5537" priority="2248" operator="greaterThan">
      <formula>0</formula>
    </cfRule>
  </conditionalFormatting>
  <conditionalFormatting sqref="Q31">
    <cfRule type="cellIs" dxfId="5536" priority="2253" operator="lessThan">
      <formula>0</formula>
    </cfRule>
  </conditionalFormatting>
  <conditionalFormatting sqref="R31">
    <cfRule type="cellIs" dxfId="5535" priority="2251" operator="lessThan">
      <formula>0.8</formula>
    </cfRule>
    <cfRule type="cellIs" dxfId="5534" priority="2252" operator="greaterThan">
      <formula>1</formula>
    </cfRule>
  </conditionalFormatting>
  <conditionalFormatting sqref="R31">
    <cfRule type="cellIs" dxfId="5533" priority="2249" operator="greaterThan">
      <formula>1</formula>
    </cfRule>
    <cfRule type="cellIs" dxfId="5532" priority="2250" operator="lessThan">
      <formula>0.8</formula>
    </cfRule>
  </conditionalFormatting>
  <conditionalFormatting sqref="P31:P40">
    <cfRule type="cellIs" dxfId="5531" priority="2242" operator="greaterThan">
      <formula>0</formula>
    </cfRule>
  </conditionalFormatting>
  <conditionalFormatting sqref="Q31">
    <cfRule type="cellIs" dxfId="5530" priority="2247" operator="lessThan">
      <formula>0</formula>
    </cfRule>
  </conditionalFormatting>
  <conditionalFormatting sqref="R31">
    <cfRule type="cellIs" dxfId="5529" priority="2245" operator="lessThan">
      <formula>0.8</formula>
    </cfRule>
    <cfRule type="cellIs" dxfId="5528" priority="2246" operator="greaterThan">
      <formula>1</formula>
    </cfRule>
  </conditionalFormatting>
  <conditionalFormatting sqref="R31">
    <cfRule type="cellIs" dxfId="5527" priority="2243" operator="greaterThan">
      <formula>1</formula>
    </cfRule>
    <cfRule type="cellIs" dxfId="5526" priority="2244" operator="lessThan">
      <formula>0.8</formula>
    </cfRule>
  </conditionalFormatting>
  <conditionalFormatting sqref="R31">
    <cfRule type="cellIs" dxfId="5525" priority="2239" operator="lessThan">
      <formula>0.8</formula>
    </cfRule>
    <cfRule type="cellIs" dxfId="5524" priority="2240" operator="greaterThan">
      <formula>1</formula>
    </cfRule>
  </conditionalFormatting>
  <conditionalFormatting sqref="R31">
    <cfRule type="cellIs" dxfId="5523" priority="2237" operator="greaterThan">
      <formula>1</formula>
    </cfRule>
    <cfRule type="cellIs" dxfId="5522" priority="2238" operator="lessThan">
      <formula>0.8</formula>
    </cfRule>
  </conditionalFormatting>
  <conditionalFormatting sqref="P31:P40">
    <cfRule type="cellIs" dxfId="5521" priority="2236" operator="greaterThan">
      <formula>0</formula>
    </cfRule>
  </conditionalFormatting>
  <conditionalFormatting sqref="Q31">
    <cfRule type="cellIs" dxfId="5520" priority="2241" operator="lessThan">
      <formula>0</formula>
    </cfRule>
  </conditionalFormatting>
  <conditionalFormatting sqref="Q31">
    <cfRule type="cellIs" dxfId="5519" priority="2235" operator="lessThan">
      <formula>0</formula>
    </cfRule>
  </conditionalFormatting>
  <conditionalFormatting sqref="R31">
    <cfRule type="cellIs" dxfId="5518" priority="2233" operator="lessThan">
      <formula>0.8</formula>
    </cfRule>
    <cfRule type="cellIs" dxfId="5517" priority="2234" operator="greaterThan">
      <formula>1</formula>
    </cfRule>
  </conditionalFormatting>
  <conditionalFormatting sqref="R31">
    <cfRule type="cellIs" dxfId="5516" priority="2231" operator="greaterThan">
      <formula>1</formula>
    </cfRule>
    <cfRule type="cellIs" dxfId="5515" priority="2232" operator="lessThan">
      <formula>0.8</formula>
    </cfRule>
  </conditionalFormatting>
  <conditionalFormatting sqref="P31:P40">
    <cfRule type="cellIs" dxfId="5514" priority="2230" operator="greaterThan">
      <formula>0</formula>
    </cfRule>
  </conditionalFormatting>
  <conditionalFormatting sqref="P31:P40">
    <cfRule type="cellIs" dxfId="5513" priority="2224" operator="greaterThan">
      <formula>0</formula>
    </cfRule>
  </conditionalFormatting>
  <conditionalFormatting sqref="Q31">
    <cfRule type="cellIs" dxfId="5512" priority="2229" operator="lessThan">
      <formula>0</formula>
    </cfRule>
  </conditionalFormatting>
  <conditionalFormatting sqref="R31">
    <cfRule type="cellIs" dxfId="5511" priority="2227" operator="lessThan">
      <formula>0.8</formula>
    </cfRule>
    <cfRule type="cellIs" dxfId="5510" priority="2228" operator="greaterThan">
      <formula>1</formula>
    </cfRule>
  </conditionalFormatting>
  <conditionalFormatting sqref="R31">
    <cfRule type="cellIs" dxfId="5509" priority="2225" operator="greaterThan">
      <formula>1</formula>
    </cfRule>
    <cfRule type="cellIs" dxfId="5508" priority="2226" operator="lessThan">
      <formula>0.8</formula>
    </cfRule>
  </conditionalFormatting>
  <conditionalFormatting sqref="P31:P40">
    <cfRule type="cellIs" dxfId="5507" priority="2218" operator="greaterThan">
      <formula>0</formula>
    </cfRule>
  </conditionalFormatting>
  <conditionalFormatting sqref="Q31">
    <cfRule type="cellIs" dxfId="5506" priority="2223" operator="lessThan">
      <formula>0</formula>
    </cfRule>
  </conditionalFormatting>
  <conditionalFormatting sqref="R31">
    <cfRule type="cellIs" dxfId="5505" priority="2221" operator="lessThan">
      <formula>0.8</formula>
    </cfRule>
    <cfRule type="cellIs" dxfId="5504" priority="2222" operator="greaterThan">
      <formula>1</formula>
    </cfRule>
  </conditionalFormatting>
  <conditionalFormatting sqref="R31">
    <cfRule type="cellIs" dxfId="5503" priority="2219" operator="greaterThan">
      <formula>1</formula>
    </cfRule>
    <cfRule type="cellIs" dxfId="5502" priority="2220" operator="lessThan">
      <formula>0.8</formula>
    </cfRule>
  </conditionalFormatting>
  <conditionalFormatting sqref="R31">
    <cfRule type="cellIs" dxfId="5501" priority="2215" operator="lessThan">
      <formula>0.8</formula>
    </cfRule>
    <cfRule type="cellIs" dxfId="5500" priority="2216" operator="greaterThan">
      <formula>1</formula>
    </cfRule>
  </conditionalFormatting>
  <conditionalFormatting sqref="R31">
    <cfRule type="cellIs" dxfId="5499" priority="2213" operator="greaterThan">
      <formula>1</formula>
    </cfRule>
    <cfRule type="cellIs" dxfId="5498" priority="2214" operator="lessThan">
      <formula>0.8</formula>
    </cfRule>
  </conditionalFormatting>
  <conditionalFormatting sqref="P31:P40">
    <cfRule type="cellIs" dxfId="5497" priority="2212" operator="greaterThan">
      <formula>0</formula>
    </cfRule>
  </conditionalFormatting>
  <conditionalFormatting sqref="Q31">
    <cfRule type="cellIs" dxfId="5496" priority="2217" operator="lessThan">
      <formula>0</formula>
    </cfRule>
  </conditionalFormatting>
  <conditionalFormatting sqref="P31:P40">
    <cfRule type="cellIs" dxfId="5495" priority="2206" operator="greaterThan">
      <formula>0</formula>
    </cfRule>
  </conditionalFormatting>
  <conditionalFormatting sqref="Q31">
    <cfRule type="cellIs" dxfId="5494" priority="2211" operator="lessThan">
      <formula>0</formula>
    </cfRule>
  </conditionalFormatting>
  <conditionalFormatting sqref="R31">
    <cfRule type="cellIs" dxfId="5493" priority="2209" operator="lessThan">
      <formula>0.8</formula>
    </cfRule>
    <cfRule type="cellIs" dxfId="5492" priority="2210" operator="greaterThan">
      <formula>1</formula>
    </cfRule>
  </conditionalFormatting>
  <conditionalFormatting sqref="R31">
    <cfRule type="cellIs" dxfId="5491" priority="2207" operator="greaterThan">
      <formula>1</formula>
    </cfRule>
    <cfRule type="cellIs" dxfId="5490" priority="2208" operator="lessThan">
      <formula>0.8</formula>
    </cfRule>
  </conditionalFormatting>
  <conditionalFormatting sqref="R31">
    <cfRule type="cellIs" dxfId="5489" priority="2203" operator="lessThan">
      <formula>0.8</formula>
    </cfRule>
    <cfRule type="cellIs" dxfId="5488" priority="2204" operator="greaterThan">
      <formula>1</formula>
    </cfRule>
  </conditionalFormatting>
  <conditionalFormatting sqref="R31">
    <cfRule type="cellIs" dxfId="5487" priority="2201" operator="greaterThan">
      <formula>1</formula>
    </cfRule>
    <cfRule type="cellIs" dxfId="5486" priority="2202" operator="lessThan">
      <formula>0.8</formula>
    </cfRule>
  </conditionalFormatting>
  <conditionalFormatting sqref="P31:P40">
    <cfRule type="cellIs" dxfId="5485" priority="2200" operator="greaterThan">
      <formula>0</formula>
    </cfRule>
  </conditionalFormatting>
  <conditionalFormatting sqref="Q31">
    <cfRule type="cellIs" dxfId="5484" priority="2205" operator="lessThan">
      <formula>0</formula>
    </cfRule>
  </conditionalFormatting>
  <conditionalFormatting sqref="R31">
    <cfRule type="cellIs" dxfId="5483" priority="2197" operator="lessThan">
      <formula>0.8</formula>
    </cfRule>
    <cfRule type="cellIs" dxfId="5482" priority="2198" operator="greaterThan">
      <formula>1</formula>
    </cfRule>
  </conditionalFormatting>
  <conditionalFormatting sqref="R31">
    <cfRule type="cellIs" dxfId="5481" priority="2195" operator="greaterThan">
      <formula>1</formula>
    </cfRule>
    <cfRule type="cellIs" dxfId="5480" priority="2196" operator="lessThan">
      <formula>0.8</formula>
    </cfRule>
  </conditionalFormatting>
  <conditionalFormatting sqref="P31:P40">
    <cfRule type="cellIs" dxfId="5479" priority="2194" operator="greaterThan">
      <formula>0</formula>
    </cfRule>
  </conditionalFormatting>
  <conditionalFormatting sqref="Q31">
    <cfRule type="cellIs" dxfId="5478" priority="2199" operator="lessThan">
      <formula>0</formula>
    </cfRule>
  </conditionalFormatting>
  <conditionalFormatting sqref="Q31">
    <cfRule type="cellIs" dxfId="5477" priority="2193" operator="lessThan">
      <formula>0</formula>
    </cfRule>
  </conditionalFormatting>
  <conditionalFormatting sqref="R31">
    <cfRule type="cellIs" dxfId="5476" priority="2191" operator="lessThan">
      <formula>0.8</formula>
    </cfRule>
    <cfRule type="cellIs" dxfId="5475" priority="2192" operator="greaterThan">
      <formula>1</formula>
    </cfRule>
  </conditionalFormatting>
  <conditionalFormatting sqref="R31">
    <cfRule type="cellIs" dxfId="5474" priority="2189" operator="greaterThan">
      <formula>1</formula>
    </cfRule>
    <cfRule type="cellIs" dxfId="5473" priority="2190" operator="lessThan">
      <formula>0.8</formula>
    </cfRule>
  </conditionalFormatting>
  <conditionalFormatting sqref="P31:P40">
    <cfRule type="cellIs" dxfId="5472" priority="2188" operator="greaterThan">
      <formula>0</formula>
    </cfRule>
  </conditionalFormatting>
  <conditionalFormatting sqref="Q31">
    <cfRule type="cellIs" dxfId="5471" priority="2182" operator="lessThan">
      <formula>0</formula>
    </cfRule>
  </conditionalFormatting>
  <conditionalFormatting sqref="R31">
    <cfRule type="cellIs" dxfId="5470" priority="2186" operator="lessThan">
      <formula>0.8</formula>
    </cfRule>
    <cfRule type="cellIs" dxfId="5469" priority="2187" operator="greaterThan">
      <formula>1</formula>
    </cfRule>
  </conditionalFormatting>
  <conditionalFormatting sqref="R31">
    <cfRule type="cellIs" dxfId="5468" priority="2184" operator="greaterThan">
      <formula>1</formula>
    </cfRule>
    <cfRule type="cellIs" dxfId="5467" priority="2185" operator="lessThan">
      <formula>0.8</formula>
    </cfRule>
  </conditionalFormatting>
  <conditionalFormatting sqref="P31:P40">
    <cfRule type="cellIs" dxfId="5466" priority="2183" operator="greaterThan">
      <formula>0</formula>
    </cfRule>
  </conditionalFormatting>
  <conditionalFormatting sqref="Q31">
    <cfRule type="cellIs" dxfId="5465" priority="2181" operator="lessThan">
      <formula>0</formula>
    </cfRule>
  </conditionalFormatting>
  <conditionalFormatting sqref="R31">
    <cfRule type="cellIs" dxfId="5464" priority="2179" operator="lessThan">
      <formula>0.8</formula>
    </cfRule>
    <cfRule type="cellIs" dxfId="5463" priority="2180" operator="greaterThan">
      <formula>1</formula>
    </cfRule>
  </conditionalFormatting>
  <conditionalFormatting sqref="R31">
    <cfRule type="cellIs" dxfId="5462" priority="2177" operator="greaterThan">
      <formula>1</formula>
    </cfRule>
    <cfRule type="cellIs" dxfId="5461" priority="2178" operator="lessThan">
      <formula>0.8</formula>
    </cfRule>
  </conditionalFormatting>
  <conditionalFormatting sqref="P31:P40">
    <cfRule type="cellIs" dxfId="5460" priority="2176" operator="greaterThan">
      <formula>0</formula>
    </cfRule>
  </conditionalFormatting>
  <conditionalFormatting sqref="Q31">
    <cfRule type="cellIs" dxfId="5459" priority="2175" operator="lessThan">
      <formula>0</formula>
    </cfRule>
  </conditionalFormatting>
  <conditionalFormatting sqref="R31">
    <cfRule type="cellIs" dxfId="5458" priority="2173" operator="lessThan">
      <formula>0.8</formula>
    </cfRule>
    <cfRule type="cellIs" dxfId="5457" priority="2174" operator="greaterThan">
      <formula>1</formula>
    </cfRule>
  </conditionalFormatting>
  <conditionalFormatting sqref="R31">
    <cfRule type="cellIs" dxfId="5456" priority="2171" operator="greaterThan">
      <formula>1</formula>
    </cfRule>
    <cfRule type="cellIs" dxfId="5455" priority="2172" operator="lessThan">
      <formula>0.8</formula>
    </cfRule>
  </conditionalFormatting>
  <conditionalFormatting sqref="P31:P40">
    <cfRule type="cellIs" dxfId="5454" priority="2170" operator="greaterThan">
      <formula>0</formula>
    </cfRule>
  </conditionalFormatting>
  <conditionalFormatting sqref="Q31">
    <cfRule type="cellIs" dxfId="5453" priority="2169" operator="lessThan">
      <formula>0</formula>
    </cfRule>
  </conditionalFormatting>
  <conditionalFormatting sqref="R31">
    <cfRule type="cellIs" dxfId="5452" priority="2167" operator="lessThan">
      <formula>0.8</formula>
    </cfRule>
    <cfRule type="cellIs" dxfId="5451" priority="2168" operator="greaterThan">
      <formula>1</formula>
    </cfRule>
  </conditionalFormatting>
  <conditionalFormatting sqref="R31">
    <cfRule type="cellIs" dxfId="5450" priority="2165" operator="greaterThan">
      <formula>1</formula>
    </cfRule>
    <cfRule type="cellIs" dxfId="5449" priority="2166" operator="lessThan">
      <formula>0.8</formula>
    </cfRule>
  </conditionalFormatting>
  <conditionalFormatting sqref="P31:P40">
    <cfRule type="cellIs" dxfId="5448" priority="2164" operator="greaterThan">
      <formula>0</formula>
    </cfRule>
  </conditionalFormatting>
  <conditionalFormatting sqref="Q31">
    <cfRule type="cellIs" dxfId="5447" priority="2163" operator="lessThan">
      <formula>0</formula>
    </cfRule>
  </conditionalFormatting>
  <conditionalFormatting sqref="R31">
    <cfRule type="cellIs" dxfId="5446" priority="2161" operator="lessThan">
      <formula>0.8</formula>
    </cfRule>
    <cfRule type="cellIs" dxfId="5445" priority="2162" operator="greaterThan">
      <formula>1</formula>
    </cfRule>
  </conditionalFormatting>
  <conditionalFormatting sqref="R31">
    <cfRule type="cellIs" dxfId="5444" priority="2159" operator="greaterThan">
      <formula>1</formula>
    </cfRule>
    <cfRule type="cellIs" dxfId="5443" priority="2160" operator="lessThan">
      <formula>0.8</formula>
    </cfRule>
  </conditionalFormatting>
  <conditionalFormatting sqref="P31:P40">
    <cfRule type="cellIs" dxfId="5442" priority="2158" operator="greaterThan">
      <formula>0</formula>
    </cfRule>
  </conditionalFormatting>
  <conditionalFormatting sqref="Q31">
    <cfRule type="cellIs" dxfId="5441" priority="2157" operator="lessThan">
      <formula>0</formula>
    </cfRule>
  </conditionalFormatting>
  <conditionalFormatting sqref="R31">
    <cfRule type="cellIs" dxfId="5440" priority="2155" operator="lessThan">
      <formula>0.8</formula>
    </cfRule>
    <cfRule type="cellIs" dxfId="5439" priority="2156" operator="greaterThan">
      <formula>1</formula>
    </cfRule>
  </conditionalFormatting>
  <conditionalFormatting sqref="R31">
    <cfRule type="cellIs" dxfId="5438" priority="2153" operator="greaterThan">
      <formula>1</formula>
    </cfRule>
    <cfRule type="cellIs" dxfId="5437" priority="2154" operator="lessThan">
      <formula>0.8</formula>
    </cfRule>
  </conditionalFormatting>
  <conditionalFormatting sqref="P31:P40">
    <cfRule type="cellIs" dxfId="5436" priority="2152" operator="greaterThan">
      <formula>0</formula>
    </cfRule>
  </conditionalFormatting>
  <conditionalFormatting sqref="P31:P40">
    <cfRule type="cellIs" dxfId="5435" priority="2146" operator="greaterThan">
      <formula>0</formula>
    </cfRule>
  </conditionalFormatting>
  <conditionalFormatting sqref="Q31">
    <cfRule type="cellIs" dxfId="5434" priority="2151" operator="lessThan">
      <formula>0</formula>
    </cfRule>
  </conditionalFormatting>
  <conditionalFormatting sqref="R31">
    <cfRule type="cellIs" dxfId="5433" priority="2149" operator="lessThan">
      <formula>0.8</formula>
    </cfRule>
    <cfRule type="cellIs" dxfId="5432" priority="2150" operator="greaterThan">
      <formula>1</formula>
    </cfRule>
  </conditionalFormatting>
  <conditionalFormatting sqref="R31">
    <cfRule type="cellIs" dxfId="5431" priority="2147" operator="greaterThan">
      <formula>1</formula>
    </cfRule>
    <cfRule type="cellIs" dxfId="5430" priority="2148" operator="lessThan">
      <formula>0.8</formula>
    </cfRule>
  </conditionalFormatting>
  <conditionalFormatting sqref="P31:P40">
    <cfRule type="cellIs" dxfId="5429" priority="2140" operator="greaterThan">
      <formula>0</formula>
    </cfRule>
  </conditionalFormatting>
  <conditionalFormatting sqref="Q31">
    <cfRule type="cellIs" dxfId="5428" priority="2145" operator="lessThan">
      <formula>0</formula>
    </cfRule>
  </conditionalFormatting>
  <conditionalFormatting sqref="R31">
    <cfRule type="cellIs" dxfId="5427" priority="2143" operator="lessThan">
      <formula>0.8</formula>
    </cfRule>
    <cfRule type="cellIs" dxfId="5426" priority="2144" operator="greaterThan">
      <formula>1</formula>
    </cfRule>
  </conditionalFormatting>
  <conditionalFormatting sqref="R31">
    <cfRule type="cellIs" dxfId="5425" priority="2141" operator="greaterThan">
      <formula>1</formula>
    </cfRule>
    <cfRule type="cellIs" dxfId="5424" priority="2142" operator="lessThan">
      <formula>0.8</formula>
    </cfRule>
  </conditionalFormatting>
  <conditionalFormatting sqref="R31">
    <cfRule type="cellIs" dxfId="5423" priority="2137" operator="lessThan">
      <formula>0.8</formula>
    </cfRule>
    <cfRule type="cellIs" dxfId="5422" priority="2138" operator="greaterThan">
      <formula>1</formula>
    </cfRule>
  </conditionalFormatting>
  <conditionalFormatting sqref="R31">
    <cfRule type="cellIs" dxfId="5421" priority="2135" operator="greaterThan">
      <formula>1</formula>
    </cfRule>
    <cfRule type="cellIs" dxfId="5420" priority="2136" operator="lessThan">
      <formula>0.8</formula>
    </cfRule>
  </conditionalFormatting>
  <conditionalFormatting sqref="P31:P40">
    <cfRule type="cellIs" dxfId="5419" priority="2134" operator="greaterThan">
      <formula>0</formula>
    </cfRule>
  </conditionalFormatting>
  <conditionalFormatting sqref="Q31">
    <cfRule type="cellIs" dxfId="5418" priority="2139" operator="lessThan">
      <formula>0</formula>
    </cfRule>
  </conditionalFormatting>
  <conditionalFormatting sqref="P79">
    <cfRule type="cellIs" dxfId="5417" priority="2128" operator="greaterThan">
      <formula>0</formula>
    </cfRule>
  </conditionalFormatting>
  <conditionalFormatting sqref="Q79">
    <cfRule type="cellIs" dxfId="5416" priority="2133" operator="lessThan">
      <formula>0</formula>
    </cfRule>
  </conditionalFormatting>
  <conditionalFormatting sqref="R79">
    <cfRule type="cellIs" dxfId="5415" priority="2131" operator="lessThan">
      <formula>0.8</formula>
    </cfRule>
    <cfRule type="cellIs" dxfId="5414" priority="2132" operator="greaterThan">
      <formula>1</formula>
    </cfRule>
  </conditionalFormatting>
  <conditionalFormatting sqref="R79">
    <cfRule type="cellIs" dxfId="5413" priority="2129" operator="greaterThan">
      <formula>1</formula>
    </cfRule>
    <cfRule type="cellIs" dxfId="5412" priority="2130" operator="lessThan">
      <formula>0.8</formula>
    </cfRule>
  </conditionalFormatting>
  <conditionalFormatting sqref="Q79">
    <cfRule type="cellIs" dxfId="5411" priority="2127" operator="lessThan">
      <formula>0</formula>
    </cfRule>
  </conditionalFormatting>
  <conditionalFormatting sqref="R79">
    <cfRule type="cellIs" dxfId="5410" priority="2125" operator="lessThan">
      <formula>0.8</formula>
    </cfRule>
    <cfRule type="cellIs" dxfId="5409" priority="2126" operator="greaterThan">
      <formula>1</formula>
    </cfRule>
  </conditionalFormatting>
  <conditionalFormatting sqref="R79">
    <cfRule type="cellIs" dxfId="5408" priority="2123" operator="greaterThan">
      <formula>1</formula>
    </cfRule>
    <cfRule type="cellIs" dxfId="5407" priority="2124" operator="lessThan">
      <formula>0.8</formula>
    </cfRule>
  </conditionalFormatting>
  <conditionalFormatting sqref="P79">
    <cfRule type="cellIs" dxfId="5406" priority="2122" operator="greaterThan">
      <formula>0</formula>
    </cfRule>
  </conditionalFormatting>
  <conditionalFormatting sqref="P79">
    <cfRule type="cellIs" dxfId="5405" priority="2116" operator="greaterThan">
      <formula>0</formula>
    </cfRule>
  </conditionalFormatting>
  <conditionalFormatting sqref="Q79">
    <cfRule type="cellIs" dxfId="5404" priority="2121" operator="lessThan">
      <formula>0</formula>
    </cfRule>
  </conditionalFormatting>
  <conditionalFormatting sqref="R79">
    <cfRule type="cellIs" dxfId="5403" priority="2119" operator="lessThan">
      <formula>0.8</formula>
    </cfRule>
    <cfRule type="cellIs" dxfId="5402" priority="2120" operator="greaterThan">
      <formula>1</formula>
    </cfRule>
  </conditionalFormatting>
  <conditionalFormatting sqref="R79">
    <cfRule type="cellIs" dxfId="5401" priority="2117" operator="greaterThan">
      <formula>1</formula>
    </cfRule>
    <cfRule type="cellIs" dxfId="5400" priority="2118" operator="lessThan">
      <formula>0.8</formula>
    </cfRule>
  </conditionalFormatting>
  <conditionalFormatting sqref="Q79">
    <cfRule type="cellIs" dxfId="5399" priority="2110" operator="lessThan">
      <formula>0</formula>
    </cfRule>
  </conditionalFormatting>
  <conditionalFormatting sqref="P79">
    <cfRule type="cellIs" dxfId="5398" priority="2111" operator="greaterThan">
      <formula>0</formula>
    </cfRule>
  </conditionalFormatting>
  <conditionalFormatting sqref="R79">
    <cfRule type="cellIs" dxfId="5397" priority="2114" operator="lessThan">
      <formula>0.8</formula>
    </cfRule>
    <cfRule type="cellIs" dxfId="5396" priority="2115" operator="greaterThan">
      <formula>1</formula>
    </cfRule>
  </conditionalFormatting>
  <conditionalFormatting sqref="R79">
    <cfRule type="cellIs" dxfId="5395" priority="2112" operator="greaterThan">
      <formula>1</formula>
    </cfRule>
    <cfRule type="cellIs" dxfId="5394" priority="2113" operator="lessThan">
      <formula>0.8</formula>
    </cfRule>
  </conditionalFormatting>
  <conditionalFormatting sqref="Q79">
    <cfRule type="cellIs" dxfId="5393" priority="2104" operator="lessThan">
      <formula>0</formula>
    </cfRule>
  </conditionalFormatting>
  <conditionalFormatting sqref="R79">
    <cfRule type="cellIs" dxfId="5392" priority="2108" operator="lessThan">
      <formula>0.8</formula>
    </cfRule>
    <cfRule type="cellIs" dxfId="5391" priority="2109" operator="greaterThan">
      <formula>1</formula>
    </cfRule>
  </conditionalFormatting>
  <conditionalFormatting sqref="R79">
    <cfRule type="cellIs" dxfId="5390" priority="2106" operator="greaterThan">
      <formula>1</formula>
    </cfRule>
    <cfRule type="cellIs" dxfId="5389" priority="2107" operator="lessThan">
      <formula>0.8</formula>
    </cfRule>
  </conditionalFormatting>
  <conditionalFormatting sqref="P79">
    <cfRule type="cellIs" dxfId="5388" priority="2105" operator="greaterThan">
      <formula>0</formula>
    </cfRule>
  </conditionalFormatting>
  <conditionalFormatting sqref="Q79">
    <cfRule type="cellIs" dxfId="5387" priority="2103" operator="lessThan">
      <formula>0</formula>
    </cfRule>
  </conditionalFormatting>
  <conditionalFormatting sqref="R79">
    <cfRule type="cellIs" dxfId="5386" priority="2101" operator="lessThan">
      <formula>0.8</formula>
    </cfRule>
    <cfRule type="cellIs" dxfId="5385" priority="2102" operator="greaterThan">
      <formula>1</formula>
    </cfRule>
  </conditionalFormatting>
  <conditionalFormatting sqref="R79">
    <cfRule type="cellIs" dxfId="5384" priority="2099" operator="greaterThan">
      <formula>1</formula>
    </cfRule>
    <cfRule type="cellIs" dxfId="5383" priority="2100" operator="lessThan">
      <formula>0.8</formula>
    </cfRule>
  </conditionalFormatting>
  <conditionalFormatting sqref="P79">
    <cfRule type="cellIs" dxfId="5382" priority="2098" operator="greaterThan">
      <formula>0</formula>
    </cfRule>
  </conditionalFormatting>
  <conditionalFormatting sqref="Q79">
    <cfRule type="cellIs" dxfId="5381" priority="2097" operator="lessThan">
      <formula>0</formula>
    </cfRule>
  </conditionalFormatting>
  <conditionalFormatting sqref="R79">
    <cfRule type="cellIs" dxfId="5380" priority="2095" operator="lessThan">
      <formula>0.8</formula>
    </cfRule>
    <cfRule type="cellIs" dxfId="5379" priority="2096" operator="greaterThan">
      <formula>1</formula>
    </cfRule>
  </conditionalFormatting>
  <conditionalFormatting sqref="R79">
    <cfRule type="cellIs" dxfId="5378" priority="2093" operator="greaterThan">
      <formula>1</formula>
    </cfRule>
    <cfRule type="cellIs" dxfId="5377" priority="2094" operator="lessThan">
      <formula>0.8</formula>
    </cfRule>
  </conditionalFormatting>
  <conditionalFormatting sqref="P79">
    <cfRule type="cellIs" dxfId="5376" priority="2092" operator="greaterThan">
      <formula>0</formula>
    </cfRule>
  </conditionalFormatting>
  <conditionalFormatting sqref="P79">
    <cfRule type="cellIs" dxfId="5375" priority="2086" operator="greaterThan">
      <formula>0</formula>
    </cfRule>
  </conditionalFormatting>
  <conditionalFormatting sqref="Q79">
    <cfRule type="cellIs" dxfId="5374" priority="2091" operator="lessThan">
      <formula>0</formula>
    </cfRule>
  </conditionalFormatting>
  <conditionalFormatting sqref="R79">
    <cfRule type="cellIs" dxfId="5373" priority="2089" operator="lessThan">
      <formula>0.8</formula>
    </cfRule>
    <cfRule type="cellIs" dxfId="5372" priority="2090" operator="greaterThan">
      <formula>1</formula>
    </cfRule>
  </conditionalFormatting>
  <conditionalFormatting sqref="R79">
    <cfRule type="cellIs" dxfId="5371" priority="2087" operator="greaterThan">
      <formula>1</formula>
    </cfRule>
    <cfRule type="cellIs" dxfId="5370" priority="2088" operator="lessThan">
      <formula>0.8</formula>
    </cfRule>
  </conditionalFormatting>
  <conditionalFormatting sqref="P71:P78">
    <cfRule type="cellIs" dxfId="5369" priority="2080" operator="greaterThan">
      <formula>0</formula>
    </cfRule>
  </conditionalFormatting>
  <conditionalFormatting sqref="Q71:Q78">
    <cfRule type="cellIs" dxfId="5368" priority="2085" operator="lessThan">
      <formula>0</formula>
    </cfRule>
  </conditionalFormatting>
  <conditionalFormatting sqref="R71:R78">
    <cfRule type="cellIs" dxfId="5367" priority="2083" operator="lessThan">
      <formula>0.8</formula>
    </cfRule>
    <cfRule type="cellIs" dxfId="5366" priority="2084" operator="greaterThan">
      <formula>1</formula>
    </cfRule>
  </conditionalFormatting>
  <conditionalFormatting sqref="R71:R78">
    <cfRule type="cellIs" dxfId="5365" priority="2081" operator="greaterThan">
      <formula>1</formula>
    </cfRule>
    <cfRule type="cellIs" dxfId="5364" priority="2082" operator="lessThan">
      <formula>0.8</formula>
    </cfRule>
  </conditionalFormatting>
  <conditionalFormatting sqref="Q148:Q156">
    <cfRule type="cellIs" dxfId="5363" priority="2079" operator="lessThan">
      <formula>0</formula>
    </cfRule>
  </conditionalFormatting>
  <conditionalFormatting sqref="R148:R156">
    <cfRule type="cellIs" dxfId="5362" priority="2077" operator="lessThan">
      <formula>0.8</formula>
    </cfRule>
    <cfRule type="cellIs" dxfId="5361" priority="2078" operator="greaterThan">
      <formula>1</formula>
    </cfRule>
  </conditionalFormatting>
  <conditionalFormatting sqref="R148:R156">
    <cfRule type="cellIs" dxfId="5360" priority="2075" operator="greaterThan">
      <formula>1</formula>
    </cfRule>
    <cfRule type="cellIs" dxfId="5359" priority="2076" operator="lessThan">
      <formula>0.8</formula>
    </cfRule>
  </conditionalFormatting>
  <conditionalFormatting sqref="P148:P156">
    <cfRule type="cellIs" dxfId="5358" priority="2074" operator="greaterThan">
      <formula>0</formula>
    </cfRule>
  </conditionalFormatting>
  <conditionalFormatting sqref="Q148:Q156">
    <cfRule type="cellIs" dxfId="5357" priority="2073" operator="lessThan">
      <formula>0</formula>
    </cfRule>
  </conditionalFormatting>
  <conditionalFormatting sqref="R148:R156">
    <cfRule type="cellIs" dxfId="5356" priority="2071" operator="lessThan">
      <formula>0.8</formula>
    </cfRule>
    <cfRule type="cellIs" dxfId="5355" priority="2072" operator="greaterThan">
      <formula>1</formula>
    </cfRule>
  </conditionalFormatting>
  <conditionalFormatting sqref="R148:R156">
    <cfRule type="cellIs" dxfId="5354" priority="2069" operator="greaterThan">
      <formula>1</formula>
    </cfRule>
    <cfRule type="cellIs" dxfId="5353" priority="2070" operator="lessThan">
      <formula>0.8</formula>
    </cfRule>
  </conditionalFormatting>
  <conditionalFormatting sqref="P148:P156">
    <cfRule type="cellIs" dxfId="5352" priority="2068" operator="greaterThan">
      <formula>0</formula>
    </cfRule>
  </conditionalFormatting>
  <conditionalFormatting sqref="Q148:Q156">
    <cfRule type="cellIs" dxfId="5351" priority="2067" operator="lessThan">
      <formula>0</formula>
    </cfRule>
  </conditionalFormatting>
  <conditionalFormatting sqref="R148:R156">
    <cfRule type="cellIs" dxfId="5350" priority="2065" operator="lessThan">
      <formula>0.8</formula>
    </cfRule>
    <cfRule type="cellIs" dxfId="5349" priority="2066" operator="greaterThan">
      <formula>1</formula>
    </cfRule>
  </conditionalFormatting>
  <conditionalFormatting sqref="R148:R156">
    <cfRule type="cellIs" dxfId="5348" priority="2063" operator="greaterThan">
      <formula>1</formula>
    </cfRule>
    <cfRule type="cellIs" dxfId="5347" priority="2064" operator="lessThan">
      <formula>0.8</formula>
    </cfRule>
  </conditionalFormatting>
  <conditionalFormatting sqref="P148:P156">
    <cfRule type="cellIs" dxfId="5346" priority="2062" operator="greaterThan">
      <formula>0</formula>
    </cfRule>
  </conditionalFormatting>
  <conditionalFormatting sqref="Q148:Q156">
    <cfRule type="cellIs" dxfId="5345" priority="2061" operator="lessThan">
      <formula>0</formula>
    </cfRule>
  </conditionalFormatting>
  <conditionalFormatting sqref="R148:R156">
    <cfRule type="cellIs" dxfId="5344" priority="2059" operator="lessThan">
      <formula>0.8</formula>
    </cfRule>
    <cfRule type="cellIs" dxfId="5343" priority="2060" operator="greaterThan">
      <formula>1</formula>
    </cfRule>
  </conditionalFormatting>
  <conditionalFormatting sqref="R148:R156">
    <cfRule type="cellIs" dxfId="5342" priority="2057" operator="greaterThan">
      <formula>1</formula>
    </cfRule>
    <cfRule type="cellIs" dxfId="5341" priority="2058" operator="lessThan">
      <formula>0.8</formula>
    </cfRule>
  </conditionalFormatting>
  <conditionalFormatting sqref="P148:P156">
    <cfRule type="cellIs" dxfId="5340" priority="2056" operator="greaterThan">
      <formula>0</formula>
    </cfRule>
  </conditionalFormatting>
  <conditionalFormatting sqref="P148:P156">
    <cfRule type="cellIs" dxfId="5339" priority="2050" operator="greaterThan">
      <formula>0</formula>
    </cfRule>
  </conditionalFormatting>
  <conditionalFormatting sqref="Q148:Q156">
    <cfRule type="cellIs" dxfId="5338" priority="2055" operator="lessThan">
      <formula>0</formula>
    </cfRule>
  </conditionalFormatting>
  <conditionalFormatting sqref="R148:R156">
    <cfRule type="cellIs" dxfId="5337" priority="2053" operator="lessThan">
      <formula>0.8</formula>
    </cfRule>
    <cfRule type="cellIs" dxfId="5336" priority="2054" operator="greaterThan">
      <formula>1</formula>
    </cfRule>
  </conditionalFormatting>
  <conditionalFormatting sqref="R148:R156">
    <cfRule type="cellIs" dxfId="5335" priority="2051" operator="greaterThan">
      <formula>1</formula>
    </cfRule>
    <cfRule type="cellIs" dxfId="5334" priority="2052" operator="lessThan">
      <formula>0.8</formula>
    </cfRule>
  </conditionalFormatting>
  <conditionalFormatting sqref="P148:P156">
    <cfRule type="cellIs" dxfId="5333" priority="2044" operator="greaterThan">
      <formula>0</formula>
    </cfRule>
  </conditionalFormatting>
  <conditionalFormatting sqref="Q148:Q156">
    <cfRule type="cellIs" dxfId="5332" priority="2049" operator="lessThan">
      <formula>0</formula>
    </cfRule>
  </conditionalFormatting>
  <conditionalFormatting sqref="R148:R156">
    <cfRule type="cellIs" dxfId="5331" priority="2047" operator="lessThan">
      <formula>0.8</formula>
    </cfRule>
    <cfRule type="cellIs" dxfId="5330" priority="2048" operator="greaterThan">
      <formula>1</formula>
    </cfRule>
  </conditionalFormatting>
  <conditionalFormatting sqref="R148:R156">
    <cfRule type="cellIs" dxfId="5329" priority="2045" operator="greaterThan">
      <formula>1</formula>
    </cfRule>
    <cfRule type="cellIs" dxfId="5328" priority="2046" operator="lessThan">
      <formula>0.8</formula>
    </cfRule>
  </conditionalFormatting>
  <conditionalFormatting sqref="R148:R156">
    <cfRule type="cellIs" dxfId="5327" priority="2041" operator="lessThan">
      <formula>0.8</formula>
    </cfRule>
    <cfRule type="cellIs" dxfId="5326" priority="2042" operator="greaterThan">
      <formula>1</formula>
    </cfRule>
  </conditionalFormatting>
  <conditionalFormatting sqref="R148:R156">
    <cfRule type="cellIs" dxfId="5325" priority="2039" operator="greaterThan">
      <formula>1</formula>
    </cfRule>
    <cfRule type="cellIs" dxfId="5324" priority="2040" operator="lessThan">
      <formula>0.8</formula>
    </cfRule>
  </conditionalFormatting>
  <conditionalFormatting sqref="P148:P156">
    <cfRule type="cellIs" dxfId="5323" priority="2038" operator="greaterThan">
      <formula>0</formula>
    </cfRule>
  </conditionalFormatting>
  <conditionalFormatting sqref="Q148:Q156">
    <cfRule type="cellIs" dxfId="5322" priority="2043" operator="lessThan">
      <formula>0</formula>
    </cfRule>
  </conditionalFormatting>
  <conditionalFormatting sqref="Q148:Q156">
    <cfRule type="cellIs" dxfId="5321" priority="2037" operator="lessThan">
      <formula>0</formula>
    </cfRule>
  </conditionalFormatting>
  <conditionalFormatting sqref="R148:R156">
    <cfRule type="cellIs" dxfId="5320" priority="2035" operator="lessThan">
      <formula>0.8</formula>
    </cfRule>
    <cfRule type="cellIs" dxfId="5319" priority="2036" operator="greaterThan">
      <formula>1</formula>
    </cfRule>
  </conditionalFormatting>
  <conditionalFormatting sqref="R148:R156">
    <cfRule type="cellIs" dxfId="5318" priority="2033" operator="greaterThan">
      <formula>1</formula>
    </cfRule>
    <cfRule type="cellIs" dxfId="5317" priority="2034" operator="lessThan">
      <formula>0.8</formula>
    </cfRule>
  </conditionalFormatting>
  <conditionalFormatting sqref="P148:P156">
    <cfRule type="cellIs" dxfId="5316" priority="2032" operator="greaterThan">
      <formula>0</formula>
    </cfRule>
  </conditionalFormatting>
  <conditionalFormatting sqref="P148:P156">
    <cfRule type="cellIs" dxfId="5315" priority="2026" operator="greaterThan">
      <formula>0</formula>
    </cfRule>
  </conditionalFormatting>
  <conditionalFormatting sqref="Q148:Q156">
    <cfRule type="cellIs" dxfId="5314" priority="2031" operator="lessThan">
      <formula>0</formula>
    </cfRule>
  </conditionalFormatting>
  <conditionalFormatting sqref="R148:R156">
    <cfRule type="cellIs" dxfId="5313" priority="2029" operator="lessThan">
      <formula>0.8</formula>
    </cfRule>
    <cfRule type="cellIs" dxfId="5312" priority="2030" operator="greaterThan">
      <formula>1</formula>
    </cfRule>
  </conditionalFormatting>
  <conditionalFormatting sqref="R148:R156">
    <cfRule type="cellIs" dxfId="5311" priority="2027" operator="greaterThan">
      <formula>1</formula>
    </cfRule>
    <cfRule type="cellIs" dxfId="5310" priority="2028" operator="lessThan">
      <formula>0.8</formula>
    </cfRule>
  </conditionalFormatting>
  <conditionalFormatting sqref="P148:P156">
    <cfRule type="cellIs" dxfId="5309" priority="2020" operator="greaterThan">
      <formula>0</formula>
    </cfRule>
  </conditionalFormatting>
  <conditionalFormatting sqref="Q148:Q156">
    <cfRule type="cellIs" dxfId="5308" priority="2025" operator="lessThan">
      <formula>0</formula>
    </cfRule>
  </conditionalFormatting>
  <conditionalFormatting sqref="R148:R156">
    <cfRule type="cellIs" dxfId="5307" priority="2023" operator="lessThan">
      <formula>0.8</formula>
    </cfRule>
    <cfRule type="cellIs" dxfId="5306" priority="2024" operator="greaterThan">
      <formula>1</formula>
    </cfRule>
  </conditionalFormatting>
  <conditionalFormatting sqref="R148:R156">
    <cfRule type="cellIs" dxfId="5305" priority="2021" operator="greaterThan">
      <formula>1</formula>
    </cfRule>
    <cfRule type="cellIs" dxfId="5304" priority="2022" operator="lessThan">
      <formula>0.8</formula>
    </cfRule>
  </conditionalFormatting>
  <conditionalFormatting sqref="R148:R156">
    <cfRule type="cellIs" dxfId="5303" priority="2017" operator="lessThan">
      <formula>0.8</formula>
    </cfRule>
    <cfRule type="cellIs" dxfId="5302" priority="2018" operator="greaterThan">
      <formula>1</formula>
    </cfRule>
  </conditionalFormatting>
  <conditionalFormatting sqref="R148:R156">
    <cfRule type="cellIs" dxfId="5301" priority="2015" operator="greaterThan">
      <formula>1</formula>
    </cfRule>
    <cfRule type="cellIs" dxfId="5300" priority="2016" operator="lessThan">
      <formula>0.8</formula>
    </cfRule>
  </conditionalFormatting>
  <conditionalFormatting sqref="P148:P156">
    <cfRule type="cellIs" dxfId="5299" priority="2014" operator="greaterThan">
      <formula>0</formula>
    </cfRule>
  </conditionalFormatting>
  <conditionalFormatting sqref="Q148:Q156">
    <cfRule type="cellIs" dxfId="5298" priority="2019" operator="lessThan">
      <formula>0</formula>
    </cfRule>
  </conditionalFormatting>
  <conditionalFormatting sqref="P148:P156">
    <cfRule type="cellIs" dxfId="5297" priority="2008" operator="greaterThan">
      <formula>0</formula>
    </cfRule>
  </conditionalFormatting>
  <conditionalFormatting sqref="Q148:Q156">
    <cfRule type="cellIs" dxfId="5296" priority="2013" operator="lessThan">
      <formula>0</formula>
    </cfRule>
  </conditionalFormatting>
  <conditionalFormatting sqref="R148:R156">
    <cfRule type="cellIs" dxfId="5295" priority="2011" operator="lessThan">
      <formula>0.8</formula>
    </cfRule>
    <cfRule type="cellIs" dxfId="5294" priority="2012" operator="greaterThan">
      <formula>1</formula>
    </cfRule>
  </conditionalFormatting>
  <conditionalFormatting sqref="R148:R156">
    <cfRule type="cellIs" dxfId="5293" priority="2009" operator="greaterThan">
      <formula>1</formula>
    </cfRule>
    <cfRule type="cellIs" dxfId="5292" priority="2010" operator="lessThan">
      <formula>0.8</formula>
    </cfRule>
  </conditionalFormatting>
  <conditionalFormatting sqref="R148:R156">
    <cfRule type="cellIs" dxfId="5291" priority="2005" operator="lessThan">
      <formula>0.8</formula>
    </cfRule>
    <cfRule type="cellIs" dxfId="5290" priority="2006" operator="greaterThan">
      <formula>1</formula>
    </cfRule>
  </conditionalFormatting>
  <conditionalFormatting sqref="R148:R156">
    <cfRule type="cellIs" dxfId="5289" priority="2003" operator="greaterThan">
      <formula>1</formula>
    </cfRule>
    <cfRule type="cellIs" dxfId="5288" priority="2004" operator="lessThan">
      <formula>0.8</formula>
    </cfRule>
  </conditionalFormatting>
  <conditionalFormatting sqref="P148:P156">
    <cfRule type="cellIs" dxfId="5287" priority="2002" operator="greaterThan">
      <formula>0</formula>
    </cfRule>
  </conditionalFormatting>
  <conditionalFormatting sqref="Q148:Q156">
    <cfRule type="cellIs" dxfId="5286" priority="2007" operator="lessThan">
      <formula>0</formula>
    </cfRule>
  </conditionalFormatting>
  <conditionalFormatting sqref="R148:R156">
    <cfRule type="cellIs" dxfId="5285" priority="1999" operator="lessThan">
      <formula>0.8</formula>
    </cfRule>
    <cfRule type="cellIs" dxfId="5284" priority="2000" operator="greaterThan">
      <formula>1</formula>
    </cfRule>
  </conditionalFormatting>
  <conditionalFormatting sqref="R148:R156">
    <cfRule type="cellIs" dxfId="5283" priority="1997" operator="greaterThan">
      <formula>1</formula>
    </cfRule>
    <cfRule type="cellIs" dxfId="5282" priority="1998" operator="lessThan">
      <formula>0.8</formula>
    </cfRule>
  </conditionalFormatting>
  <conditionalFormatting sqref="P148:P156">
    <cfRule type="cellIs" dxfId="5281" priority="1996" operator="greaterThan">
      <formula>0</formula>
    </cfRule>
  </conditionalFormatting>
  <conditionalFormatting sqref="Q148:Q156">
    <cfRule type="cellIs" dxfId="5280" priority="2001" operator="lessThan">
      <formula>0</formula>
    </cfRule>
  </conditionalFormatting>
  <conditionalFormatting sqref="Q148:Q156">
    <cfRule type="cellIs" dxfId="5279" priority="1995" operator="lessThan">
      <formula>0</formula>
    </cfRule>
  </conditionalFormatting>
  <conditionalFormatting sqref="R148:R156">
    <cfRule type="cellIs" dxfId="5278" priority="1993" operator="lessThan">
      <formula>0.8</formula>
    </cfRule>
    <cfRule type="cellIs" dxfId="5277" priority="1994" operator="greaterThan">
      <formula>1</formula>
    </cfRule>
  </conditionalFormatting>
  <conditionalFormatting sqref="R148:R156">
    <cfRule type="cellIs" dxfId="5276" priority="1991" operator="greaterThan">
      <formula>1</formula>
    </cfRule>
    <cfRule type="cellIs" dxfId="5275" priority="1992" operator="lessThan">
      <formula>0.8</formula>
    </cfRule>
  </conditionalFormatting>
  <conditionalFormatting sqref="P148:P156">
    <cfRule type="cellIs" dxfId="5274" priority="1990" operator="greaterThan">
      <formula>0</formula>
    </cfRule>
  </conditionalFormatting>
  <conditionalFormatting sqref="Q148:Q156">
    <cfRule type="cellIs" dxfId="5273" priority="1984" operator="lessThan">
      <formula>0</formula>
    </cfRule>
  </conditionalFormatting>
  <conditionalFormatting sqref="R148:R156">
    <cfRule type="cellIs" dxfId="5272" priority="1988" operator="lessThan">
      <formula>0.8</formula>
    </cfRule>
    <cfRule type="cellIs" dxfId="5271" priority="1989" operator="greaterThan">
      <formula>1</formula>
    </cfRule>
  </conditionalFormatting>
  <conditionalFormatting sqref="R148:R156">
    <cfRule type="cellIs" dxfId="5270" priority="1986" operator="greaterThan">
      <formula>1</formula>
    </cfRule>
    <cfRule type="cellIs" dxfId="5269" priority="1987" operator="lessThan">
      <formula>0.8</formula>
    </cfRule>
  </conditionalFormatting>
  <conditionalFormatting sqref="P148:P156">
    <cfRule type="cellIs" dxfId="5268" priority="1985" operator="greaterThan">
      <formula>0</formula>
    </cfRule>
  </conditionalFormatting>
  <conditionalFormatting sqref="Q148:Q156">
    <cfRule type="cellIs" dxfId="5267" priority="1983" operator="lessThan">
      <formula>0</formula>
    </cfRule>
  </conditionalFormatting>
  <conditionalFormatting sqref="R148:R156">
    <cfRule type="cellIs" dxfId="5266" priority="1981" operator="lessThan">
      <formula>0.8</formula>
    </cfRule>
    <cfRule type="cellIs" dxfId="5265" priority="1982" operator="greaterThan">
      <formula>1</formula>
    </cfRule>
  </conditionalFormatting>
  <conditionalFormatting sqref="R148:R156">
    <cfRule type="cellIs" dxfId="5264" priority="1979" operator="greaterThan">
      <formula>1</formula>
    </cfRule>
    <cfRule type="cellIs" dxfId="5263" priority="1980" operator="lessThan">
      <formula>0.8</formula>
    </cfRule>
  </conditionalFormatting>
  <conditionalFormatting sqref="P148:P156">
    <cfRule type="cellIs" dxfId="5262" priority="1978" operator="greaterThan">
      <formula>0</formula>
    </cfRule>
  </conditionalFormatting>
  <conditionalFormatting sqref="Q148:Q156">
    <cfRule type="cellIs" dxfId="5261" priority="1977" operator="lessThan">
      <formula>0</formula>
    </cfRule>
  </conditionalFormatting>
  <conditionalFormatting sqref="R148:R156">
    <cfRule type="cellIs" dxfId="5260" priority="1975" operator="lessThan">
      <formula>0.8</formula>
    </cfRule>
    <cfRule type="cellIs" dxfId="5259" priority="1976" operator="greaterThan">
      <formula>1</formula>
    </cfRule>
  </conditionalFormatting>
  <conditionalFormatting sqref="R148:R156">
    <cfRule type="cellIs" dxfId="5258" priority="1973" operator="greaterThan">
      <formula>1</formula>
    </cfRule>
    <cfRule type="cellIs" dxfId="5257" priority="1974" operator="lessThan">
      <formula>0.8</formula>
    </cfRule>
  </conditionalFormatting>
  <conditionalFormatting sqref="P148:P156">
    <cfRule type="cellIs" dxfId="5256" priority="1972" operator="greaterThan">
      <formula>0</formula>
    </cfRule>
  </conditionalFormatting>
  <conditionalFormatting sqref="Q148:Q156">
    <cfRule type="cellIs" dxfId="5255" priority="1971" operator="lessThan">
      <formula>0</formula>
    </cfRule>
  </conditionalFormatting>
  <conditionalFormatting sqref="R148:R156">
    <cfRule type="cellIs" dxfId="5254" priority="1969" operator="lessThan">
      <formula>0.8</formula>
    </cfRule>
    <cfRule type="cellIs" dxfId="5253" priority="1970" operator="greaterThan">
      <formula>1</formula>
    </cfRule>
  </conditionalFormatting>
  <conditionalFormatting sqref="R148:R156">
    <cfRule type="cellIs" dxfId="5252" priority="1967" operator="greaterThan">
      <formula>1</formula>
    </cfRule>
    <cfRule type="cellIs" dxfId="5251" priority="1968" operator="lessThan">
      <formula>0.8</formula>
    </cfRule>
  </conditionalFormatting>
  <conditionalFormatting sqref="P148:P156">
    <cfRule type="cellIs" dxfId="5250" priority="1966" operator="greaterThan">
      <formula>0</formula>
    </cfRule>
  </conditionalFormatting>
  <conditionalFormatting sqref="Q148:Q156">
    <cfRule type="cellIs" dxfId="5249" priority="1965" operator="lessThan">
      <formula>0</formula>
    </cfRule>
  </conditionalFormatting>
  <conditionalFormatting sqref="R148:R156">
    <cfRule type="cellIs" dxfId="5248" priority="1963" operator="lessThan">
      <formula>0.8</formula>
    </cfRule>
    <cfRule type="cellIs" dxfId="5247" priority="1964" operator="greaterThan">
      <formula>1</formula>
    </cfRule>
  </conditionalFormatting>
  <conditionalFormatting sqref="R148:R156">
    <cfRule type="cellIs" dxfId="5246" priority="1961" operator="greaterThan">
      <formula>1</formula>
    </cfRule>
    <cfRule type="cellIs" dxfId="5245" priority="1962" operator="lessThan">
      <formula>0.8</formula>
    </cfRule>
  </conditionalFormatting>
  <conditionalFormatting sqref="P148:P156">
    <cfRule type="cellIs" dxfId="5244" priority="1960" operator="greaterThan">
      <formula>0</formula>
    </cfRule>
  </conditionalFormatting>
  <conditionalFormatting sqref="Q148:Q156">
    <cfRule type="cellIs" dxfId="5243" priority="1959" operator="lessThan">
      <formula>0</formula>
    </cfRule>
  </conditionalFormatting>
  <conditionalFormatting sqref="R148:R156">
    <cfRule type="cellIs" dxfId="5242" priority="1957" operator="lessThan">
      <formula>0.8</formula>
    </cfRule>
    <cfRule type="cellIs" dxfId="5241" priority="1958" operator="greaterThan">
      <formula>1</formula>
    </cfRule>
  </conditionalFormatting>
  <conditionalFormatting sqref="R148:R156">
    <cfRule type="cellIs" dxfId="5240" priority="1955" operator="greaterThan">
      <formula>1</formula>
    </cfRule>
    <cfRule type="cellIs" dxfId="5239" priority="1956" operator="lessThan">
      <formula>0.8</formula>
    </cfRule>
  </conditionalFormatting>
  <conditionalFormatting sqref="P148:P156">
    <cfRule type="cellIs" dxfId="5238" priority="1954" operator="greaterThan">
      <formula>0</formula>
    </cfRule>
  </conditionalFormatting>
  <conditionalFormatting sqref="P148:P156">
    <cfRule type="cellIs" dxfId="5237" priority="1948" operator="greaterThan">
      <formula>0</formula>
    </cfRule>
  </conditionalFormatting>
  <conditionalFormatting sqref="Q148:Q156">
    <cfRule type="cellIs" dxfId="5236" priority="1953" operator="lessThan">
      <formula>0</formula>
    </cfRule>
  </conditionalFormatting>
  <conditionalFormatting sqref="R148:R156">
    <cfRule type="cellIs" dxfId="5235" priority="1951" operator="lessThan">
      <formula>0.8</formula>
    </cfRule>
    <cfRule type="cellIs" dxfId="5234" priority="1952" operator="greaterThan">
      <formula>1</formula>
    </cfRule>
  </conditionalFormatting>
  <conditionalFormatting sqref="R148:R156">
    <cfRule type="cellIs" dxfId="5233" priority="1949" operator="greaterThan">
      <formula>1</formula>
    </cfRule>
    <cfRule type="cellIs" dxfId="5232" priority="1950" operator="lessThan">
      <formula>0.8</formula>
    </cfRule>
  </conditionalFormatting>
  <conditionalFormatting sqref="P148:P156">
    <cfRule type="cellIs" dxfId="5231" priority="1942" operator="greaterThan">
      <formula>0</formula>
    </cfRule>
  </conditionalFormatting>
  <conditionalFormatting sqref="Q148:Q156">
    <cfRule type="cellIs" dxfId="5230" priority="1947" operator="lessThan">
      <formula>0</formula>
    </cfRule>
  </conditionalFormatting>
  <conditionalFormatting sqref="R148:R156">
    <cfRule type="cellIs" dxfId="5229" priority="1945" operator="lessThan">
      <formula>0.8</formula>
    </cfRule>
    <cfRule type="cellIs" dxfId="5228" priority="1946" operator="greaterThan">
      <formula>1</formula>
    </cfRule>
  </conditionalFormatting>
  <conditionalFormatting sqref="R148:R156">
    <cfRule type="cellIs" dxfId="5227" priority="1943" operator="greaterThan">
      <formula>1</formula>
    </cfRule>
    <cfRule type="cellIs" dxfId="5226" priority="1944" operator="lessThan">
      <formula>0.8</formula>
    </cfRule>
  </conditionalFormatting>
  <conditionalFormatting sqref="R148:R156">
    <cfRule type="cellIs" dxfId="5225" priority="1939" operator="lessThan">
      <formula>0.8</formula>
    </cfRule>
    <cfRule type="cellIs" dxfId="5224" priority="1940" operator="greaterThan">
      <formula>1</formula>
    </cfRule>
  </conditionalFormatting>
  <conditionalFormatting sqref="R148:R156">
    <cfRule type="cellIs" dxfId="5223" priority="1937" operator="greaterThan">
      <formula>1</formula>
    </cfRule>
    <cfRule type="cellIs" dxfId="5222" priority="1938" operator="lessThan">
      <formula>0.8</formula>
    </cfRule>
  </conditionalFormatting>
  <conditionalFormatting sqref="P148:P156">
    <cfRule type="cellIs" dxfId="5221" priority="1936" operator="greaterThan">
      <formula>0</formula>
    </cfRule>
  </conditionalFormatting>
  <conditionalFormatting sqref="Q148:Q156">
    <cfRule type="cellIs" dxfId="5220" priority="1941" operator="lessThan">
      <formula>0</formula>
    </cfRule>
  </conditionalFormatting>
  <conditionalFormatting sqref="Q148:Q156">
    <cfRule type="cellIs" dxfId="5219" priority="1930" operator="lessThan">
      <formula>0</formula>
    </cfRule>
  </conditionalFormatting>
  <conditionalFormatting sqref="P148:P156">
    <cfRule type="cellIs" dxfId="5218" priority="1931" operator="greaterThan">
      <formula>0</formula>
    </cfRule>
  </conditionalFormatting>
  <conditionalFormatting sqref="R148:R156">
    <cfRule type="cellIs" dxfId="5217" priority="1934" operator="lessThan">
      <formula>0.8</formula>
    </cfRule>
    <cfRule type="cellIs" dxfId="5216" priority="1935" operator="greaterThan">
      <formula>1</formula>
    </cfRule>
  </conditionalFormatting>
  <conditionalFormatting sqref="R148:R156">
    <cfRule type="cellIs" dxfId="5215" priority="1932" operator="greaterThan">
      <formula>1</formula>
    </cfRule>
    <cfRule type="cellIs" dxfId="5214" priority="1933" operator="lessThan">
      <formula>0.8</formula>
    </cfRule>
  </conditionalFormatting>
  <conditionalFormatting sqref="Q148:Q156">
    <cfRule type="cellIs" dxfId="5213" priority="1924" operator="lessThan">
      <formula>0</formula>
    </cfRule>
  </conditionalFormatting>
  <conditionalFormatting sqref="R148:R156">
    <cfRule type="cellIs" dxfId="5212" priority="1928" operator="lessThan">
      <formula>0.8</formula>
    </cfRule>
    <cfRule type="cellIs" dxfId="5211" priority="1929" operator="greaterThan">
      <formula>1</formula>
    </cfRule>
  </conditionalFormatting>
  <conditionalFormatting sqref="R148:R156">
    <cfRule type="cellIs" dxfId="5210" priority="1926" operator="greaterThan">
      <formula>1</formula>
    </cfRule>
    <cfRule type="cellIs" dxfId="5209" priority="1927" operator="lessThan">
      <formula>0.8</formula>
    </cfRule>
  </conditionalFormatting>
  <conditionalFormatting sqref="P148:P156">
    <cfRule type="cellIs" dxfId="5208" priority="1925" operator="greaterThan">
      <formula>0</formula>
    </cfRule>
  </conditionalFormatting>
  <conditionalFormatting sqref="Q148:Q156">
    <cfRule type="cellIs" dxfId="5207" priority="1923" operator="lessThan">
      <formula>0</formula>
    </cfRule>
  </conditionalFormatting>
  <conditionalFormatting sqref="R148:R156">
    <cfRule type="cellIs" dxfId="5206" priority="1921" operator="lessThan">
      <formula>0.8</formula>
    </cfRule>
    <cfRule type="cellIs" dxfId="5205" priority="1922" operator="greaterThan">
      <formula>1</formula>
    </cfRule>
  </conditionalFormatting>
  <conditionalFormatting sqref="R148:R156">
    <cfRule type="cellIs" dxfId="5204" priority="1919" operator="greaterThan">
      <formula>1</formula>
    </cfRule>
    <cfRule type="cellIs" dxfId="5203" priority="1920" operator="lessThan">
      <formula>0.8</formula>
    </cfRule>
  </conditionalFormatting>
  <conditionalFormatting sqref="P148:P156">
    <cfRule type="cellIs" dxfId="5202" priority="1918" operator="greaterThan">
      <formula>0</formula>
    </cfRule>
  </conditionalFormatting>
  <conditionalFormatting sqref="Q148:Q156">
    <cfRule type="cellIs" dxfId="5201" priority="1917" operator="lessThan">
      <formula>0</formula>
    </cfRule>
  </conditionalFormatting>
  <conditionalFormatting sqref="R148:R156">
    <cfRule type="cellIs" dxfId="5200" priority="1915" operator="lessThan">
      <formula>0.8</formula>
    </cfRule>
    <cfRule type="cellIs" dxfId="5199" priority="1916" operator="greaterThan">
      <formula>1</formula>
    </cfRule>
  </conditionalFormatting>
  <conditionalFormatting sqref="R148:R156">
    <cfRule type="cellIs" dxfId="5198" priority="1913" operator="greaterThan">
      <formula>1</formula>
    </cfRule>
    <cfRule type="cellIs" dxfId="5197" priority="1914" operator="lessThan">
      <formula>0.8</formula>
    </cfRule>
  </conditionalFormatting>
  <conditionalFormatting sqref="P148:P156">
    <cfRule type="cellIs" dxfId="5196" priority="1912" operator="greaterThan">
      <formula>0</formula>
    </cfRule>
  </conditionalFormatting>
  <conditionalFormatting sqref="Q148:Q156">
    <cfRule type="cellIs" dxfId="5195" priority="1911" operator="lessThan">
      <formula>0</formula>
    </cfRule>
  </conditionalFormatting>
  <conditionalFormatting sqref="R148:R156">
    <cfRule type="cellIs" dxfId="5194" priority="1909" operator="lessThan">
      <formula>0.8</formula>
    </cfRule>
    <cfRule type="cellIs" dxfId="5193" priority="1910" operator="greaterThan">
      <formula>1</formula>
    </cfRule>
  </conditionalFormatting>
  <conditionalFormatting sqref="R148:R156">
    <cfRule type="cellIs" dxfId="5192" priority="1907" operator="greaterThan">
      <formula>1</formula>
    </cfRule>
    <cfRule type="cellIs" dxfId="5191" priority="1908" operator="lessThan">
      <formula>0.8</formula>
    </cfRule>
  </conditionalFormatting>
  <conditionalFormatting sqref="P148:P156">
    <cfRule type="cellIs" dxfId="5190" priority="1906" operator="greaterThan">
      <formula>0</formula>
    </cfRule>
  </conditionalFormatting>
  <conditionalFormatting sqref="Q148:Q156">
    <cfRule type="cellIs" dxfId="5189" priority="1905" operator="lessThan">
      <formula>0</formula>
    </cfRule>
  </conditionalFormatting>
  <conditionalFormatting sqref="R148:R156">
    <cfRule type="cellIs" dxfId="5188" priority="1903" operator="lessThan">
      <formula>0.8</formula>
    </cfRule>
    <cfRule type="cellIs" dxfId="5187" priority="1904" operator="greaterThan">
      <formula>1</formula>
    </cfRule>
  </conditionalFormatting>
  <conditionalFormatting sqref="R148:R156">
    <cfRule type="cellIs" dxfId="5186" priority="1901" operator="greaterThan">
      <formula>1</formula>
    </cfRule>
    <cfRule type="cellIs" dxfId="5185" priority="1902" operator="lessThan">
      <formula>0.8</formula>
    </cfRule>
  </conditionalFormatting>
  <conditionalFormatting sqref="P148:P156">
    <cfRule type="cellIs" dxfId="5184" priority="1900" operator="greaterThan">
      <formula>0</formula>
    </cfRule>
  </conditionalFormatting>
  <conditionalFormatting sqref="Q124">
    <cfRule type="cellIs" dxfId="5183" priority="1894" operator="lessThan">
      <formula>0</formula>
    </cfRule>
  </conditionalFormatting>
  <conditionalFormatting sqref="P124">
    <cfRule type="cellIs" dxfId="5182" priority="1895" operator="greaterThan">
      <formula>0</formula>
    </cfRule>
  </conditionalFormatting>
  <conditionalFormatting sqref="R124">
    <cfRule type="cellIs" dxfId="5181" priority="1898" operator="lessThan">
      <formula>0.8</formula>
    </cfRule>
    <cfRule type="cellIs" dxfId="5180" priority="1899" operator="greaterThan">
      <formula>1</formula>
    </cfRule>
  </conditionalFormatting>
  <conditionalFormatting sqref="R124">
    <cfRule type="cellIs" dxfId="5179" priority="1896" operator="greaterThan">
      <formula>1</formula>
    </cfRule>
    <cfRule type="cellIs" dxfId="5178" priority="1897" operator="lessThan">
      <formula>0.8</formula>
    </cfRule>
  </conditionalFormatting>
  <conditionalFormatting sqref="Q124">
    <cfRule type="cellIs" dxfId="5177" priority="1888" operator="lessThan">
      <formula>0</formula>
    </cfRule>
  </conditionalFormatting>
  <conditionalFormatting sqref="R124">
    <cfRule type="cellIs" dxfId="5176" priority="1892" operator="lessThan">
      <formula>0.8</formula>
    </cfRule>
    <cfRule type="cellIs" dxfId="5175" priority="1893" operator="greaterThan">
      <formula>1</formula>
    </cfRule>
  </conditionalFormatting>
  <conditionalFormatting sqref="R124">
    <cfRule type="cellIs" dxfId="5174" priority="1890" operator="greaterThan">
      <formula>1</formula>
    </cfRule>
    <cfRule type="cellIs" dxfId="5173" priority="1891" operator="lessThan">
      <formula>0.8</formula>
    </cfRule>
  </conditionalFormatting>
  <conditionalFormatting sqref="P124">
    <cfRule type="cellIs" dxfId="5172" priority="1889" operator="greaterThan">
      <formula>0</formula>
    </cfRule>
  </conditionalFormatting>
  <conditionalFormatting sqref="Q124">
    <cfRule type="cellIs" dxfId="5171" priority="1887" operator="lessThan">
      <formula>0</formula>
    </cfRule>
  </conditionalFormatting>
  <conditionalFormatting sqref="R124">
    <cfRule type="cellIs" dxfId="5170" priority="1885" operator="lessThan">
      <formula>0.8</formula>
    </cfRule>
    <cfRule type="cellIs" dxfId="5169" priority="1886" operator="greaterThan">
      <formula>1</formula>
    </cfRule>
  </conditionalFormatting>
  <conditionalFormatting sqref="R124">
    <cfRule type="cellIs" dxfId="5168" priority="1883" operator="greaterThan">
      <formula>1</formula>
    </cfRule>
    <cfRule type="cellIs" dxfId="5167" priority="1884" operator="lessThan">
      <formula>0.8</formula>
    </cfRule>
  </conditionalFormatting>
  <conditionalFormatting sqref="P124">
    <cfRule type="cellIs" dxfId="5166" priority="1882" operator="greaterThan">
      <formula>0</formula>
    </cfRule>
  </conditionalFormatting>
  <conditionalFormatting sqref="Q124">
    <cfRule type="cellIs" dxfId="5165" priority="1881" operator="lessThan">
      <formula>0</formula>
    </cfRule>
  </conditionalFormatting>
  <conditionalFormatting sqref="R124">
    <cfRule type="cellIs" dxfId="5164" priority="1879" operator="lessThan">
      <formula>0.8</formula>
    </cfRule>
    <cfRule type="cellIs" dxfId="5163" priority="1880" operator="greaterThan">
      <formula>1</formula>
    </cfRule>
  </conditionalFormatting>
  <conditionalFormatting sqref="R124">
    <cfRule type="cellIs" dxfId="5162" priority="1877" operator="greaterThan">
      <formula>1</formula>
    </cfRule>
    <cfRule type="cellIs" dxfId="5161" priority="1878" operator="lessThan">
      <formula>0.8</formula>
    </cfRule>
  </conditionalFormatting>
  <conditionalFormatting sqref="P124">
    <cfRule type="cellIs" dxfId="5160" priority="1876" operator="greaterThan">
      <formula>0</formula>
    </cfRule>
  </conditionalFormatting>
  <conditionalFormatting sqref="Q124">
    <cfRule type="cellIs" dxfId="5159" priority="1875" operator="lessThan">
      <formula>0</formula>
    </cfRule>
  </conditionalFormatting>
  <conditionalFormatting sqref="R124">
    <cfRule type="cellIs" dxfId="5158" priority="1873" operator="lessThan">
      <formula>0.8</formula>
    </cfRule>
    <cfRule type="cellIs" dxfId="5157" priority="1874" operator="greaterThan">
      <formula>1</formula>
    </cfRule>
  </conditionalFormatting>
  <conditionalFormatting sqref="R124">
    <cfRule type="cellIs" dxfId="5156" priority="1871" operator="greaterThan">
      <formula>1</formula>
    </cfRule>
    <cfRule type="cellIs" dxfId="5155" priority="1872" operator="lessThan">
      <formula>0.8</formula>
    </cfRule>
  </conditionalFormatting>
  <conditionalFormatting sqref="P124">
    <cfRule type="cellIs" dxfId="5154" priority="1870" operator="greaterThan">
      <formula>0</formula>
    </cfRule>
  </conditionalFormatting>
  <conditionalFormatting sqref="Q124">
    <cfRule type="cellIs" dxfId="5153" priority="1869" operator="lessThan">
      <formula>0</formula>
    </cfRule>
  </conditionalFormatting>
  <conditionalFormatting sqref="R124">
    <cfRule type="cellIs" dxfId="5152" priority="1867" operator="lessThan">
      <formula>0.8</formula>
    </cfRule>
    <cfRule type="cellIs" dxfId="5151" priority="1868" operator="greaterThan">
      <formula>1</formula>
    </cfRule>
  </conditionalFormatting>
  <conditionalFormatting sqref="R124">
    <cfRule type="cellIs" dxfId="5150" priority="1865" operator="greaterThan">
      <formula>1</formula>
    </cfRule>
    <cfRule type="cellIs" dxfId="5149" priority="1866" operator="lessThan">
      <formula>0.8</formula>
    </cfRule>
  </conditionalFormatting>
  <conditionalFormatting sqref="P124">
    <cfRule type="cellIs" dxfId="5148" priority="1864" operator="greaterThan">
      <formula>0</formula>
    </cfRule>
  </conditionalFormatting>
  <conditionalFormatting sqref="Q124">
    <cfRule type="cellIs" dxfId="5147" priority="1863" operator="lessThan">
      <formula>0</formula>
    </cfRule>
  </conditionalFormatting>
  <conditionalFormatting sqref="R124">
    <cfRule type="cellIs" dxfId="5146" priority="1861" operator="lessThan">
      <formula>0.8</formula>
    </cfRule>
    <cfRule type="cellIs" dxfId="5145" priority="1862" operator="greaterThan">
      <formula>1</formula>
    </cfRule>
  </conditionalFormatting>
  <conditionalFormatting sqref="R124">
    <cfRule type="cellIs" dxfId="5144" priority="1859" operator="greaterThan">
      <formula>1</formula>
    </cfRule>
    <cfRule type="cellIs" dxfId="5143" priority="1860" operator="lessThan">
      <formula>0.8</formula>
    </cfRule>
  </conditionalFormatting>
  <conditionalFormatting sqref="P124">
    <cfRule type="cellIs" dxfId="5142" priority="1858" operator="greaterThan">
      <formula>0</formula>
    </cfRule>
  </conditionalFormatting>
  <conditionalFormatting sqref="Q124">
    <cfRule type="cellIs" dxfId="5141" priority="1857" operator="lessThan">
      <formula>0</formula>
    </cfRule>
  </conditionalFormatting>
  <conditionalFormatting sqref="R124">
    <cfRule type="cellIs" dxfId="5140" priority="1855" operator="lessThan">
      <formula>0.8</formula>
    </cfRule>
    <cfRule type="cellIs" dxfId="5139" priority="1856" operator="greaterThan">
      <formula>1</formula>
    </cfRule>
  </conditionalFormatting>
  <conditionalFormatting sqref="R124">
    <cfRule type="cellIs" dxfId="5138" priority="1853" operator="greaterThan">
      <formula>1</formula>
    </cfRule>
    <cfRule type="cellIs" dxfId="5137" priority="1854" operator="lessThan">
      <formula>0.8</formula>
    </cfRule>
  </conditionalFormatting>
  <conditionalFormatting sqref="P124">
    <cfRule type="cellIs" dxfId="5136" priority="1852" operator="greaterThan">
      <formula>0</formula>
    </cfRule>
  </conditionalFormatting>
  <conditionalFormatting sqref="Q124">
    <cfRule type="cellIs" dxfId="5135" priority="1851" operator="lessThan">
      <formula>0</formula>
    </cfRule>
  </conditionalFormatting>
  <conditionalFormatting sqref="R124">
    <cfRule type="cellIs" dxfId="5134" priority="1849" operator="lessThan">
      <formula>0.8</formula>
    </cfRule>
    <cfRule type="cellIs" dxfId="5133" priority="1850" operator="greaterThan">
      <formula>1</formula>
    </cfRule>
  </conditionalFormatting>
  <conditionalFormatting sqref="R124">
    <cfRule type="cellIs" dxfId="5132" priority="1847" operator="greaterThan">
      <formula>1</formula>
    </cfRule>
    <cfRule type="cellIs" dxfId="5131" priority="1848" operator="lessThan">
      <formula>0.8</formula>
    </cfRule>
  </conditionalFormatting>
  <conditionalFormatting sqref="P124">
    <cfRule type="cellIs" dxfId="5130" priority="1846" operator="greaterThan">
      <formula>0</formula>
    </cfRule>
  </conditionalFormatting>
  <conditionalFormatting sqref="P124">
    <cfRule type="cellIs" dxfId="5129" priority="1840" operator="greaterThan">
      <formula>0</formula>
    </cfRule>
  </conditionalFormatting>
  <conditionalFormatting sqref="Q124">
    <cfRule type="cellIs" dxfId="5128" priority="1845" operator="lessThan">
      <formula>0</formula>
    </cfRule>
  </conditionalFormatting>
  <conditionalFormatting sqref="R124">
    <cfRule type="cellIs" dxfId="5127" priority="1843" operator="lessThan">
      <formula>0.8</formula>
    </cfRule>
    <cfRule type="cellIs" dxfId="5126" priority="1844" operator="greaterThan">
      <formula>1</formula>
    </cfRule>
  </conditionalFormatting>
  <conditionalFormatting sqref="R124">
    <cfRule type="cellIs" dxfId="5125" priority="1841" operator="greaterThan">
      <formula>1</formula>
    </cfRule>
    <cfRule type="cellIs" dxfId="5124" priority="1842" operator="lessThan">
      <formula>0.8</formula>
    </cfRule>
  </conditionalFormatting>
  <conditionalFormatting sqref="P124">
    <cfRule type="cellIs" dxfId="5123" priority="1834" operator="greaterThan">
      <formula>0</formula>
    </cfRule>
  </conditionalFormatting>
  <conditionalFormatting sqref="Q124">
    <cfRule type="cellIs" dxfId="5122" priority="1839" operator="lessThan">
      <formula>0</formula>
    </cfRule>
  </conditionalFormatting>
  <conditionalFormatting sqref="R124">
    <cfRule type="cellIs" dxfId="5121" priority="1837" operator="lessThan">
      <formula>0.8</formula>
    </cfRule>
    <cfRule type="cellIs" dxfId="5120" priority="1838" operator="greaterThan">
      <formula>1</formula>
    </cfRule>
  </conditionalFormatting>
  <conditionalFormatting sqref="R124">
    <cfRule type="cellIs" dxfId="5119" priority="1835" operator="greaterThan">
      <formula>1</formula>
    </cfRule>
    <cfRule type="cellIs" dxfId="5118" priority="1836" operator="lessThan">
      <formula>0.8</formula>
    </cfRule>
  </conditionalFormatting>
  <conditionalFormatting sqref="R124">
    <cfRule type="cellIs" dxfId="5117" priority="1831" operator="lessThan">
      <formula>0.8</formula>
    </cfRule>
    <cfRule type="cellIs" dxfId="5116" priority="1832" operator="greaterThan">
      <formula>1</formula>
    </cfRule>
  </conditionalFormatting>
  <conditionalFormatting sqref="R124">
    <cfRule type="cellIs" dxfId="5115" priority="1829" operator="greaterThan">
      <formula>1</formula>
    </cfRule>
    <cfRule type="cellIs" dxfId="5114" priority="1830" operator="lessThan">
      <formula>0.8</formula>
    </cfRule>
  </conditionalFormatting>
  <conditionalFormatting sqref="P124">
    <cfRule type="cellIs" dxfId="5113" priority="1828" operator="greaterThan">
      <formula>0</formula>
    </cfRule>
  </conditionalFormatting>
  <conditionalFormatting sqref="Q124">
    <cfRule type="cellIs" dxfId="5112" priority="1833" operator="lessThan">
      <formula>0</formula>
    </cfRule>
  </conditionalFormatting>
  <conditionalFormatting sqref="Q124">
    <cfRule type="cellIs" dxfId="5111" priority="1827" operator="lessThan">
      <formula>0</formula>
    </cfRule>
  </conditionalFormatting>
  <conditionalFormatting sqref="R124">
    <cfRule type="cellIs" dxfId="5110" priority="1825" operator="lessThan">
      <formula>0.8</formula>
    </cfRule>
    <cfRule type="cellIs" dxfId="5109" priority="1826" operator="greaterThan">
      <formula>1</formula>
    </cfRule>
  </conditionalFormatting>
  <conditionalFormatting sqref="R124">
    <cfRule type="cellIs" dxfId="5108" priority="1823" operator="greaterThan">
      <formula>1</formula>
    </cfRule>
    <cfRule type="cellIs" dxfId="5107" priority="1824" operator="lessThan">
      <formula>0.8</formula>
    </cfRule>
  </conditionalFormatting>
  <conditionalFormatting sqref="P124">
    <cfRule type="cellIs" dxfId="5106" priority="1822" operator="greaterThan">
      <formula>0</formula>
    </cfRule>
  </conditionalFormatting>
  <conditionalFormatting sqref="P124">
    <cfRule type="cellIs" dxfId="5105" priority="1816" operator="greaterThan">
      <formula>0</formula>
    </cfRule>
  </conditionalFormatting>
  <conditionalFormatting sqref="Q124">
    <cfRule type="cellIs" dxfId="5104" priority="1821" operator="lessThan">
      <formula>0</formula>
    </cfRule>
  </conditionalFormatting>
  <conditionalFormatting sqref="R124">
    <cfRule type="cellIs" dxfId="5103" priority="1819" operator="lessThan">
      <formula>0.8</formula>
    </cfRule>
    <cfRule type="cellIs" dxfId="5102" priority="1820" operator="greaterThan">
      <formula>1</formula>
    </cfRule>
  </conditionalFormatting>
  <conditionalFormatting sqref="R124">
    <cfRule type="cellIs" dxfId="5101" priority="1817" operator="greaterThan">
      <formula>1</formula>
    </cfRule>
    <cfRule type="cellIs" dxfId="5100" priority="1818" operator="lessThan">
      <formula>0.8</formula>
    </cfRule>
  </conditionalFormatting>
  <conditionalFormatting sqref="P124">
    <cfRule type="cellIs" dxfId="5099" priority="1810" operator="greaterThan">
      <formula>0</formula>
    </cfRule>
  </conditionalFormatting>
  <conditionalFormatting sqref="Q124">
    <cfRule type="cellIs" dxfId="5098" priority="1815" operator="lessThan">
      <formula>0</formula>
    </cfRule>
  </conditionalFormatting>
  <conditionalFormatting sqref="R124">
    <cfRule type="cellIs" dxfId="5097" priority="1813" operator="lessThan">
      <formula>0.8</formula>
    </cfRule>
    <cfRule type="cellIs" dxfId="5096" priority="1814" operator="greaterThan">
      <formula>1</formula>
    </cfRule>
  </conditionalFormatting>
  <conditionalFormatting sqref="R124">
    <cfRule type="cellIs" dxfId="5095" priority="1811" operator="greaterThan">
      <formula>1</formula>
    </cfRule>
    <cfRule type="cellIs" dxfId="5094" priority="1812" operator="lessThan">
      <formula>0.8</formula>
    </cfRule>
  </conditionalFormatting>
  <conditionalFormatting sqref="R124">
    <cfRule type="cellIs" dxfId="5093" priority="1807" operator="lessThan">
      <formula>0.8</formula>
    </cfRule>
    <cfRule type="cellIs" dxfId="5092" priority="1808" operator="greaterThan">
      <formula>1</formula>
    </cfRule>
  </conditionalFormatting>
  <conditionalFormatting sqref="R124">
    <cfRule type="cellIs" dxfId="5091" priority="1805" operator="greaterThan">
      <formula>1</formula>
    </cfRule>
    <cfRule type="cellIs" dxfId="5090" priority="1806" operator="lessThan">
      <formula>0.8</formula>
    </cfRule>
  </conditionalFormatting>
  <conditionalFormatting sqref="P124">
    <cfRule type="cellIs" dxfId="5089" priority="1804" operator="greaterThan">
      <formula>0</formula>
    </cfRule>
  </conditionalFormatting>
  <conditionalFormatting sqref="Q124">
    <cfRule type="cellIs" dxfId="5088" priority="1809" operator="lessThan">
      <formula>0</formula>
    </cfRule>
  </conditionalFormatting>
  <conditionalFormatting sqref="P124">
    <cfRule type="cellIs" dxfId="5087" priority="1798" operator="greaterThan">
      <formula>0</formula>
    </cfRule>
  </conditionalFormatting>
  <conditionalFormatting sqref="Q124">
    <cfRule type="cellIs" dxfId="5086" priority="1803" operator="lessThan">
      <formula>0</formula>
    </cfRule>
  </conditionalFormatting>
  <conditionalFormatting sqref="R124">
    <cfRule type="cellIs" dxfId="5085" priority="1801" operator="lessThan">
      <formula>0.8</formula>
    </cfRule>
    <cfRule type="cellIs" dxfId="5084" priority="1802" operator="greaterThan">
      <formula>1</formula>
    </cfRule>
  </conditionalFormatting>
  <conditionalFormatting sqref="R124">
    <cfRule type="cellIs" dxfId="5083" priority="1799" operator="greaterThan">
      <formula>1</formula>
    </cfRule>
    <cfRule type="cellIs" dxfId="5082" priority="1800" operator="lessThan">
      <formula>0.8</formula>
    </cfRule>
  </conditionalFormatting>
  <conditionalFormatting sqref="R124">
    <cfRule type="cellIs" dxfId="5081" priority="1795" operator="lessThan">
      <formula>0.8</formula>
    </cfRule>
    <cfRule type="cellIs" dxfId="5080" priority="1796" operator="greaterThan">
      <formula>1</formula>
    </cfRule>
  </conditionalFormatting>
  <conditionalFormatting sqref="R124">
    <cfRule type="cellIs" dxfId="5079" priority="1793" operator="greaterThan">
      <formula>1</formula>
    </cfRule>
    <cfRule type="cellIs" dxfId="5078" priority="1794" operator="lessThan">
      <formula>0.8</formula>
    </cfRule>
  </conditionalFormatting>
  <conditionalFormatting sqref="P124">
    <cfRule type="cellIs" dxfId="5077" priority="1792" operator="greaterThan">
      <formula>0</formula>
    </cfRule>
  </conditionalFormatting>
  <conditionalFormatting sqref="Q124">
    <cfRule type="cellIs" dxfId="5076" priority="1797" operator="lessThan">
      <formula>0</formula>
    </cfRule>
  </conditionalFormatting>
  <conditionalFormatting sqref="R124">
    <cfRule type="cellIs" dxfId="5075" priority="1789" operator="lessThan">
      <formula>0.8</formula>
    </cfRule>
    <cfRule type="cellIs" dxfId="5074" priority="1790" operator="greaterThan">
      <formula>1</formula>
    </cfRule>
  </conditionalFormatting>
  <conditionalFormatting sqref="R124">
    <cfRule type="cellIs" dxfId="5073" priority="1787" operator="greaterThan">
      <formula>1</formula>
    </cfRule>
    <cfRule type="cellIs" dxfId="5072" priority="1788" operator="lessThan">
      <formula>0.8</formula>
    </cfRule>
  </conditionalFormatting>
  <conditionalFormatting sqref="P124">
    <cfRule type="cellIs" dxfId="5071" priority="1786" operator="greaterThan">
      <formula>0</formula>
    </cfRule>
  </conditionalFormatting>
  <conditionalFormatting sqref="Q124">
    <cfRule type="cellIs" dxfId="5070" priority="1791" operator="lessThan">
      <formula>0</formula>
    </cfRule>
  </conditionalFormatting>
  <conditionalFormatting sqref="Q124">
    <cfRule type="cellIs" dxfId="5069" priority="1785" operator="lessThan">
      <formula>0</formula>
    </cfRule>
  </conditionalFormatting>
  <conditionalFormatting sqref="R124">
    <cfRule type="cellIs" dxfId="5068" priority="1783" operator="lessThan">
      <formula>0.8</formula>
    </cfRule>
    <cfRule type="cellIs" dxfId="5067" priority="1784" operator="greaterThan">
      <formula>1</formula>
    </cfRule>
  </conditionalFormatting>
  <conditionalFormatting sqref="R124">
    <cfRule type="cellIs" dxfId="5066" priority="1781" operator="greaterThan">
      <formula>1</formula>
    </cfRule>
    <cfRule type="cellIs" dxfId="5065" priority="1782" operator="lessThan">
      <formula>0.8</formula>
    </cfRule>
  </conditionalFormatting>
  <conditionalFormatting sqref="P124">
    <cfRule type="cellIs" dxfId="5064" priority="1780" operator="greaterThan">
      <formula>0</formula>
    </cfRule>
  </conditionalFormatting>
  <conditionalFormatting sqref="Q124">
    <cfRule type="cellIs" dxfId="5063" priority="1774" operator="lessThan">
      <formula>0</formula>
    </cfRule>
  </conditionalFormatting>
  <conditionalFormatting sqref="R124">
    <cfRule type="cellIs" dxfId="5062" priority="1778" operator="lessThan">
      <formula>0.8</formula>
    </cfRule>
    <cfRule type="cellIs" dxfId="5061" priority="1779" operator="greaterThan">
      <formula>1</formula>
    </cfRule>
  </conditionalFormatting>
  <conditionalFormatting sqref="R124">
    <cfRule type="cellIs" dxfId="5060" priority="1776" operator="greaterThan">
      <formula>1</formula>
    </cfRule>
    <cfRule type="cellIs" dxfId="5059" priority="1777" operator="lessThan">
      <formula>0.8</formula>
    </cfRule>
  </conditionalFormatting>
  <conditionalFormatting sqref="P124">
    <cfRule type="cellIs" dxfId="5058" priority="1775" operator="greaterThan">
      <formula>0</formula>
    </cfRule>
  </conditionalFormatting>
  <conditionalFormatting sqref="Q124">
    <cfRule type="cellIs" dxfId="5057" priority="1773" operator="lessThan">
      <formula>0</formula>
    </cfRule>
  </conditionalFormatting>
  <conditionalFormatting sqref="R124">
    <cfRule type="cellIs" dxfId="5056" priority="1771" operator="lessThan">
      <formula>0.8</formula>
    </cfRule>
    <cfRule type="cellIs" dxfId="5055" priority="1772" operator="greaterThan">
      <formula>1</formula>
    </cfRule>
  </conditionalFormatting>
  <conditionalFormatting sqref="R124">
    <cfRule type="cellIs" dxfId="5054" priority="1769" operator="greaterThan">
      <formula>1</formula>
    </cfRule>
    <cfRule type="cellIs" dxfId="5053" priority="1770" operator="lessThan">
      <formula>0.8</formula>
    </cfRule>
  </conditionalFormatting>
  <conditionalFormatting sqref="P124">
    <cfRule type="cellIs" dxfId="5052" priority="1768" operator="greaterThan">
      <formula>0</formula>
    </cfRule>
  </conditionalFormatting>
  <conditionalFormatting sqref="Q124">
    <cfRule type="cellIs" dxfId="5051" priority="1767" operator="lessThan">
      <formula>0</formula>
    </cfRule>
  </conditionalFormatting>
  <conditionalFormatting sqref="R124">
    <cfRule type="cellIs" dxfId="5050" priority="1765" operator="lessThan">
      <formula>0.8</formula>
    </cfRule>
    <cfRule type="cellIs" dxfId="5049" priority="1766" operator="greaterThan">
      <formula>1</formula>
    </cfRule>
  </conditionalFormatting>
  <conditionalFormatting sqref="R124">
    <cfRule type="cellIs" dxfId="5048" priority="1763" operator="greaterThan">
      <formula>1</formula>
    </cfRule>
    <cfRule type="cellIs" dxfId="5047" priority="1764" operator="lessThan">
      <formula>0.8</formula>
    </cfRule>
  </conditionalFormatting>
  <conditionalFormatting sqref="P124">
    <cfRule type="cellIs" dxfId="5046" priority="1762" operator="greaterThan">
      <formula>0</formula>
    </cfRule>
  </conditionalFormatting>
  <conditionalFormatting sqref="Q124">
    <cfRule type="cellIs" dxfId="5045" priority="1761" operator="lessThan">
      <formula>0</formula>
    </cfRule>
  </conditionalFormatting>
  <conditionalFormatting sqref="R124">
    <cfRule type="cellIs" dxfId="5044" priority="1759" operator="lessThan">
      <formula>0.8</formula>
    </cfRule>
    <cfRule type="cellIs" dxfId="5043" priority="1760" operator="greaterThan">
      <formula>1</formula>
    </cfRule>
  </conditionalFormatting>
  <conditionalFormatting sqref="R124">
    <cfRule type="cellIs" dxfId="5042" priority="1757" operator="greaterThan">
      <formula>1</formula>
    </cfRule>
    <cfRule type="cellIs" dxfId="5041" priority="1758" operator="lessThan">
      <formula>0.8</formula>
    </cfRule>
  </conditionalFormatting>
  <conditionalFormatting sqref="P124">
    <cfRule type="cellIs" dxfId="5040" priority="1756" operator="greaterThan">
      <formula>0</formula>
    </cfRule>
  </conditionalFormatting>
  <conditionalFormatting sqref="Q124">
    <cfRule type="cellIs" dxfId="5039" priority="1755" operator="lessThan">
      <formula>0</formula>
    </cfRule>
  </conditionalFormatting>
  <conditionalFormatting sqref="R124">
    <cfRule type="cellIs" dxfId="5038" priority="1753" operator="lessThan">
      <formula>0.8</formula>
    </cfRule>
    <cfRule type="cellIs" dxfId="5037" priority="1754" operator="greaterThan">
      <formula>1</formula>
    </cfRule>
  </conditionalFormatting>
  <conditionalFormatting sqref="R124">
    <cfRule type="cellIs" dxfId="5036" priority="1751" operator="greaterThan">
      <formula>1</formula>
    </cfRule>
    <cfRule type="cellIs" dxfId="5035" priority="1752" operator="lessThan">
      <formula>0.8</formula>
    </cfRule>
  </conditionalFormatting>
  <conditionalFormatting sqref="P124">
    <cfRule type="cellIs" dxfId="5034" priority="1750" operator="greaterThan">
      <formula>0</formula>
    </cfRule>
  </conditionalFormatting>
  <conditionalFormatting sqref="Q124">
    <cfRule type="cellIs" dxfId="5033" priority="1749" operator="lessThan">
      <formula>0</formula>
    </cfRule>
  </conditionalFormatting>
  <conditionalFormatting sqref="R124">
    <cfRule type="cellIs" dxfId="5032" priority="1747" operator="lessThan">
      <formula>0.8</formula>
    </cfRule>
    <cfRule type="cellIs" dxfId="5031" priority="1748" operator="greaterThan">
      <formula>1</formula>
    </cfRule>
  </conditionalFormatting>
  <conditionalFormatting sqref="R124">
    <cfRule type="cellIs" dxfId="5030" priority="1745" operator="greaterThan">
      <formula>1</formula>
    </cfRule>
    <cfRule type="cellIs" dxfId="5029" priority="1746" operator="lessThan">
      <formula>0.8</formula>
    </cfRule>
  </conditionalFormatting>
  <conditionalFormatting sqref="P124">
    <cfRule type="cellIs" dxfId="5028" priority="1744" operator="greaterThan">
      <formula>0</formula>
    </cfRule>
  </conditionalFormatting>
  <conditionalFormatting sqref="P124">
    <cfRule type="cellIs" dxfId="5027" priority="1738" operator="greaterThan">
      <formula>0</formula>
    </cfRule>
  </conditionalFormatting>
  <conditionalFormatting sqref="Q124">
    <cfRule type="cellIs" dxfId="5026" priority="1743" operator="lessThan">
      <formula>0</formula>
    </cfRule>
  </conditionalFormatting>
  <conditionalFormatting sqref="R124">
    <cfRule type="cellIs" dxfId="5025" priority="1741" operator="lessThan">
      <formula>0.8</formula>
    </cfRule>
    <cfRule type="cellIs" dxfId="5024" priority="1742" operator="greaterThan">
      <formula>1</formula>
    </cfRule>
  </conditionalFormatting>
  <conditionalFormatting sqref="R124">
    <cfRule type="cellIs" dxfId="5023" priority="1739" operator="greaterThan">
      <formula>1</formula>
    </cfRule>
    <cfRule type="cellIs" dxfId="5022" priority="1740" operator="lessThan">
      <formula>0.8</formula>
    </cfRule>
  </conditionalFormatting>
  <conditionalFormatting sqref="P124">
    <cfRule type="cellIs" dxfId="5021" priority="1732" operator="greaterThan">
      <formula>0</formula>
    </cfRule>
  </conditionalFormatting>
  <conditionalFormatting sqref="Q124">
    <cfRule type="cellIs" dxfId="5020" priority="1737" operator="lessThan">
      <formula>0</formula>
    </cfRule>
  </conditionalFormatting>
  <conditionalFormatting sqref="R124">
    <cfRule type="cellIs" dxfId="5019" priority="1735" operator="lessThan">
      <formula>0.8</formula>
    </cfRule>
    <cfRule type="cellIs" dxfId="5018" priority="1736" operator="greaterThan">
      <formula>1</formula>
    </cfRule>
  </conditionalFormatting>
  <conditionalFormatting sqref="R124">
    <cfRule type="cellIs" dxfId="5017" priority="1733" operator="greaterThan">
      <formula>1</formula>
    </cfRule>
    <cfRule type="cellIs" dxfId="5016" priority="1734" operator="lessThan">
      <formula>0.8</formula>
    </cfRule>
  </conditionalFormatting>
  <conditionalFormatting sqref="R124">
    <cfRule type="cellIs" dxfId="5015" priority="1729" operator="lessThan">
      <formula>0.8</formula>
    </cfRule>
    <cfRule type="cellIs" dxfId="5014" priority="1730" operator="greaterThan">
      <formula>1</formula>
    </cfRule>
  </conditionalFormatting>
  <conditionalFormatting sqref="R124">
    <cfRule type="cellIs" dxfId="5013" priority="1727" operator="greaterThan">
      <formula>1</formula>
    </cfRule>
    <cfRule type="cellIs" dxfId="5012" priority="1728" operator="lessThan">
      <formula>0.8</formula>
    </cfRule>
  </conditionalFormatting>
  <conditionalFormatting sqref="P124">
    <cfRule type="cellIs" dxfId="5011" priority="1726" operator="greaterThan">
      <formula>0</formula>
    </cfRule>
  </conditionalFormatting>
  <conditionalFormatting sqref="Q124">
    <cfRule type="cellIs" dxfId="5010" priority="1731" operator="lessThan">
      <formula>0</formula>
    </cfRule>
  </conditionalFormatting>
  <conditionalFormatting sqref="Q5:Q14">
    <cfRule type="cellIs" dxfId="5009" priority="1725" operator="lessThan">
      <formula>0</formula>
    </cfRule>
  </conditionalFormatting>
  <conditionalFormatting sqref="R5:R14">
    <cfRule type="cellIs" dxfId="5008" priority="1723" operator="lessThan">
      <formula>0.8</formula>
    </cfRule>
    <cfRule type="cellIs" dxfId="5007" priority="1724" operator="greaterThan">
      <formula>1</formula>
    </cfRule>
  </conditionalFormatting>
  <conditionalFormatting sqref="R5:R14">
    <cfRule type="cellIs" dxfId="5006" priority="1721" operator="greaterThan">
      <formula>1</formula>
    </cfRule>
    <cfRule type="cellIs" dxfId="5005" priority="1722" operator="lessThan">
      <formula>0.8</formula>
    </cfRule>
  </conditionalFormatting>
  <conditionalFormatting sqref="P5:P14">
    <cfRule type="cellIs" dxfId="5004" priority="1720" operator="greaterThan">
      <formula>0</formula>
    </cfRule>
  </conditionalFormatting>
  <conditionalFormatting sqref="Q83">
    <cfRule type="cellIs" dxfId="5003" priority="1719" operator="lessThan">
      <formula>0</formula>
    </cfRule>
  </conditionalFormatting>
  <conditionalFormatting sqref="R83">
    <cfRule type="cellIs" dxfId="5002" priority="1717" operator="lessThan">
      <formula>0.8</formula>
    </cfRule>
    <cfRule type="cellIs" dxfId="5001" priority="1718" operator="greaterThan">
      <formula>1</formula>
    </cfRule>
  </conditionalFormatting>
  <conditionalFormatting sqref="R83">
    <cfRule type="cellIs" dxfId="5000" priority="1715" operator="greaterThan">
      <formula>1</formula>
    </cfRule>
    <cfRule type="cellIs" dxfId="4999" priority="1716" operator="lessThan">
      <formula>0.8</formula>
    </cfRule>
  </conditionalFormatting>
  <conditionalFormatting sqref="P83">
    <cfRule type="cellIs" dxfId="4998" priority="1714" operator="greaterThan">
      <formula>0</formula>
    </cfRule>
  </conditionalFormatting>
  <conditionalFormatting sqref="Q83">
    <cfRule type="cellIs" dxfId="4997" priority="1713" operator="lessThan">
      <formula>0</formula>
    </cfRule>
  </conditionalFormatting>
  <conditionalFormatting sqref="R83">
    <cfRule type="cellIs" dxfId="4996" priority="1711" operator="lessThan">
      <formula>0.8</formula>
    </cfRule>
    <cfRule type="cellIs" dxfId="4995" priority="1712" operator="greaterThan">
      <formula>1</formula>
    </cfRule>
  </conditionalFormatting>
  <conditionalFormatting sqref="R83">
    <cfRule type="cellIs" dxfId="4994" priority="1709" operator="greaterThan">
      <formula>1</formula>
    </cfRule>
    <cfRule type="cellIs" dxfId="4993" priority="1710" operator="lessThan">
      <formula>0.8</formula>
    </cfRule>
  </conditionalFormatting>
  <conditionalFormatting sqref="P83">
    <cfRule type="cellIs" dxfId="4992" priority="1708" operator="greaterThan">
      <formula>0</formula>
    </cfRule>
  </conditionalFormatting>
  <conditionalFormatting sqref="Q83">
    <cfRule type="cellIs" dxfId="4991" priority="1707" operator="lessThan">
      <formula>0</formula>
    </cfRule>
  </conditionalFormatting>
  <conditionalFormatting sqref="R83">
    <cfRule type="cellIs" dxfId="4990" priority="1705" operator="lessThan">
      <formula>0.8</formula>
    </cfRule>
    <cfRule type="cellIs" dxfId="4989" priority="1706" operator="greaterThan">
      <formula>1</formula>
    </cfRule>
  </conditionalFormatting>
  <conditionalFormatting sqref="R83">
    <cfRule type="cellIs" dxfId="4988" priority="1703" operator="greaterThan">
      <formula>1</formula>
    </cfRule>
    <cfRule type="cellIs" dxfId="4987" priority="1704" operator="lessThan">
      <formula>0.8</formula>
    </cfRule>
  </conditionalFormatting>
  <conditionalFormatting sqref="P83">
    <cfRule type="cellIs" dxfId="4986" priority="1702" operator="greaterThan">
      <formula>0</formula>
    </cfRule>
  </conditionalFormatting>
  <conditionalFormatting sqref="Q83">
    <cfRule type="cellIs" dxfId="4985" priority="1701" operator="lessThan">
      <formula>0</formula>
    </cfRule>
  </conditionalFormatting>
  <conditionalFormatting sqref="R83">
    <cfRule type="cellIs" dxfId="4984" priority="1699" operator="lessThan">
      <formula>0.8</formula>
    </cfRule>
    <cfRule type="cellIs" dxfId="4983" priority="1700" operator="greaterThan">
      <formula>1</formula>
    </cfRule>
  </conditionalFormatting>
  <conditionalFormatting sqref="R83">
    <cfRule type="cellIs" dxfId="4982" priority="1697" operator="greaterThan">
      <formula>1</formula>
    </cfRule>
    <cfRule type="cellIs" dxfId="4981" priority="1698" operator="lessThan">
      <formula>0.8</formula>
    </cfRule>
  </conditionalFormatting>
  <conditionalFormatting sqref="P83">
    <cfRule type="cellIs" dxfId="4980" priority="1696" operator="greaterThan">
      <formula>0</formula>
    </cfRule>
  </conditionalFormatting>
  <conditionalFormatting sqref="P83">
    <cfRule type="cellIs" dxfId="4979" priority="1690" operator="greaterThan">
      <formula>0</formula>
    </cfRule>
  </conditionalFormatting>
  <conditionalFormatting sqref="Q83">
    <cfRule type="cellIs" dxfId="4978" priority="1695" operator="lessThan">
      <formula>0</formula>
    </cfRule>
  </conditionalFormatting>
  <conditionalFormatting sqref="R83">
    <cfRule type="cellIs" dxfId="4977" priority="1693" operator="lessThan">
      <formula>0.8</formula>
    </cfRule>
    <cfRule type="cellIs" dxfId="4976" priority="1694" operator="greaterThan">
      <formula>1</formula>
    </cfRule>
  </conditionalFormatting>
  <conditionalFormatting sqref="R83">
    <cfRule type="cellIs" dxfId="4975" priority="1691" operator="greaterThan">
      <formula>1</formula>
    </cfRule>
    <cfRule type="cellIs" dxfId="4974" priority="1692" operator="lessThan">
      <formula>0.8</formula>
    </cfRule>
  </conditionalFormatting>
  <conditionalFormatting sqref="P83">
    <cfRule type="cellIs" dxfId="4973" priority="1684" operator="greaterThan">
      <formula>0</formula>
    </cfRule>
  </conditionalFormatting>
  <conditionalFormatting sqref="Q83">
    <cfRule type="cellIs" dxfId="4972" priority="1689" operator="lessThan">
      <formula>0</formula>
    </cfRule>
  </conditionalFormatting>
  <conditionalFormatting sqref="R83">
    <cfRule type="cellIs" dxfId="4971" priority="1687" operator="lessThan">
      <formula>0.8</formula>
    </cfRule>
    <cfRule type="cellIs" dxfId="4970" priority="1688" operator="greaterThan">
      <formula>1</formula>
    </cfRule>
  </conditionalFormatting>
  <conditionalFormatting sqref="R83">
    <cfRule type="cellIs" dxfId="4969" priority="1685" operator="greaterThan">
      <formula>1</formula>
    </cfRule>
    <cfRule type="cellIs" dxfId="4968" priority="1686" operator="lessThan">
      <formula>0.8</formula>
    </cfRule>
  </conditionalFormatting>
  <conditionalFormatting sqref="R83">
    <cfRule type="cellIs" dxfId="4967" priority="1681" operator="lessThan">
      <formula>0.8</formula>
    </cfRule>
    <cfRule type="cellIs" dxfId="4966" priority="1682" operator="greaterThan">
      <formula>1</formula>
    </cfRule>
  </conditionalFormatting>
  <conditionalFormatting sqref="R83">
    <cfRule type="cellIs" dxfId="4965" priority="1679" operator="greaterThan">
      <formula>1</formula>
    </cfRule>
    <cfRule type="cellIs" dxfId="4964" priority="1680" operator="lessThan">
      <formula>0.8</formula>
    </cfRule>
  </conditionalFormatting>
  <conditionalFormatting sqref="P83">
    <cfRule type="cellIs" dxfId="4963" priority="1678" operator="greaterThan">
      <formula>0</formula>
    </cfRule>
  </conditionalFormatting>
  <conditionalFormatting sqref="Q83">
    <cfRule type="cellIs" dxfId="4962" priority="1683" operator="lessThan">
      <formula>0</formula>
    </cfRule>
  </conditionalFormatting>
  <conditionalFormatting sqref="Q83">
    <cfRule type="cellIs" dxfId="4961" priority="1677" operator="lessThan">
      <formula>0</formula>
    </cfRule>
  </conditionalFormatting>
  <conditionalFormatting sqref="R83">
    <cfRule type="cellIs" dxfId="4960" priority="1675" operator="lessThan">
      <formula>0.8</formula>
    </cfRule>
    <cfRule type="cellIs" dxfId="4959" priority="1676" operator="greaterThan">
      <formula>1</formula>
    </cfRule>
  </conditionalFormatting>
  <conditionalFormatting sqref="R83">
    <cfRule type="cellIs" dxfId="4958" priority="1673" operator="greaterThan">
      <formula>1</formula>
    </cfRule>
    <cfRule type="cellIs" dxfId="4957" priority="1674" operator="lessThan">
      <formula>0.8</formula>
    </cfRule>
  </conditionalFormatting>
  <conditionalFormatting sqref="P83">
    <cfRule type="cellIs" dxfId="4956" priority="1672" operator="greaterThan">
      <formula>0</formula>
    </cfRule>
  </conditionalFormatting>
  <conditionalFormatting sqref="P83">
    <cfRule type="cellIs" dxfId="4955" priority="1666" operator="greaterThan">
      <formula>0</formula>
    </cfRule>
  </conditionalFormatting>
  <conditionalFormatting sqref="Q83">
    <cfRule type="cellIs" dxfId="4954" priority="1671" operator="lessThan">
      <formula>0</formula>
    </cfRule>
  </conditionalFormatting>
  <conditionalFormatting sqref="R83">
    <cfRule type="cellIs" dxfId="4953" priority="1669" operator="lessThan">
      <formula>0.8</formula>
    </cfRule>
    <cfRule type="cellIs" dxfId="4952" priority="1670" operator="greaterThan">
      <formula>1</formula>
    </cfRule>
  </conditionalFormatting>
  <conditionalFormatting sqref="R83">
    <cfRule type="cellIs" dxfId="4951" priority="1667" operator="greaterThan">
      <formula>1</formula>
    </cfRule>
    <cfRule type="cellIs" dxfId="4950" priority="1668" operator="lessThan">
      <formula>0.8</formula>
    </cfRule>
  </conditionalFormatting>
  <conditionalFormatting sqref="P83">
    <cfRule type="cellIs" dxfId="4949" priority="1660" operator="greaterThan">
      <formula>0</formula>
    </cfRule>
  </conditionalFormatting>
  <conditionalFormatting sqref="Q83">
    <cfRule type="cellIs" dxfId="4948" priority="1665" operator="lessThan">
      <formula>0</formula>
    </cfRule>
  </conditionalFormatting>
  <conditionalFormatting sqref="R83">
    <cfRule type="cellIs" dxfId="4947" priority="1663" operator="lessThan">
      <formula>0.8</formula>
    </cfRule>
    <cfRule type="cellIs" dxfId="4946" priority="1664" operator="greaterThan">
      <formula>1</formula>
    </cfRule>
  </conditionalFormatting>
  <conditionalFormatting sqref="R83">
    <cfRule type="cellIs" dxfId="4945" priority="1661" operator="greaterThan">
      <formula>1</formula>
    </cfRule>
    <cfRule type="cellIs" dxfId="4944" priority="1662" operator="lessThan">
      <formula>0.8</formula>
    </cfRule>
  </conditionalFormatting>
  <conditionalFormatting sqref="R83">
    <cfRule type="cellIs" dxfId="4943" priority="1657" operator="lessThan">
      <formula>0.8</formula>
    </cfRule>
    <cfRule type="cellIs" dxfId="4942" priority="1658" operator="greaterThan">
      <formula>1</formula>
    </cfRule>
  </conditionalFormatting>
  <conditionalFormatting sqref="R83">
    <cfRule type="cellIs" dxfId="4941" priority="1655" operator="greaterThan">
      <formula>1</formula>
    </cfRule>
    <cfRule type="cellIs" dxfId="4940" priority="1656" operator="lessThan">
      <formula>0.8</formula>
    </cfRule>
  </conditionalFormatting>
  <conditionalFormatting sqref="P83">
    <cfRule type="cellIs" dxfId="4939" priority="1654" operator="greaterThan">
      <formula>0</formula>
    </cfRule>
  </conditionalFormatting>
  <conditionalFormatting sqref="Q83">
    <cfRule type="cellIs" dxfId="4938" priority="1659" operator="lessThan">
      <formula>0</formula>
    </cfRule>
  </conditionalFormatting>
  <conditionalFormatting sqref="P83">
    <cfRule type="cellIs" dxfId="4937" priority="1648" operator="greaterThan">
      <formula>0</formula>
    </cfRule>
  </conditionalFormatting>
  <conditionalFormatting sqref="Q83">
    <cfRule type="cellIs" dxfId="4936" priority="1653" operator="lessThan">
      <formula>0</formula>
    </cfRule>
  </conditionalFormatting>
  <conditionalFormatting sqref="R83">
    <cfRule type="cellIs" dxfId="4935" priority="1651" operator="lessThan">
      <formula>0.8</formula>
    </cfRule>
    <cfRule type="cellIs" dxfId="4934" priority="1652" operator="greaterThan">
      <formula>1</formula>
    </cfRule>
  </conditionalFormatting>
  <conditionalFormatting sqref="R83">
    <cfRule type="cellIs" dxfId="4933" priority="1649" operator="greaterThan">
      <formula>1</formula>
    </cfRule>
    <cfRule type="cellIs" dxfId="4932" priority="1650" operator="lessThan">
      <formula>0.8</formula>
    </cfRule>
  </conditionalFormatting>
  <conditionalFormatting sqref="R83">
    <cfRule type="cellIs" dxfId="4931" priority="1645" operator="lessThan">
      <formula>0.8</formula>
    </cfRule>
    <cfRule type="cellIs" dxfId="4930" priority="1646" operator="greaterThan">
      <formula>1</formula>
    </cfRule>
  </conditionalFormatting>
  <conditionalFormatting sqref="R83">
    <cfRule type="cellIs" dxfId="4929" priority="1643" operator="greaterThan">
      <formula>1</formula>
    </cfRule>
    <cfRule type="cellIs" dxfId="4928" priority="1644" operator="lessThan">
      <formula>0.8</formula>
    </cfRule>
  </conditionalFormatting>
  <conditionalFormatting sqref="P83">
    <cfRule type="cellIs" dxfId="4927" priority="1642" operator="greaterThan">
      <formula>0</formula>
    </cfRule>
  </conditionalFormatting>
  <conditionalFormatting sqref="Q83">
    <cfRule type="cellIs" dxfId="4926" priority="1647" operator="lessThan">
      <formula>0</formula>
    </cfRule>
  </conditionalFormatting>
  <conditionalFormatting sqref="R83">
    <cfRule type="cellIs" dxfId="4925" priority="1639" operator="lessThan">
      <formula>0.8</formula>
    </cfRule>
    <cfRule type="cellIs" dxfId="4924" priority="1640" operator="greaterThan">
      <formula>1</formula>
    </cfRule>
  </conditionalFormatting>
  <conditionalFormatting sqref="R83">
    <cfRule type="cellIs" dxfId="4923" priority="1637" operator="greaterThan">
      <formula>1</formula>
    </cfRule>
    <cfRule type="cellIs" dxfId="4922" priority="1638" operator="lessThan">
      <formula>0.8</formula>
    </cfRule>
  </conditionalFormatting>
  <conditionalFormatting sqref="P83">
    <cfRule type="cellIs" dxfId="4921" priority="1636" operator="greaterThan">
      <formula>0</formula>
    </cfRule>
  </conditionalFormatting>
  <conditionalFormatting sqref="Q83">
    <cfRule type="cellIs" dxfId="4920" priority="1641" operator="lessThan">
      <formula>0</formula>
    </cfRule>
  </conditionalFormatting>
  <conditionalFormatting sqref="Q83">
    <cfRule type="cellIs" dxfId="4919" priority="1635" operator="lessThan">
      <formula>0</formula>
    </cfRule>
  </conditionalFormatting>
  <conditionalFormatting sqref="R83">
    <cfRule type="cellIs" dxfId="4918" priority="1633" operator="lessThan">
      <formula>0.8</formula>
    </cfRule>
    <cfRule type="cellIs" dxfId="4917" priority="1634" operator="greaterThan">
      <formula>1</formula>
    </cfRule>
  </conditionalFormatting>
  <conditionalFormatting sqref="R83">
    <cfRule type="cellIs" dxfId="4916" priority="1631" operator="greaterThan">
      <formula>1</formula>
    </cfRule>
    <cfRule type="cellIs" dxfId="4915" priority="1632" operator="lessThan">
      <formula>0.8</formula>
    </cfRule>
  </conditionalFormatting>
  <conditionalFormatting sqref="P83">
    <cfRule type="cellIs" dxfId="4914" priority="1630" operator="greaterThan">
      <formula>0</formula>
    </cfRule>
  </conditionalFormatting>
  <conditionalFormatting sqref="Q83">
    <cfRule type="cellIs" dxfId="4913" priority="1624" operator="lessThan">
      <formula>0</formula>
    </cfRule>
  </conditionalFormatting>
  <conditionalFormatting sqref="R83">
    <cfRule type="cellIs" dxfId="4912" priority="1628" operator="lessThan">
      <formula>0.8</formula>
    </cfRule>
    <cfRule type="cellIs" dxfId="4911" priority="1629" operator="greaterThan">
      <formula>1</formula>
    </cfRule>
  </conditionalFormatting>
  <conditionalFormatting sqref="R83">
    <cfRule type="cellIs" dxfId="4910" priority="1626" operator="greaterThan">
      <formula>1</formula>
    </cfRule>
    <cfRule type="cellIs" dxfId="4909" priority="1627" operator="lessThan">
      <formula>0.8</formula>
    </cfRule>
  </conditionalFormatting>
  <conditionalFormatting sqref="P83">
    <cfRule type="cellIs" dxfId="4908" priority="1625" operator="greaterThan">
      <formula>0</formula>
    </cfRule>
  </conditionalFormatting>
  <conditionalFormatting sqref="Q83">
    <cfRule type="cellIs" dxfId="4907" priority="1623" operator="lessThan">
      <formula>0</formula>
    </cfRule>
  </conditionalFormatting>
  <conditionalFormatting sqref="R83">
    <cfRule type="cellIs" dxfId="4906" priority="1621" operator="lessThan">
      <formula>0.8</formula>
    </cfRule>
    <cfRule type="cellIs" dxfId="4905" priority="1622" operator="greaterThan">
      <formula>1</formula>
    </cfRule>
  </conditionalFormatting>
  <conditionalFormatting sqref="R83">
    <cfRule type="cellIs" dxfId="4904" priority="1619" operator="greaterThan">
      <formula>1</formula>
    </cfRule>
    <cfRule type="cellIs" dxfId="4903" priority="1620" operator="lessThan">
      <formula>0.8</formula>
    </cfRule>
  </conditionalFormatting>
  <conditionalFormatting sqref="P83">
    <cfRule type="cellIs" dxfId="4902" priority="1618" operator="greaterThan">
      <formula>0</formula>
    </cfRule>
  </conditionalFormatting>
  <conditionalFormatting sqref="Q83">
    <cfRule type="cellIs" dxfId="4901" priority="1617" operator="lessThan">
      <formula>0</formula>
    </cfRule>
  </conditionalFormatting>
  <conditionalFormatting sqref="R83">
    <cfRule type="cellIs" dxfId="4900" priority="1615" operator="lessThan">
      <formula>0.8</formula>
    </cfRule>
    <cfRule type="cellIs" dxfId="4899" priority="1616" operator="greaterThan">
      <formula>1</formula>
    </cfRule>
  </conditionalFormatting>
  <conditionalFormatting sqref="R83">
    <cfRule type="cellIs" dxfId="4898" priority="1613" operator="greaterThan">
      <formula>1</formula>
    </cfRule>
    <cfRule type="cellIs" dxfId="4897" priority="1614" operator="lessThan">
      <formula>0.8</formula>
    </cfRule>
  </conditionalFormatting>
  <conditionalFormatting sqref="P83">
    <cfRule type="cellIs" dxfId="4896" priority="1612" operator="greaterThan">
      <formula>0</formula>
    </cfRule>
  </conditionalFormatting>
  <conditionalFormatting sqref="Q83">
    <cfRule type="cellIs" dxfId="4895" priority="1611" operator="lessThan">
      <formula>0</formula>
    </cfRule>
  </conditionalFormatting>
  <conditionalFormatting sqref="R83">
    <cfRule type="cellIs" dxfId="4894" priority="1609" operator="lessThan">
      <formula>0.8</formula>
    </cfRule>
    <cfRule type="cellIs" dxfId="4893" priority="1610" operator="greaterThan">
      <formula>1</formula>
    </cfRule>
  </conditionalFormatting>
  <conditionalFormatting sqref="R83">
    <cfRule type="cellIs" dxfId="4892" priority="1607" operator="greaterThan">
      <formula>1</formula>
    </cfRule>
    <cfRule type="cellIs" dxfId="4891" priority="1608" operator="lessThan">
      <formula>0.8</formula>
    </cfRule>
  </conditionalFormatting>
  <conditionalFormatting sqref="P83">
    <cfRule type="cellIs" dxfId="4890" priority="1606" operator="greaterThan">
      <formula>0</formula>
    </cfRule>
  </conditionalFormatting>
  <conditionalFormatting sqref="Q83">
    <cfRule type="cellIs" dxfId="4889" priority="1605" operator="lessThan">
      <formula>0</formula>
    </cfRule>
  </conditionalFormatting>
  <conditionalFormatting sqref="R83">
    <cfRule type="cellIs" dxfId="4888" priority="1603" operator="lessThan">
      <formula>0.8</formula>
    </cfRule>
    <cfRule type="cellIs" dxfId="4887" priority="1604" operator="greaterThan">
      <formula>1</formula>
    </cfRule>
  </conditionalFormatting>
  <conditionalFormatting sqref="R83">
    <cfRule type="cellIs" dxfId="4886" priority="1601" operator="greaterThan">
      <formula>1</formula>
    </cfRule>
    <cfRule type="cellIs" dxfId="4885" priority="1602" operator="lessThan">
      <formula>0.8</formula>
    </cfRule>
  </conditionalFormatting>
  <conditionalFormatting sqref="P83">
    <cfRule type="cellIs" dxfId="4884" priority="1600" operator="greaterThan">
      <formula>0</formula>
    </cfRule>
  </conditionalFormatting>
  <conditionalFormatting sqref="Q83">
    <cfRule type="cellIs" dxfId="4883" priority="1599" operator="lessThan">
      <formula>0</formula>
    </cfRule>
  </conditionalFormatting>
  <conditionalFormatting sqref="R83">
    <cfRule type="cellIs" dxfId="4882" priority="1597" operator="lessThan">
      <formula>0.8</formula>
    </cfRule>
    <cfRule type="cellIs" dxfId="4881" priority="1598" operator="greaterThan">
      <formula>1</formula>
    </cfRule>
  </conditionalFormatting>
  <conditionalFormatting sqref="R83">
    <cfRule type="cellIs" dxfId="4880" priority="1595" operator="greaterThan">
      <formula>1</formula>
    </cfRule>
    <cfRule type="cellIs" dxfId="4879" priority="1596" operator="lessThan">
      <formula>0.8</formula>
    </cfRule>
  </conditionalFormatting>
  <conditionalFormatting sqref="P83">
    <cfRule type="cellIs" dxfId="4878" priority="1594" operator="greaterThan">
      <formula>0</formula>
    </cfRule>
  </conditionalFormatting>
  <conditionalFormatting sqref="P83">
    <cfRule type="cellIs" dxfId="4877" priority="1588" operator="greaterThan">
      <formula>0</formula>
    </cfRule>
  </conditionalFormatting>
  <conditionalFormatting sqref="Q83">
    <cfRule type="cellIs" dxfId="4876" priority="1593" operator="lessThan">
      <formula>0</formula>
    </cfRule>
  </conditionalFormatting>
  <conditionalFormatting sqref="R83">
    <cfRule type="cellIs" dxfId="4875" priority="1591" operator="lessThan">
      <formula>0.8</formula>
    </cfRule>
    <cfRule type="cellIs" dxfId="4874" priority="1592" operator="greaterThan">
      <formula>1</formula>
    </cfRule>
  </conditionalFormatting>
  <conditionalFormatting sqref="R83">
    <cfRule type="cellIs" dxfId="4873" priority="1589" operator="greaterThan">
      <formula>1</formula>
    </cfRule>
    <cfRule type="cellIs" dxfId="4872" priority="1590" operator="lessThan">
      <formula>0.8</formula>
    </cfRule>
  </conditionalFormatting>
  <conditionalFormatting sqref="P83">
    <cfRule type="cellIs" dxfId="4871" priority="1582" operator="greaterThan">
      <formula>0</formula>
    </cfRule>
  </conditionalFormatting>
  <conditionalFormatting sqref="Q83">
    <cfRule type="cellIs" dxfId="4870" priority="1587" operator="lessThan">
      <formula>0</formula>
    </cfRule>
  </conditionalFormatting>
  <conditionalFormatting sqref="R83">
    <cfRule type="cellIs" dxfId="4869" priority="1585" operator="lessThan">
      <formula>0.8</formula>
    </cfRule>
    <cfRule type="cellIs" dxfId="4868" priority="1586" operator="greaterThan">
      <formula>1</formula>
    </cfRule>
  </conditionalFormatting>
  <conditionalFormatting sqref="R83">
    <cfRule type="cellIs" dxfId="4867" priority="1583" operator="greaterThan">
      <formula>1</formula>
    </cfRule>
    <cfRule type="cellIs" dxfId="4866" priority="1584" operator="lessThan">
      <formula>0.8</formula>
    </cfRule>
  </conditionalFormatting>
  <conditionalFormatting sqref="R83">
    <cfRule type="cellIs" dxfId="4865" priority="1579" operator="lessThan">
      <formula>0.8</formula>
    </cfRule>
    <cfRule type="cellIs" dxfId="4864" priority="1580" operator="greaterThan">
      <formula>1</formula>
    </cfRule>
  </conditionalFormatting>
  <conditionalFormatting sqref="R83">
    <cfRule type="cellIs" dxfId="4863" priority="1577" operator="greaterThan">
      <formula>1</formula>
    </cfRule>
    <cfRule type="cellIs" dxfId="4862" priority="1578" operator="lessThan">
      <formula>0.8</formula>
    </cfRule>
  </conditionalFormatting>
  <conditionalFormatting sqref="P83">
    <cfRule type="cellIs" dxfId="4861" priority="1576" operator="greaterThan">
      <formula>0</formula>
    </cfRule>
  </conditionalFormatting>
  <conditionalFormatting sqref="Q83">
    <cfRule type="cellIs" dxfId="4860" priority="1581" operator="lessThan">
      <formula>0</formula>
    </cfRule>
  </conditionalFormatting>
  <conditionalFormatting sqref="Q83">
    <cfRule type="cellIs" dxfId="4859" priority="1570" operator="lessThan">
      <formula>0</formula>
    </cfRule>
  </conditionalFormatting>
  <conditionalFormatting sqref="P83">
    <cfRule type="cellIs" dxfId="4858" priority="1571" operator="greaterThan">
      <formula>0</formula>
    </cfRule>
  </conditionalFormatting>
  <conditionalFormatting sqref="R83">
    <cfRule type="cellIs" dxfId="4857" priority="1574" operator="lessThan">
      <formula>0.8</formula>
    </cfRule>
    <cfRule type="cellIs" dxfId="4856" priority="1575" operator="greaterThan">
      <formula>1</formula>
    </cfRule>
  </conditionalFormatting>
  <conditionalFormatting sqref="R83">
    <cfRule type="cellIs" dxfId="4855" priority="1572" operator="greaterThan">
      <formula>1</formula>
    </cfRule>
    <cfRule type="cellIs" dxfId="4854" priority="1573" operator="lessThan">
      <formula>0.8</formula>
    </cfRule>
  </conditionalFormatting>
  <conditionalFormatting sqref="Q83">
    <cfRule type="cellIs" dxfId="4853" priority="1564" operator="lessThan">
      <formula>0</formula>
    </cfRule>
  </conditionalFormatting>
  <conditionalFormatting sqref="R83">
    <cfRule type="cellIs" dxfId="4852" priority="1568" operator="lessThan">
      <formula>0.8</formula>
    </cfRule>
    <cfRule type="cellIs" dxfId="4851" priority="1569" operator="greaterThan">
      <formula>1</formula>
    </cfRule>
  </conditionalFormatting>
  <conditionalFormatting sqref="R83">
    <cfRule type="cellIs" dxfId="4850" priority="1566" operator="greaterThan">
      <formula>1</formula>
    </cfRule>
    <cfRule type="cellIs" dxfId="4849" priority="1567" operator="lessThan">
      <formula>0.8</formula>
    </cfRule>
  </conditionalFormatting>
  <conditionalFormatting sqref="P83">
    <cfRule type="cellIs" dxfId="4848" priority="1565" operator="greaterThan">
      <formula>0</formula>
    </cfRule>
  </conditionalFormatting>
  <conditionalFormatting sqref="Q83">
    <cfRule type="cellIs" dxfId="4847" priority="1563" operator="lessThan">
      <formula>0</formula>
    </cfRule>
  </conditionalFormatting>
  <conditionalFormatting sqref="R83">
    <cfRule type="cellIs" dxfId="4846" priority="1561" operator="lessThan">
      <formula>0.8</formula>
    </cfRule>
    <cfRule type="cellIs" dxfId="4845" priority="1562" operator="greaterThan">
      <formula>1</formula>
    </cfRule>
  </conditionalFormatting>
  <conditionalFormatting sqref="R83">
    <cfRule type="cellIs" dxfId="4844" priority="1559" operator="greaterThan">
      <formula>1</formula>
    </cfRule>
    <cfRule type="cellIs" dxfId="4843" priority="1560" operator="lessThan">
      <formula>0.8</formula>
    </cfRule>
  </conditionalFormatting>
  <conditionalFormatting sqref="P83">
    <cfRule type="cellIs" dxfId="4842" priority="1558" operator="greaterThan">
      <formula>0</formula>
    </cfRule>
  </conditionalFormatting>
  <conditionalFormatting sqref="Q83">
    <cfRule type="cellIs" dxfId="4841" priority="1557" operator="lessThan">
      <formula>0</formula>
    </cfRule>
  </conditionalFormatting>
  <conditionalFormatting sqref="R83">
    <cfRule type="cellIs" dxfId="4840" priority="1555" operator="lessThan">
      <formula>0.8</formula>
    </cfRule>
    <cfRule type="cellIs" dxfId="4839" priority="1556" operator="greaterThan">
      <formula>1</formula>
    </cfRule>
  </conditionalFormatting>
  <conditionalFormatting sqref="R83">
    <cfRule type="cellIs" dxfId="4838" priority="1553" operator="greaterThan">
      <formula>1</formula>
    </cfRule>
    <cfRule type="cellIs" dxfId="4837" priority="1554" operator="lessThan">
      <formula>0.8</formula>
    </cfRule>
  </conditionalFormatting>
  <conditionalFormatting sqref="P83">
    <cfRule type="cellIs" dxfId="4836" priority="1552" operator="greaterThan">
      <formula>0</formula>
    </cfRule>
  </conditionalFormatting>
  <conditionalFormatting sqref="Q83">
    <cfRule type="cellIs" dxfId="4835" priority="1551" operator="lessThan">
      <formula>0</formula>
    </cfRule>
  </conditionalFormatting>
  <conditionalFormatting sqref="R83">
    <cfRule type="cellIs" dxfId="4834" priority="1549" operator="lessThan">
      <formula>0.8</formula>
    </cfRule>
    <cfRule type="cellIs" dxfId="4833" priority="1550" operator="greaterThan">
      <formula>1</formula>
    </cfRule>
  </conditionalFormatting>
  <conditionalFormatting sqref="R83">
    <cfRule type="cellIs" dxfId="4832" priority="1547" operator="greaterThan">
      <formula>1</formula>
    </cfRule>
    <cfRule type="cellIs" dxfId="4831" priority="1548" operator="lessThan">
      <formula>0.8</formula>
    </cfRule>
  </conditionalFormatting>
  <conditionalFormatting sqref="P83">
    <cfRule type="cellIs" dxfId="4830" priority="1546" operator="greaterThan">
      <formula>0</formula>
    </cfRule>
  </conditionalFormatting>
  <conditionalFormatting sqref="Q32:Q40">
    <cfRule type="cellIs" dxfId="4829" priority="1541" operator="lessThan">
      <formula>0</formula>
    </cfRule>
  </conditionalFormatting>
  <conditionalFormatting sqref="R32:R40">
    <cfRule type="cellIs" dxfId="4828" priority="1544" operator="lessThan">
      <formula>0.8</formula>
    </cfRule>
    <cfRule type="cellIs" dxfId="4827" priority="1545" operator="greaterThan">
      <formula>1</formula>
    </cfRule>
  </conditionalFormatting>
  <conditionalFormatting sqref="R32:R40">
    <cfRule type="cellIs" dxfId="4826" priority="1542" operator="greaterThan">
      <formula>1</formula>
    </cfRule>
    <cfRule type="cellIs" dxfId="4825" priority="1543" operator="lessThan">
      <formula>0.8</formula>
    </cfRule>
  </conditionalFormatting>
  <conditionalFormatting sqref="Q32:Q40">
    <cfRule type="cellIs" dxfId="4824" priority="1536" operator="lessThan">
      <formula>0</formula>
    </cfRule>
  </conditionalFormatting>
  <conditionalFormatting sqref="R32:R40">
    <cfRule type="cellIs" dxfId="4823" priority="1539" operator="lessThan">
      <formula>0.8</formula>
    </cfRule>
    <cfRule type="cellIs" dxfId="4822" priority="1540" operator="greaterThan">
      <formula>1</formula>
    </cfRule>
  </conditionalFormatting>
  <conditionalFormatting sqref="R32:R40">
    <cfRule type="cellIs" dxfId="4821" priority="1537" operator="greaterThan">
      <formula>1</formula>
    </cfRule>
    <cfRule type="cellIs" dxfId="4820" priority="1538" operator="lessThan">
      <formula>0.8</formula>
    </cfRule>
  </conditionalFormatting>
  <conditionalFormatting sqref="Q32:Q40">
    <cfRule type="cellIs" dxfId="4819" priority="1535" operator="lessThan">
      <formula>0</formula>
    </cfRule>
  </conditionalFormatting>
  <conditionalFormatting sqref="R32:R40">
    <cfRule type="cellIs" dxfId="4818" priority="1533" operator="lessThan">
      <formula>0.8</formula>
    </cfRule>
    <cfRule type="cellIs" dxfId="4817" priority="1534" operator="greaterThan">
      <formula>1</formula>
    </cfRule>
  </conditionalFormatting>
  <conditionalFormatting sqref="R32:R40">
    <cfRule type="cellIs" dxfId="4816" priority="1531" operator="greaterThan">
      <formula>1</formula>
    </cfRule>
    <cfRule type="cellIs" dxfId="4815" priority="1532" operator="lessThan">
      <formula>0.8</formula>
    </cfRule>
  </conditionalFormatting>
  <conditionalFormatting sqref="Q32:Q40">
    <cfRule type="cellIs" dxfId="4814" priority="1530" operator="lessThan">
      <formula>0</formula>
    </cfRule>
  </conditionalFormatting>
  <conditionalFormatting sqref="R32:R40">
    <cfRule type="cellIs" dxfId="4813" priority="1528" operator="lessThan">
      <formula>0.8</formula>
    </cfRule>
    <cfRule type="cellIs" dxfId="4812" priority="1529" operator="greaterThan">
      <formula>1</formula>
    </cfRule>
  </conditionalFormatting>
  <conditionalFormatting sqref="R32:R40">
    <cfRule type="cellIs" dxfId="4811" priority="1526" operator="greaterThan">
      <formula>1</formula>
    </cfRule>
    <cfRule type="cellIs" dxfId="4810" priority="1527" operator="lessThan">
      <formula>0.8</formula>
    </cfRule>
  </conditionalFormatting>
  <conditionalFormatting sqref="Q32:Q40">
    <cfRule type="cellIs" dxfId="4809" priority="1521" operator="lessThan">
      <formula>0</formula>
    </cfRule>
  </conditionalFormatting>
  <conditionalFormatting sqref="R32:R40">
    <cfRule type="cellIs" dxfId="4808" priority="1524" operator="lessThan">
      <formula>0.8</formula>
    </cfRule>
    <cfRule type="cellIs" dxfId="4807" priority="1525" operator="greaterThan">
      <formula>1</formula>
    </cfRule>
  </conditionalFormatting>
  <conditionalFormatting sqref="R32:R40">
    <cfRule type="cellIs" dxfId="4806" priority="1522" operator="greaterThan">
      <formula>1</formula>
    </cfRule>
    <cfRule type="cellIs" dxfId="4805" priority="1523" operator="lessThan">
      <formula>0.8</formula>
    </cfRule>
  </conditionalFormatting>
  <conditionalFormatting sqref="Q32:Q40">
    <cfRule type="cellIs" dxfId="4804" priority="1520" operator="lessThan">
      <formula>0</formula>
    </cfRule>
  </conditionalFormatting>
  <conditionalFormatting sqref="R32:R40">
    <cfRule type="cellIs" dxfId="4803" priority="1518" operator="lessThan">
      <formula>0.8</formula>
    </cfRule>
    <cfRule type="cellIs" dxfId="4802" priority="1519" operator="greaterThan">
      <formula>1</formula>
    </cfRule>
  </conditionalFormatting>
  <conditionalFormatting sqref="R32:R40">
    <cfRule type="cellIs" dxfId="4801" priority="1516" operator="greaterThan">
      <formula>1</formula>
    </cfRule>
    <cfRule type="cellIs" dxfId="4800" priority="1517" operator="lessThan">
      <formula>0.8</formula>
    </cfRule>
  </conditionalFormatting>
  <conditionalFormatting sqref="Q32:Q40">
    <cfRule type="cellIs" dxfId="4799" priority="1515" operator="lessThan">
      <formula>0</formula>
    </cfRule>
  </conditionalFormatting>
  <conditionalFormatting sqref="R32:R40">
    <cfRule type="cellIs" dxfId="4798" priority="1513" operator="lessThan">
      <formula>0.8</formula>
    </cfRule>
    <cfRule type="cellIs" dxfId="4797" priority="1514" operator="greaterThan">
      <formula>1</formula>
    </cfRule>
  </conditionalFormatting>
  <conditionalFormatting sqref="R32:R40">
    <cfRule type="cellIs" dxfId="4796" priority="1511" operator="greaterThan">
      <formula>1</formula>
    </cfRule>
    <cfRule type="cellIs" dxfId="4795" priority="1512" operator="lessThan">
      <formula>0.8</formula>
    </cfRule>
  </conditionalFormatting>
  <conditionalFormatting sqref="Q32:Q40">
    <cfRule type="cellIs" dxfId="4794" priority="1510" operator="lessThan">
      <formula>0</formula>
    </cfRule>
  </conditionalFormatting>
  <conditionalFormatting sqref="R32:R40">
    <cfRule type="cellIs" dxfId="4793" priority="1508" operator="lessThan">
      <formula>0.8</formula>
    </cfRule>
    <cfRule type="cellIs" dxfId="4792" priority="1509" operator="greaterThan">
      <formula>1</formula>
    </cfRule>
  </conditionalFormatting>
  <conditionalFormatting sqref="R32:R40">
    <cfRule type="cellIs" dxfId="4791" priority="1506" operator="greaterThan">
      <formula>1</formula>
    </cfRule>
    <cfRule type="cellIs" dxfId="4790" priority="1507" operator="lessThan">
      <formula>0.8</formula>
    </cfRule>
  </conditionalFormatting>
  <conditionalFormatting sqref="Q32:Q40">
    <cfRule type="cellIs" dxfId="4789" priority="1505" operator="lessThan">
      <formula>0</formula>
    </cfRule>
  </conditionalFormatting>
  <conditionalFormatting sqref="R32:R40">
    <cfRule type="cellIs" dxfId="4788" priority="1503" operator="lessThan">
      <formula>0.8</formula>
    </cfRule>
    <cfRule type="cellIs" dxfId="4787" priority="1504" operator="greaterThan">
      <formula>1</formula>
    </cfRule>
  </conditionalFormatting>
  <conditionalFormatting sqref="R32:R40">
    <cfRule type="cellIs" dxfId="4786" priority="1501" operator="greaterThan">
      <formula>1</formula>
    </cfRule>
    <cfRule type="cellIs" dxfId="4785" priority="1502" operator="lessThan">
      <formula>0.8</formula>
    </cfRule>
  </conditionalFormatting>
  <conditionalFormatting sqref="Q32:Q40">
    <cfRule type="cellIs" dxfId="4784" priority="1500" operator="lessThan">
      <formula>0</formula>
    </cfRule>
  </conditionalFormatting>
  <conditionalFormatting sqref="R32:R40">
    <cfRule type="cellIs" dxfId="4783" priority="1498" operator="lessThan">
      <formula>0.8</formula>
    </cfRule>
    <cfRule type="cellIs" dxfId="4782" priority="1499" operator="greaterThan">
      <formula>1</formula>
    </cfRule>
  </conditionalFormatting>
  <conditionalFormatting sqref="R32:R40">
    <cfRule type="cellIs" dxfId="4781" priority="1496" operator="greaterThan">
      <formula>1</formula>
    </cfRule>
    <cfRule type="cellIs" dxfId="4780" priority="1497" operator="lessThan">
      <formula>0.8</formula>
    </cfRule>
  </conditionalFormatting>
  <conditionalFormatting sqref="Q32:Q40">
    <cfRule type="cellIs" dxfId="4779" priority="1495" operator="lessThan">
      <formula>0</formula>
    </cfRule>
  </conditionalFormatting>
  <conditionalFormatting sqref="R32:R40">
    <cfRule type="cellIs" dxfId="4778" priority="1493" operator="lessThan">
      <formula>0.8</formula>
    </cfRule>
    <cfRule type="cellIs" dxfId="4777" priority="1494" operator="greaterThan">
      <formula>1</formula>
    </cfRule>
  </conditionalFormatting>
  <conditionalFormatting sqref="R32:R40">
    <cfRule type="cellIs" dxfId="4776" priority="1491" operator="greaterThan">
      <formula>1</formula>
    </cfRule>
    <cfRule type="cellIs" dxfId="4775" priority="1492" operator="lessThan">
      <formula>0.8</formula>
    </cfRule>
  </conditionalFormatting>
  <conditionalFormatting sqref="Q32:Q40">
    <cfRule type="cellIs" dxfId="4774" priority="1490" operator="lessThan">
      <formula>0</formula>
    </cfRule>
  </conditionalFormatting>
  <conditionalFormatting sqref="R32:R40">
    <cfRule type="cellIs" dxfId="4773" priority="1488" operator="lessThan">
      <formula>0.8</formula>
    </cfRule>
    <cfRule type="cellIs" dxfId="4772" priority="1489" operator="greaterThan">
      <formula>1</formula>
    </cfRule>
  </conditionalFormatting>
  <conditionalFormatting sqref="R32:R40">
    <cfRule type="cellIs" dxfId="4771" priority="1486" operator="greaterThan">
      <formula>1</formula>
    </cfRule>
    <cfRule type="cellIs" dxfId="4770" priority="1487" operator="lessThan">
      <formula>0.8</formula>
    </cfRule>
  </conditionalFormatting>
  <conditionalFormatting sqref="R32:R40">
    <cfRule type="cellIs" dxfId="4769" priority="1483" operator="lessThan">
      <formula>0.8</formula>
    </cfRule>
    <cfRule type="cellIs" dxfId="4768" priority="1484" operator="greaterThan">
      <formula>1</formula>
    </cfRule>
  </conditionalFormatting>
  <conditionalFormatting sqref="R32:R40">
    <cfRule type="cellIs" dxfId="4767" priority="1481" operator="greaterThan">
      <formula>1</formula>
    </cfRule>
    <cfRule type="cellIs" dxfId="4766" priority="1482" operator="lessThan">
      <formula>0.8</formula>
    </cfRule>
  </conditionalFormatting>
  <conditionalFormatting sqref="Q32:Q40">
    <cfRule type="cellIs" dxfId="4765" priority="1485" operator="lessThan">
      <formula>0</formula>
    </cfRule>
  </conditionalFormatting>
  <conditionalFormatting sqref="Q32:Q40">
    <cfRule type="cellIs" dxfId="4764" priority="1476" operator="lessThan">
      <formula>0</formula>
    </cfRule>
  </conditionalFormatting>
  <conditionalFormatting sqref="R32:R40">
    <cfRule type="cellIs" dxfId="4763" priority="1479" operator="lessThan">
      <formula>0.8</formula>
    </cfRule>
    <cfRule type="cellIs" dxfId="4762" priority="1480" operator="greaterThan">
      <formula>1</formula>
    </cfRule>
  </conditionalFormatting>
  <conditionalFormatting sqref="R32:R40">
    <cfRule type="cellIs" dxfId="4761" priority="1477" operator="greaterThan">
      <formula>1</formula>
    </cfRule>
    <cfRule type="cellIs" dxfId="4760" priority="1478" operator="lessThan">
      <formula>0.8</formula>
    </cfRule>
  </conditionalFormatting>
  <conditionalFormatting sqref="Q32:Q40">
    <cfRule type="cellIs" dxfId="4759" priority="1471" operator="lessThan">
      <formula>0</formula>
    </cfRule>
  </conditionalFormatting>
  <conditionalFormatting sqref="R32:R40">
    <cfRule type="cellIs" dxfId="4758" priority="1474" operator="lessThan">
      <formula>0.8</formula>
    </cfRule>
    <cfRule type="cellIs" dxfId="4757" priority="1475" operator="greaterThan">
      <formula>1</formula>
    </cfRule>
  </conditionalFormatting>
  <conditionalFormatting sqref="R32:R40">
    <cfRule type="cellIs" dxfId="4756" priority="1472" operator="greaterThan">
      <formula>1</formula>
    </cfRule>
    <cfRule type="cellIs" dxfId="4755" priority="1473" operator="lessThan">
      <formula>0.8</formula>
    </cfRule>
  </conditionalFormatting>
  <conditionalFormatting sqref="Q32:Q40">
    <cfRule type="cellIs" dxfId="4754" priority="1470" operator="lessThan">
      <formula>0</formula>
    </cfRule>
  </conditionalFormatting>
  <conditionalFormatting sqref="R32:R40">
    <cfRule type="cellIs" dxfId="4753" priority="1468" operator="lessThan">
      <formula>0.8</formula>
    </cfRule>
    <cfRule type="cellIs" dxfId="4752" priority="1469" operator="greaterThan">
      <formula>1</formula>
    </cfRule>
  </conditionalFormatting>
  <conditionalFormatting sqref="R32:R40">
    <cfRule type="cellIs" dxfId="4751" priority="1466" operator="greaterThan">
      <formula>1</formula>
    </cfRule>
    <cfRule type="cellIs" dxfId="4750" priority="1467" operator="lessThan">
      <formula>0.8</formula>
    </cfRule>
  </conditionalFormatting>
  <conditionalFormatting sqref="Q32:Q40">
    <cfRule type="cellIs" dxfId="4749" priority="1465" operator="lessThan">
      <formula>0</formula>
    </cfRule>
  </conditionalFormatting>
  <conditionalFormatting sqref="R32:R40">
    <cfRule type="cellIs" dxfId="4748" priority="1463" operator="lessThan">
      <formula>0.8</formula>
    </cfRule>
    <cfRule type="cellIs" dxfId="4747" priority="1464" operator="greaterThan">
      <formula>1</formula>
    </cfRule>
  </conditionalFormatting>
  <conditionalFormatting sqref="R32:R40">
    <cfRule type="cellIs" dxfId="4746" priority="1461" operator="greaterThan">
      <formula>1</formula>
    </cfRule>
    <cfRule type="cellIs" dxfId="4745" priority="1462" operator="lessThan">
      <formula>0.8</formula>
    </cfRule>
  </conditionalFormatting>
  <conditionalFormatting sqref="Q32:Q40">
    <cfRule type="cellIs" dxfId="4744" priority="1456" operator="lessThan">
      <formula>0</formula>
    </cfRule>
  </conditionalFormatting>
  <conditionalFormatting sqref="R32:R40">
    <cfRule type="cellIs" dxfId="4743" priority="1459" operator="lessThan">
      <formula>0.8</formula>
    </cfRule>
    <cfRule type="cellIs" dxfId="4742" priority="1460" operator="greaterThan">
      <formula>1</formula>
    </cfRule>
  </conditionalFormatting>
  <conditionalFormatting sqref="R32:R40">
    <cfRule type="cellIs" dxfId="4741" priority="1457" operator="greaterThan">
      <formula>1</formula>
    </cfRule>
    <cfRule type="cellIs" dxfId="4740" priority="1458" operator="lessThan">
      <formula>0.8</formula>
    </cfRule>
  </conditionalFormatting>
  <conditionalFormatting sqref="Q32:Q40">
    <cfRule type="cellIs" dxfId="4739" priority="1451" operator="lessThan">
      <formula>0</formula>
    </cfRule>
  </conditionalFormatting>
  <conditionalFormatting sqref="R32:R40">
    <cfRule type="cellIs" dxfId="4738" priority="1454" operator="lessThan">
      <formula>0.8</formula>
    </cfRule>
    <cfRule type="cellIs" dxfId="4737" priority="1455" operator="greaterThan">
      <formula>1</formula>
    </cfRule>
  </conditionalFormatting>
  <conditionalFormatting sqref="R32:R40">
    <cfRule type="cellIs" dxfId="4736" priority="1452" operator="greaterThan">
      <formula>1</formula>
    </cfRule>
    <cfRule type="cellIs" dxfId="4735" priority="1453" operator="lessThan">
      <formula>0.8</formula>
    </cfRule>
  </conditionalFormatting>
  <conditionalFormatting sqref="Q32:Q40">
    <cfRule type="cellIs" dxfId="4734" priority="1450" operator="lessThan">
      <formula>0</formula>
    </cfRule>
  </conditionalFormatting>
  <conditionalFormatting sqref="R32:R40">
    <cfRule type="cellIs" dxfId="4733" priority="1448" operator="lessThan">
      <formula>0.8</formula>
    </cfRule>
    <cfRule type="cellIs" dxfId="4732" priority="1449" operator="greaterThan">
      <formula>1</formula>
    </cfRule>
  </conditionalFormatting>
  <conditionalFormatting sqref="R32:R40">
    <cfRule type="cellIs" dxfId="4731" priority="1446" operator="greaterThan">
      <formula>1</formula>
    </cfRule>
    <cfRule type="cellIs" dxfId="4730" priority="1447" operator="lessThan">
      <formula>0.8</formula>
    </cfRule>
  </conditionalFormatting>
  <conditionalFormatting sqref="Q32:Q40">
    <cfRule type="cellIs" dxfId="4729" priority="1445" operator="lessThan">
      <formula>0</formula>
    </cfRule>
  </conditionalFormatting>
  <conditionalFormatting sqref="R32:R40">
    <cfRule type="cellIs" dxfId="4728" priority="1443" operator="lessThan">
      <formula>0.8</formula>
    </cfRule>
    <cfRule type="cellIs" dxfId="4727" priority="1444" operator="greaterThan">
      <formula>1</formula>
    </cfRule>
  </conditionalFormatting>
  <conditionalFormatting sqref="R32:R40">
    <cfRule type="cellIs" dxfId="4726" priority="1441" operator="greaterThan">
      <formula>1</formula>
    </cfRule>
    <cfRule type="cellIs" dxfId="4725" priority="1442" operator="lessThan">
      <formula>0.8</formula>
    </cfRule>
  </conditionalFormatting>
  <conditionalFormatting sqref="Q19:Q25">
    <cfRule type="cellIs" dxfId="4724" priority="1440" operator="lessThan">
      <formula>0</formula>
    </cfRule>
  </conditionalFormatting>
  <conditionalFormatting sqref="R19:R25">
    <cfRule type="cellIs" dxfId="4723" priority="1438" operator="lessThan">
      <formula>0.8</formula>
    </cfRule>
    <cfRule type="cellIs" dxfId="4722" priority="1439" operator="greaterThan">
      <formula>1</formula>
    </cfRule>
  </conditionalFormatting>
  <conditionalFormatting sqref="R19:R25">
    <cfRule type="cellIs" dxfId="4721" priority="1436" operator="greaterThan">
      <formula>1</formula>
    </cfRule>
    <cfRule type="cellIs" dxfId="4720" priority="1437" operator="lessThan">
      <formula>0.8</formula>
    </cfRule>
  </conditionalFormatting>
  <conditionalFormatting sqref="R19:R25">
    <cfRule type="cellIs" dxfId="4719" priority="1433" operator="lessThan">
      <formula>0.8</formula>
    </cfRule>
    <cfRule type="cellIs" dxfId="4718" priority="1434" operator="greaterThan">
      <formula>1</formula>
    </cfRule>
  </conditionalFormatting>
  <conditionalFormatting sqref="R19:R25">
    <cfRule type="cellIs" dxfId="4717" priority="1431" operator="greaterThan">
      <formula>1</formula>
    </cfRule>
    <cfRule type="cellIs" dxfId="4716" priority="1432" operator="lessThan">
      <formula>0.8</formula>
    </cfRule>
  </conditionalFormatting>
  <conditionalFormatting sqref="Q19:Q25">
    <cfRule type="cellIs" dxfId="4715" priority="1435" operator="lessThan">
      <formula>0</formula>
    </cfRule>
  </conditionalFormatting>
  <conditionalFormatting sqref="R19:R25">
    <cfRule type="cellIs" dxfId="4714" priority="1428" operator="lessThan">
      <formula>0.8</formula>
    </cfRule>
    <cfRule type="cellIs" dxfId="4713" priority="1429" operator="greaterThan">
      <formula>1</formula>
    </cfRule>
  </conditionalFormatting>
  <conditionalFormatting sqref="R19:R25">
    <cfRule type="cellIs" dxfId="4712" priority="1426" operator="greaterThan">
      <formula>1</formula>
    </cfRule>
    <cfRule type="cellIs" dxfId="4711" priority="1427" operator="lessThan">
      <formula>0.8</formula>
    </cfRule>
  </conditionalFormatting>
  <conditionalFormatting sqref="Q19:Q25">
    <cfRule type="cellIs" dxfId="4710" priority="1430" operator="lessThan">
      <formula>0</formula>
    </cfRule>
  </conditionalFormatting>
  <conditionalFormatting sqref="Q19:Q25">
    <cfRule type="cellIs" dxfId="4709" priority="1425" operator="lessThan">
      <formula>0</formula>
    </cfRule>
  </conditionalFormatting>
  <conditionalFormatting sqref="R19:R25">
    <cfRule type="cellIs" dxfId="4708" priority="1423" operator="lessThan">
      <formula>0.8</formula>
    </cfRule>
    <cfRule type="cellIs" dxfId="4707" priority="1424" operator="greaterThan">
      <formula>1</formula>
    </cfRule>
  </conditionalFormatting>
  <conditionalFormatting sqref="R19:R25">
    <cfRule type="cellIs" dxfId="4706" priority="1421" operator="greaterThan">
      <formula>1</formula>
    </cfRule>
    <cfRule type="cellIs" dxfId="4705" priority="1422" operator="lessThan">
      <formula>0.8</formula>
    </cfRule>
  </conditionalFormatting>
  <conditionalFormatting sqref="Q135:Q136">
    <cfRule type="cellIs" dxfId="4704" priority="1420" operator="lessThan">
      <formula>0</formula>
    </cfRule>
  </conditionalFormatting>
  <conditionalFormatting sqref="R135:R136 R139:R145">
    <cfRule type="cellIs" dxfId="4703" priority="1418" operator="lessThan">
      <formula>0.8</formula>
    </cfRule>
    <cfRule type="cellIs" dxfId="4702" priority="1419" operator="greaterThan">
      <formula>1</formula>
    </cfRule>
  </conditionalFormatting>
  <conditionalFormatting sqref="R135:R136 R139:R145">
    <cfRule type="cellIs" dxfId="4701" priority="1416" operator="greaterThan">
      <formula>1</formula>
    </cfRule>
    <cfRule type="cellIs" dxfId="4700" priority="1417" operator="lessThan">
      <formula>0.8</formula>
    </cfRule>
  </conditionalFormatting>
  <conditionalFormatting sqref="P135:P136 P139 P141 P143 P145">
    <cfRule type="cellIs" dxfId="4699" priority="1415" operator="greaterThan">
      <formula>0</formula>
    </cfRule>
  </conditionalFormatting>
  <conditionalFormatting sqref="P135:P136 P139 P141 P143 P145">
    <cfRule type="cellIs" dxfId="4698" priority="1409" operator="greaterThan">
      <formula>0</formula>
    </cfRule>
  </conditionalFormatting>
  <conditionalFormatting sqref="Q135:Q136">
    <cfRule type="cellIs" dxfId="4697" priority="1414" operator="lessThan">
      <formula>0</formula>
    </cfRule>
  </conditionalFormatting>
  <conditionalFormatting sqref="R135:R136 R139:R145">
    <cfRule type="cellIs" dxfId="4696" priority="1412" operator="lessThan">
      <formula>0.8</formula>
    </cfRule>
    <cfRule type="cellIs" dxfId="4695" priority="1413" operator="greaterThan">
      <formula>1</formula>
    </cfRule>
  </conditionalFormatting>
  <conditionalFormatting sqref="R135:R136 R139:R145">
    <cfRule type="cellIs" dxfId="4694" priority="1410" operator="greaterThan">
      <formula>1</formula>
    </cfRule>
    <cfRule type="cellIs" dxfId="4693" priority="1411" operator="lessThan">
      <formula>0.8</formula>
    </cfRule>
  </conditionalFormatting>
  <conditionalFormatting sqref="Q19:Q25">
    <cfRule type="cellIs" dxfId="4692" priority="1408" operator="lessThan">
      <formula>0</formula>
    </cfRule>
  </conditionalFormatting>
  <conditionalFormatting sqref="R19:R25">
    <cfRule type="cellIs" dxfId="4691" priority="1406" operator="lessThan">
      <formula>0.8</formula>
    </cfRule>
    <cfRule type="cellIs" dxfId="4690" priority="1407" operator="greaterThan">
      <formula>1</formula>
    </cfRule>
  </conditionalFormatting>
  <conditionalFormatting sqref="R19:R25">
    <cfRule type="cellIs" dxfId="4689" priority="1404" operator="greaterThan">
      <formula>1</formula>
    </cfRule>
    <cfRule type="cellIs" dxfId="4688" priority="1405" operator="lessThan">
      <formula>0.8</formula>
    </cfRule>
  </conditionalFormatting>
  <conditionalFormatting sqref="Q19:Q25">
    <cfRule type="cellIs" dxfId="4687" priority="1403" operator="lessThan">
      <formula>0</formula>
    </cfRule>
  </conditionalFormatting>
  <conditionalFormatting sqref="R19:R25">
    <cfRule type="cellIs" dxfId="4686" priority="1401" operator="lessThan">
      <formula>0.8</formula>
    </cfRule>
    <cfRule type="cellIs" dxfId="4685" priority="1402" operator="greaterThan">
      <formula>1</formula>
    </cfRule>
  </conditionalFormatting>
  <conditionalFormatting sqref="R19:R25">
    <cfRule type="cellIs" dxfId="4684" priority="1399" operator="greaterThan">
      <formula>1</formula>
    </cfRule>
    <cfRule type="cellIs" dxfId="4683" priority="1400" operator="lessThan">
      <formula>0.8</formula>
    </cfRule>
  </conditionalFormatting>
  <conditionalFormatting sqref="Q19:Q25">
    <cfRule type="cellIs" dxfId="4682" priority="1398" operator="lessThan">
      <formula>0</formula>
    </cfRule>
  </conditionalFormatting>
  <conditionalFormatting sqref="R19:R25">
    <cfRule type="cellIs" dxfId="4681" priority="1396" operator="lessThan">
      <formula>0.8</formula>
    </cfRule>
    <cfRule type="cellIs" dxfId="4680" priority="1397" operator="greaterThan">
      <formula>1</formula>
    </cfRule>
  </conditionalFormatting>
  <conditionalFormatting sqref="R19:R25">
    <cfRule type="cellIs" dxfId="4679" priority="1394" operator="greaterThan">
      <formula>1</formula>
    </cfRule>
    <cfRule type="cellIs" dxfId="4678" priority="1395" operator="lessThan">
      <formula>0.8</formula>
    </cfRule>
  </conditionalFormatting>
  <conditionalFormatting sqref="Q19:Q25">
    <cfRule type="cellIs" dxfId="4677" priority="1393" operator="lessThan">
      <formula>0</formula>
    </cfRule>
  </conditionalFormatting>
  <conditionalFormatting sqref="R19:R25">
    <cfRule type="cellIs" dxfId="4676" priority="1391" operator="lessThan">
      <formula>0.8</formula>
    </cfRule>
    <cfRule type="cellIs" dxfId="4675" priority="1392" operator="greaterThan">
      <formula>1</formula>
    </cfRule>
  </conditionalFormatting>
  <conditionalFormatting sqref="R19:R25">
    <cfRule type="cellIs" dxfId="4674" priority="1389" operator="greaterThan">
      <formula>1</formula>
    </cfRule>
    <cfRule type="cellIs" dxfId="4673" priority="1390" operator="lessThan">
      <formula>0.8</formula>
    </cfRule>
  </conditionalFormatting>
  <conditionalFormatting sqref="R19:R25">
    <cfRule type="cellIs" dxfId="4672" priority="1386" operator="lessThan">
      <formula>0.8</formula>
    </cfRule>
    <cfRule type="cellIs" dxfId="4671" priority="1387" operator="greaterThan">
      <formula>1</formula>
    </cfRule>
  </conditionalFormatting>
  <conditionalFormatting sqref="R19:R25">
    <cfRule type="cellIs" dxfId="4670" priority="1384" operator="greaterThan">
      <formula>1</formula>
    </cfRule>
    <cfRule type="cellIs" dxfId="4669" priority="1385" operator="lessThan">
      <formula>0.8</formula>
    </cfRule>
  </conditionalFormatting>
  <conditionalFormatting sqref="Q19:Q25">
    <cfRule type="cellIs" dxfId="4668" priority="1388" operator="lessThan">
      <formula>0</formula>
    </cfRule>
  </conditionalFormatting>
  <conditionalFormatting sqref="Q19:Q25">
    <cfRule type="cellIs" dxfId="4667" priority="1383" operator="lessThan">
      <formula>0</formula>
    </cfRule>
  </conditionalFormatting>
  <conditionalFormatting sqref="R19:R25">
    <cfRule type="cellIs" dxfId="4666" priority="1381" operator="lessThan">
      <formula>0.8</formula>
    </cfRule>
    <cfRule type="cellIs" dxfId="4665" priority="1382" operator="greaterThan">
      <formula>1</formula>
    </cfRule>
  </conditionalFormatting>
  <conditionalFormatting sqref="R19:R25">
    <cfRule type="cellIs" dxfId="4664" priority="1379" operator="greaterThan">
      <formula>1</formula>
    </cfRule>
    <cfRule type="cellIs" dxfId="4663" priority="1380" operator="lessThan">
      <formula>0.8</formula>
    </cfRule>
  </conditionalFormatting>
  <conditionalFormatting sqref="Q19:Q25">
    <cfRule type="cellIs" dxfId="4662" priority="1378" operator="lessThan">
      <formula>0</formula>
    </cfRule>
  </conditionalFormatting>
  <conditionalFormatting sqref="R19:R25">
    <cfRule type="cellIs" dxfId="4661" priority="1376" operator="lessThan">
      <formula>0.8</formula>
    </cfRule>
    <cfRule type="cellIs" dxfId="4660" priority="1377" operator="greaterThan">
      <formula>1</formula>
    </cfRule>
  </conditionalFormatting>
  <conditionalFormatting sqref="R19:R25">
    <cfRule type="cellIs" dxfId="4659" priority="1374" operator="greaterThan">
      <formula>1</formula>
    </cfRule>
    <cfRule type="cellIs" dxfId="4658" priority="1375" operator="lessThan">
      <formula>0.8</formula>
    </cfRule>
  </conditionalFormatting>
  <conditionalFormatting sqref="Q19:Q25">
    <cfRule type="cellIs" dxfId="4657" priority="1373" operator="lessThan">
      <formula>0</formula>
    </cfRule>
  </conditionalFormatting>
  <conditionalFormatting sqref="R19:R25">
    <cfRule type="cellIs" dxfId="4656" priority="1371" operator="lessThan">
      <formula>0.8</formula>
    </cfRule>
    <cfRule type="cellIs" dxfId="4655" priority="1372" operator="greaterThan">
      <formula>1</formula>
    </cfRule>
  </conditionalFormatting>
  <conditionalFormatting sqref="R19:R25">
    <cfRule type="cellIs" dxfId="4654" priority="1369" operator="greaterThan">
      <formula>1</formula>
    </cfRule>
    <cfRule type="cellIs" dxfId="4653" priority="1370" operator="lessThan">
      <formula>0.8</formula>
    </cfRule>
  </conditionalFormatting>
  <conditionalFormatting sqref="Q19:Q25">
    <cfRule type="cellIs" dxfId="4652" priority="1368" operator="lessThan">
      <formula>0</formula>
    </cfRule>
  </conditionalFormatting>
  <conditionalFormatting sqref="R19:R25">
    <cfRule type="cellIs" dxfId="4651" priority="1366" operator="lessThan">
      <formula>0.8</formula>
    </cfRule>
    <cfRule type="cellIs" dxfId="4650" priority="1367" operator="greaterThan">
      <formula>1</formula>
    </cfRule>
  </conditionalFormatting>
  <conditionalFormatting sqref="R19:R25">
    <cfRule type="cellIs" dxfId="4649" priority="1364" operator="greaterThan">
      <formula>1</formula>
    </cfRule>
    <cfRule type="cellIs" dxfId="4648" priority="1365" operator="lessThan">
      <formula>0.8</formula>
    </cfRule>
  </conditionalFormatting>
  <conditionalFormatting sqref="Q19:Q25">
    <cfRule type="cellIs" dxfId="4647" priority="1363" operator="lessThan">
      <formula>0</formula>
    </cfRule>
  </conditionalFormatting>
  <conditionalFormatting sqref="R19:R25">
    <cfRule type="cellIs" dxfId="4646" priority="1361" operator="lessThan">
      <formula>0.8</formula>
    </cfRule>
    <cfRule type="cellIs" dxfId="4645" priority="1362" operator="greaterThan">
      <formula>1</formula>
    </cfRule>
  </conditionalFormatting>
  <conditionalFormatting sqref="R19:R25">
    <cfRule type="cellIs" dxfId="4644" priority="1359" operator="greaterThan">
      <formula>1</formula>
    </cfRule>
    <cfRule type="cellIs" dxfId="4643" priority="1360" operator="lessThan">
      <formula>0.8</formula>
    </cfRule>
  </conditionalFormatting>
  <conditionalFormatting sqref="Q19:Q25">
    <cfRule type="cellIs" dxfId="4642" priority="1358" operator="lessThan">
      <formula>0</formula>
    </cfRule>
  </conditionalFormatting>
  <conditionalFormatting sqref="R19:R25">
    <cfRule type="cellIs" dxfId="4641" priority="1356" operator="lessThan">
      <formula>0.8</formula>
    </cfRule>
    <cfRule type="cellIs" dxfId="4640" priority="1357" operator="greaterThan">
      <formula>1</formula>
    </cfRule>
  </conditionalFormatting>
  <conditionalFormatting sqref="R19:R25">
    <cfRule type="cellIs" dxfId="4639" priority="1354" operator="greaterThan">
      <formula>1</formula>
    </cfRule>
    <cfRule type="cellIs" dxfId="4638" priority="1355" operator="lessThan">
      <formula>0.8</formula>
    </cfRule>
  </conditionalFormatting>
  <conditionalFormatting sqref="Q19:Q25">
    <cfRule type="cellIs" dxfId="4637" priority="1353" operator="lessThan">
      <formula>0</formula>
    </cfRule>
  </conditionalFormatting>
  <conditionalFormatting sqref="R19:R25">
    <cfRule type="cellIs" dxfId="4636" priority="1351" operator="lessThan">
      <formula>0.8</formula>
    </cfRule>
    <cfRule type="cellIs" dxfId="4635" priority="1352" operator="greaterThan">
      <formula>1</formula>
    </cfRule>
  </conditionalFormatting>
  <conditionalFormatting sqref="R19:R25">
    <cfRule type="cellIs" dxfId="4634" priority="1349" operator="greaterThan">
      <formula>1</formula>
    </cfRule>
    <cfRule type="cellIs" dxfId="4633" priority="1350" operator="lessThan">
      <formula>0.8</formula>
    </cfRule>
  </conditionalFormatting>
  <conditionalFormatting sqref="Q19:Q25">
    <cfRule type="cellIs" dxfId="4632" priority="1348" operator="lessThan">
      <formula>0</formula>
    </cfRule>
  </conditionalFormatting>
  <conditionalFormatting sqref="R19:R25">
    <cfRule type="cellIs" dxfId="4631" priority="1346" operator="lessThan">
      <formula>0.8</formula>
    </cfRule>
    <cfRule type="cellIs" dxfId="4630" priority="1347" operator="greaterThan">
      <formula>1</formula>
    </cfRule>
  </conditionalFormatting>
  <conditionalFormatting sqref="R19:R25">
    <cfRule type="cellIs" dxfId="4629" priority="1344" operator="greaterThan">
      <formula>1</formula>
    </cfRule>
    <cfRule type="cellIs" dxfId="4628" priority="1345" operator="lessThan">
      <formula>0.8</formula>
    </cfRule>
  </conditionalFormatting>
  <conditionalFormatting sqref="Q19:Q25">
    <cfRule type="cellIs" dxfId="4627" priority="1343" operator="lessThan">
      <formula>0</formula>
    </cfRule>
  </conditionalFormatting>
  <conditionalFormatting sqref="R19:R25">
    <cfRule type="cellIs" dxfId="4626" priority="1341" operator="lessThan">
      <formula>0.8</formula>
    </cfRule>
    <cfRule type="cellIs" dxfId="4625" priority="1342" operator="greaterThan">
      <formula>1</formula>
    </cfRule>
  </conditionalFormatting>
  <conditionalFormatting sqref="R19:R25">
    <cfRule type="cellIs" dxfId="4624" priority="1339" operator="greaterThan">
      <formula>1</formula>
    </cfRule>
    <cfRule type="cellIs" dxfId="4623" priority="1340" operator="lessThan">
      <formula>0.8</formula>
    </cfRule>
  </conditionalFormatting>
  <conditionalFormatting sqref="R19:R25">
    <cfRule type="cellIs" dxfId="4622" priority="1336" operator="lessThan">
      <formula>0.8</formula>
    </cfRule>
    <cfRule type="cellIs" dxfId="4621" priority="1337" operator="greaterThan">
      <formula>1</formula>
    </cfRule>
  </conditionalFormatting>
  <conditionalFormatting sqref="R19:R25">
    <cfRule type="cellIs" dxfId="4620" priority="1334" operator="greaterThan">
      <formula>1</formula>
    </cfRule>
    <cfRule type="cellIs" dxfId="4619" priority="1335" operator="lessThan">
      <formula>0.8</formula>
    </cfRule>
  </conditionalFormatting>
  <conditionalFormatting sqref="Q19:Q25">
    <cfRule type="cellIs" dxfId="4618" priority="1338" operator="lessThan">
      <formula>0</formula>
    </cfRule>
  </conditionalFormatting>
  <conditionalFormatting sqref="Q32:Q40">
    <cfRule type="cellIs" dxfId="4617" priority="1333" operator="lessThan">
      <formula>0</formula>
    </cfRule>
  </conditionalFormatting>
  <conditionalFormatting sqref="R32:R40">
    <cfRule type="cellIs" dxfId="4616" priority="1331" operator="lessThan">
      <formula>0.8</formula>
    </cfRule>
    <cfRule type="cellIs" dxfId="4615" priority="1332" operator="greaterThan">
      <formula>1</formula>
    </cfRule>
  </conditionalFormatting>
  <conditionalFormatting sqref="R32:R40">
    <cfRule type="cellIs" dxfId="4614" priority="1329" operator="greaterThan">
      <formula>1</formula>
    </cfRule>
    <cfRule type="cellIs" dxfId="4613" priority="1330" operator="lessThan">
      <formula>0.8</formula>
    </cfRule>
  </conditionalFormatting>
  <conditionalFormatting sqref="Q32:Q40">
    <cfRule type="cellIs" dxfId="4612" priority="1328" operator="lessThan">
      <formula>0</formula>
    </cfRule>
  </conditionalFormatting>
  <conditionalFormatting sqref="R32:R40">
    <cfRule type="cellIs" dxfId="4611" priority="1326" operator="lessThan">
      <formula>0.8</formula>
    </cfRule>
    <cfRule type="cellIs" dxfId="4610" priority="1327" operator="greaterThan">
      <formula>1</formula>
    </cfRule>
  </conditionalFormatting>
  <conditionalFormatting sqref="R32:R40">
    <cfRule type="cellIs" dxfId="4609" priority="1324" operator="greaterThan">
      <formula>1</formula>
    </cfRule>
    <cfRule type="cellIs" dxfId="4608" priority="1325" operator="lessThan">
      <formula>0.8</formula>
    </cfRule>
  </conditionalFormatting>
  <conditionalFormatting sqref="Q32:Q40">
    <cfRule type="cellIs" dxfId="4607" priority="1323" operator="lessThan">
      <formula>0</formula>
    </cfRule>
  </conditionalFormatting>
  <conditionalFormatting sqref="R32:R40">
    <cfRule type="cellIs" dxfId="4606" priority="1321" operator="lessThan">
      <formula>0.8</formula>
    </cfRule>
    <cfRule type="cellIs" dxfId="4605" priority="1322" operator="greaterThan">
      <formula>1</formula>
    </cfRule>
  </conditionalFormatting>
  <conditionalFormatting sqref="R32:R40">
    <cfRule type="cellIs" dxfId="4604" priority="1319" operator="greaterThan">
      <formula>1</formula>
    </cfRule>
    <cfRule type="cellIs" dxfId="4603" priority="1320" operator="lessThan">
      <formula>0.8</formula>
    </cfRule>
  </conditionalFormatting>
  <conditionalFormatting sqref="Q32:Q40">
    <cfRule type="cellIs" dxfId="4602" priority="1318" operator="lessThan">
      <formula>0</formula>
    </cfRule>
  </conditionalFormatting>
  <conditionalFormatting sqref="R32:R40">
    <cfRule type="cellIs" dxfId="4601" priority="1316" operator="lessThan">
      <formula>0.8</formula>
    </cfRule>
    <cfRule type="cellIs" dxfId="4600" priority="1317" operator="greaterThan">
      <formula>1</formula>
    </cfRule>
  </conditionalFormatting>
  <conditionalFormatting sqref="R32:R40">
    <cfRule type="cellIs" dxfId="4599" priority="1314" operator="greaterThan">
      <formula>1</formula>
    </cfRule>
    <cfRule type="cellIs" dxfId="4598" priority="1315" operator="lessThan">
      <formula>0.8</formula>
    </cfRule>
  </conditionalFormatting>
  <conditionalFormatting sqref="Q32:Q40">
    <cfRule type="cellIs" dxfId="4597" priority="1313" operator="lessThan">
      <formula>0</formula>
    </cfRule>
  </conditionalFormatting>
  <conditionalFormatting sqref="R32:R40">
    <cfRule type="cellIs" dxfId="4596" priority="1311" operator="lessThan">
      <formula>0.8</formula>
    </cfRule>
    <cfRule type="cellIs" dxfId="4595" priority="1312" operator="greaterThan">
      <formula>1</formula>
    </cfRule>
  </conditionalFormatting>
  <conditionalFormatting sqref="R32:R40">
    <cfRule type="cellIs" dxfId="4594" priority="1309" operator="greaterThan">
      <formula>1</formula>
    </cfRule>
    <cfRule type="cellIs" dxfId="4593" priority="1310" operator="lessThan">
      <formula>0.8</formula>
    </cfRule>
  </conditionalFormatting>
  <conditionalFormatting sqref="Q32:Q40">
    <cfRule type="cellIs" dxfId="4592" priority="1308" operator="lessThan">
      <formula>0</formula>
    </cfRule>
  </conditionalFormatting>
  <conditionalFormatting sqref="R32:R40">
    <cfRule type="cellIs" dxfId="4591" priority="1306" operator="lessThan">
      <formula>0.8</formula>
    </cfRule>
    <cfRule type="cellIs" dxfId="4590" priority="1307" operator="greaterThan">
      <formula>1</formula>
    </cfRule>
  </conditionalFormatting>
  <conditionalFormatting sqref="R32:R40">
    <cfRule type="cellIs" dxfId="4589" priority="1304" operator="greaterThan">
      <formula>1</formula>
    </cfRule>
    <cfRule type="cellIs" dxfId="4588" priority="1305" operator="lessThan">
      <formula>0.8</formula>
    </cfRule>
  </conditionalFormatting>
  <conditionalFormatting sqref="R32:R40">
    <cfRule type="cellIs" dxfId="4587" priority="1301" operator="lessThan">
      <formula>0.8</formula>
    </cfRule>
    <cfRule type="cellIs" dxfId="4586" priority="1302" operator="greaterThan">
      <formula>1</formula>
    </cfRule>
  </conditionalFormatting>
  <conditionalFormatting sqref="R32:R40">
    <cfRule type="cellIs" dxfId="4585" priority="1299" operator="greaterThan">
      <formula>1</formula>
    </cfRule>
    <cfRule type="cellIs" dxfId="4584" priority="1300" operator="lessThan">
      <formula>0.8</formula>
    </cfRule>
  </conditionalFormatting>
  <conditionalFormatting sqref="Q32:Q40">
    <cfRule type="cellIs" dxfId="4583" priority="1303" operator="lessThan">
      <formula>0</formula>
    </cfRule>
  </conditionalFormatting>
  <conditionalFormatting sqref="Q32:Q40">
    <cfRule type="cellIs" dxfId="4582" priority="1298" operator="lessThan">
      <formula>0</formula>
    </cfRule>
  </conditionalFormatting>
  <conditionalFormatting sqref="R32:R40">
    <cfRule type="cellIs" dxfId="4581" priority="1296" operator="lessThan">
      <formula>0.8</formula>
    </cfRule>
    <cfRule type="cellIs" dxfId="4580" priority="1297" operator="greaterThan">
      <formula>1</formula>
    </cfRule>
  </conditionalFormatting>
  <conditionalFormatting sqref="R32:R40">
    <cfRule type="cellIs" dxfId="4579" priority="1294" operator="greaterThan">
      <formula>1</formula>
    </cfRule>
    <cfRule type="cellIs" dxfId="4578" priority="1295" operator="lessThan">
      <formula>0.8</formula>
    </cfRule>
  </conditionalFormatting>
  <conditionalFormatting sqref="Q32:Q40">
    <cfRule type="cellIs" dxfId="4577" priority="1293" operator="lessThan">
      <formula>0</formula>
    </cfRule>
  </conditionalFormatting>
  <conditionalFormatting sqref="R32:R40">
    <cfRule type="cellIs" dxfId="4576" priority="1291" operator="lessThan">
      <formula>0.8</formula>
    </cfRule>
    <cfRule type="cellIs" dxfId="4575" priority="1292" operator="greaterThan">
      <formula>1</formula>
    </cfRule>
  </conditionalFormatting>
  <conditionalFormatting sqref="R32:R40">
    <cfRule type="cellIs" dxfId="4574" priority="1289" operator="greaterThan">
      <formula>1</formula>
    </cfRule>
    <cfRule type="cellIs" dxfId="4573" priority="1290" operator="lessThan">
      <formula>0.8</formula>
    </cfRule>
  </conditionalFormatting>
  <conditionalFormatting sqref="Q32:Q40">
    <cfRule type="cellIs" dxfId="4572" priority="1288" operator="lessThan">
      <formula>0</formula>
    </cfRule>
  </conditionalFormatting>
  <conditionalFormatting sqref="R32:R40">
    <cfRule type="cellIs" dxfId="4571" priority="1286" operator="lessThan">
      <formula>0.8</formula>
    </cfRule>
    <cfRule type="cellIs" dxfId="4570" priority="1287" operator="greaterThan">
      <formula>1</formula>
    </cfRule>
  </conditionalFormatting>
  <conditionalFormatting sqref="R32:R40">
    <cfRule type="cellIs" dxfId="4569" priority="1284" operator="greaterThan">
      <formula>1</formula>
    </cfRule>
    <cfRule type="cellIs" dxfId="4568" priority="1285" operator="lessThan">
      <formula>0.8</formula>
    </cfRule>
  </conditionalFormatting>
  <conditionalFormatting sqref="R32:R40">
    <cfRule type="cellIs" dxfId="4567" priority="1281" operator="lessThan">
      <formula>0.8</formula>
    </cfRule>
    <cfRule type="cellIs" dxfId="4566" priority="1282" operator="greaterThan">
      <formula>1</formula>
    </cfRule>
  </conditionalFormatting>
  <conditionalFormatting sqref="R32:R40">
    <cfRule type="cellIs" dxfId="4565" priority="1279" operator="greaterThan">
      <formula>1</formula>
    </cfRule>
    <cfRule type="cellIs" dxfId="4564" priority="1280" operator="lessThan">
      <formula>0.8</formula>
    </cfRule>
  </conditionalFormatting>
  <conditionalFormatting sqref="Q32:Q40">
    <cfRule type="cellIs" dxfId="4563" priority="1283" operator="lessThan">
      <formula>0</formula>
    </cfRule>
  </conditionalFormatting>
  <conditionalFormatting sqref="Q32:Q40">
    <cfRule type="cellIs" dxfId="4562" priority="1278" operator="lessThan">
      <formula>0</formula>
    </cfRule>
  </conditionalFormatting>
  <conditionalFormatting sqref="R32:R40">
    <cfRule type="cellIs" dxfId="4561" priority="1276" operator="lessThan">
      <formula>0.8</formula>
    </cfRule>
    <cfRule type="cellIs" dxfId="4560" priority="1277" operator="greaterThan">
      <formula>1</formula>
    </cfRule>
  </conditionalFormatting>
  <conditionalFormatting sqref="R32:R40">
    <cfRule type="cellIs" dxfId="4559" priority="1274" operator="greaterThan">
      <formula>1</formula>
    </cfRule>
    <cfRule type="cellIs" dxfId="4558" priority="1275" operator="lessThan">
      <formula>0.8</formula>
    </cfRule>
  </conditionalFormatting>
  <conditionalFormatting sqref="R32:R40">
    <cfRule type="cellIs" dxfId="4557" priority="1271" operator="lessThan">
      <formula>0.8</formula>
    </cfRule>
    <cfRule type="cellIs" dxfId="4556" priority="1272" operator="greaterThan">
      <formula>1</formula>
    </cfRule>
  </conditionalFormatting>
  <conditionalFormatting sqref="R32:R40">
    <cfRule type="cellIs" dxfId="4555" priority="1269" operator="greaterThan">
      <formula>1</formula>
    </cfRule>
    <cfRule type="cellIs" dxfId="4554" priority="1270" operator="lessThan">
      <formula>0.8</formula>
    </cfRule>
  </conditionalFormatting>
  <conditionalFormatting sqref="Q32:Q40">
    <cfRule type="cellIs" dxfId="4553" priority="1273" operator="lessThan">
      <formula>0</formula>
    </cfRule>
  </conditionalFormatting>
  <conditionalFormatting sqref="R32:R40">
    <cfRule type="cellIs" dxfId="4552" priority="1266" operator="lessThan">
      <formula>0.8</formula>
    </cfRule>
    <cfRule type="cellIs" dxfId="4551" priority="1267" operator="greaterThan">
      <formula>1</formula>
    </cfRule>
  </conditionalFormatting>
  <conditionalFormatting sqref="R32:R40">
    <cfRule type="cellIs" dxfId="4550" priority="1264" operator="greaterThan">
      <formula>1</formula>
    </cfRule>
    <cfRule type="cellIs" dxfId="4549" priority="1265" operator="lessThan">
      <formula>0.8</formula>
    </cfRule>
  </conditionalFormatting>
  <conditionalFormatting sqref="Q32:Q40">
    <cfRule type="cellIs" dxfId="4548" priority="1268" operator="lessThan">
      <formula>0</formula>
    </cfRule>
  </conditionalFormatting>
  <conditionalFormatting sqref="Q32:Q40">
    <cfRule type="cellIs" dxfId="4547" priority="1263" operator="lessThan">
      <formula>0</formula>
    </cfRule>
  </conditionalFormatting>
  <conditionalFormatting sqref="R32:R40">
    <cfRule type="cellIs" dxfId="4546" priority="1261" operator="lessThan">
      <formula>0.8</formula>
    </cfRule>
    <cfRule type="cellIs" dxfId="4545" priority="1262" operator="greaterThan">
      <formula>1</formula>
    </cfRule>
  </conditionalFormatting>
  <conditionalFormatting sqref="R32:R40">
    <cfRule type="cellIs" dxfId="4544" priority="1259" operator="greaterThan">
      <formula>1</formula>
    </cfRule>
    <cfRule type="cellIs" dxfId="4543" priority="1260" operator="lessThan">
      <formula>0.8</formula>
    </cfRule>
  </conditionalFormatting>
  <conditionalFormatting sqref="Q32:Q40">
    <cfRule type="cellIs" dxfId="4542" priority="1254" operator="lessThan">
      <formula>0</formula>
    </cfRule>
  </conditionalFormatting>
  <conditionalFormatting sqref="R32:R40">
    <cfRule type="cellIs" dxfId="4541" priority="1257" operator="lessThan">
      <formula>0.8</formula>
    </cfRule>
    <cfRule type="cellIs" dxfId="4540" priority="1258" operator="greaterThan">
      <formula>1</formula>
    </cfRule>
  </conditionalFormatting>
  <conditionalFormatting sqref="R32:R40">
    <cfRule type="cellIs" dxfId="4539" priority="1255" operator="greaterThan">
      <formula>1</formula>
    </cfRule>
    <cfRule type="cellIs" dxfId="4538" priority="1256" operator="lessThan">
      <formula>0.8</formula>
    </cfRule>
  </conditionalFormatting>
  <conditionalFormatting sqref="Q32:Q40">
    <cfRule type="cellIs" dxfId="4537" priority="1253" operator="lessThan">
      <formula>0</formula>
    </cfRule>
  </conditionalFormatting>
  <conditionalFormatting sqref="R32:R40">
    <cfRule type="cellIs" dxfId="4536" priority="1251" operator="lessThan">
      <formula>0.8</formula>
    </cfRule>
    <cfRule type="cellIs" dxfId="4535" priority="1252" operator="greaterThan">
      <formula>1</formula>
    </cfRule>
  </conditionalFormatting>
  <conditionalFormatting sqref="R32:R40">
    <cfRule type="cellIs" dxfId="4534" priority="1249" operator="greaterThan">
      <formula>1</formula>
    </cfRule>
    <cfRule type="cellIs" dxfId="4533" priority="1250" operator="lessThan">
      <formula>0.8</formula>
    </cfRule>
  </conditionalFormatting>
  <conditionalFormatting sqref="Q32:Q40">
    <cfRule type="cellIs" dxfId="4532" priority="1248" operator="lessThan">
      <formula>0</formula>
    </cfRule>
  </conditionalFormatting>
  <conditionalFormatting sqref="R32:R40">
    <cfRule type="cellIs" dxfId="4531" priority="1246" operator="lessThan">
      <formula>0.8</formula>
    </cfRule>
    <cfRule type="cellIs" dxfId="4530" priority="1247" operator="greaterThan">
      <formula>1</formula>
    </cfRule>
  </conditionalFormatting>
  <conditionalFormatting sqref="R32:R40">
    <cfRule type="cellIs" dxfId="4529" priority="1244" operator="greaterThan">
      <formula>1</formula>
    </cfRule>
    <cfRule type="cellIs" dxfId="4528" priority="1245" operator="lessThan">
      <formula>0.8</formula>
    </cfRule>
  </conditionalFormatting>
  <conditionalFormatting sqref="Q32:Q40">
    <cfRule type="cellIs" dxfId="4527" priority="1243" operator="lessThan">
      <formula>0</formula>
    </cfRule>
  </conditionalFormatting>
  <conditionalFormatting sqref="R32:R40">
    <cfRule type="cellIs" dxfId="4526" priority="1241" operator="lessThan">
      <formula>0.8</formula>
    </cfRule>
    <cfRule type="cellIs" dxfId="4525" priority="1242" operator="greaterThan">
      <formula>1</formula>
    </cfRule>
  </conditionalFormatting>
  <conditionalFormatting sqref="R32:R40">
    <cfRule type="cellIs" dxfId="4524" priority="1239" operator="greaterThan">
      <formula>1</formula>
    </cfRule>
    <cfRule type="cellIs" dxfId="4523" priority="1240" operator="lessThan">
      <formula>0.8</formula>
    </cfRule>
  </conditionalFormatting>
  <conditionalFormatting sqref="Q32:Q40">
    <cfRule type="cellIs" dxfId="4522" priority="1238" operator="lessThan">
      <formula>0</formula>
    </cfRule>
  </conditionalFormatting>
  <conditionalFormatting sqref="R32:R40">
    <cfRule type="cellIs" dxfId="4521" priority="1236" operator="lessThan">
      <formula>0.8</formula>
    </cfRule>
    <cfRule type="cellIs" dxfId="4520" priority="1237" operator="greaterThan">
      <formula>1</formula>
    </cfRule>
  </conditionalFormatting>
  <conditionalFormatting sqref="R32:R40">
    <cfRule type="cellIs" dxfId="4519" priority="1234" operator="greaterThan">
      <formula>1</formula>
    </cfRule>
    <cfRule type="cellIs" dxfId="4518" priority="1235" operator="lessThan">
      <formula>0.8</formula>
    </cfRule>
  </conditionalFormatting>
  <conditionalFormatting sqref="Q32:Q40">
    <cfRule type="cellIs" dxfId="4517" priority="1233" operator="lessThan">
      <formula>0</formula>
    </cfRule>
  </conditionalFormatting>
  <conditionalFormatting sqref="R32:R40">
    <cfRule type="cellIs" dxfId="4516" priority="1231" operator="lessThan">
      <formula>0.8</formula>
    </cfRule>
    <cfRule type="cellIs" dxfId="4515" priority="1232" operator="greaterThan">
      <formula>1</formula>
    </cfRule>
  </conditionalFormatting>
  <conditionalFormatting sqref="R32:R40">
    <cfRule type="cellIs" dxfId="4514" priority="1229" operator="greaterThan">
      <formula>1</formula>
    </cfRule>
    <cfRule type="cellIs" dxfId="4513" priority="1230" operator="lessThan">
      <formula>0.8</formula>
    </cfRule>
  </conditionalFormatting>
  <conditionalFormatting sqref="Q32:Q40">
    <cfRule type="cellIs" dxfId="4512" priority="1228" operator="lessThan">
      <formula>0</formula>
    </cfRule>
  </conditionalFormatting>
  <conditionalFormatting sqref="R32:R40">
    <cfRule type="cellIs" dxfId="4511" priority="1226" operator="lessThan">
      <formula>0.8</formula>
    </cfRule>
    <cfRule type="cellIs" dxfId="4510" priority="1227" operator="greaterThan">
      <formula>1</formula>
    </cfRule>
  </conditionalFormatting>
  <conditionalFormatting sqref="R32:R40">
    <cfRule type="cellIs" dxfId="4509" priority="1224" operator="greaterThan">
      <formula>1</formula>
    </cfRule>
    <cfRule type="cellIs" dxfId="4508" priority="1225" operator="lessThan">
      <formula>0.8</formula>
    </cfRule>
  </conditionalFormatting>
  <conditionalFormatting sqref="Q32:Q40">
    <cfRule type="cellIs" dxfId="4507" priority="1223" operator="lessThan">
      <formula>0</formula>
    </cfRule>
  </conditionalFormatting>
  <conditionalFormatting sqref="R32:R40">
    <cfRule type="cellIs" dxfId="4506" priority="1221" operator="lessThan">
      <formula>0.8</formula>
    </cfRule>
    <cfRule type="cellIs" dxfId="4505" priority="1222" operator="greaterThan">
      <formula>1</formula>
    </cfRule>
  </conditionalFormatting>
  <conditionalFormatting sqref="R32:R40">
    <cfRule type="cellIs" dxfId="4504" priority="1219" operator="greaterThan">
      <formula>1</formula>
    </cfRule>
    <cfRule type="cellIs" dxfId="4503" priority="1220" operator="lessThan">
      <formula>0.8</formula>
    </cfRule>
  </conditionalFormatting>
  <conditionalFormatting sqref="R32:R40">
    <cfRule type="cellIs" dxfId="4502" priority="1216" operator="lessThan">
      <formula>0.8</formula>
    </cfRule>
    <cfRule type="cellIs" dxfId="4501" priority="1217" operator="greaterThan">
      <formula>1</formula>
    </cfRule>
  </conditionalFormatting>
  <conditionalFormatting sqref="R32:R40">
    <cfRule type="cellIs" dxfId="4500" priority="1214" operator="greaterThan">
      <formula>1</formula>
    </cfRule>
    <cfRule type="cellIs" dxfId="4499" priority="1215" operator="lessThan">
      <formula>0.8</formula>
    </cfRule>
  </conditionalFormatting>
  <conditionalFormatting sqref="Q32:Q40">
    <cfRule type="cellIs" dxfId="4498" priority="1218" operator="lessThan">
      <formula>0</formula>
    </cfRule>
  </conditionalFormatting>
  <conditionalFormatting sqref="Q32:Q40">
    <cfRule type="cellIs" dxfId="4497" priority="1209" operator="lessThan">
      <formula>0</formula>
    </cfRule>
  </conditionalFormatting>
  <conditionalFormatting sqref="R32:R40">
    <cfRule type="cellIs" dxfId="4496" priority="1212" operator="lessThan">
      <formula>0.8</formula>
    </cfRule>
    <cfRule type="cellIs" dxfId="4495" priority="1213" operator="greaterThan">
      <formula>1</formula>
    </cfRule>
  </conditionalFormatting>
  <conditionalFormatting sqref="R32:R40">
    <cfRule type="cellIs" dxfId="4494" priority="1210" operator="greaterThan">
      <formula>1</formula>
    </cfRule>
    <cfRule type="cellIs" dxfId="4493" priority="1211" operator="lessThan">
      <formula>0.8</formula>
    </cfRule>
  </conditionalFormatting>
  <conditionalFormatting sqref="Q32:Q40">
    <cfRule type="cellIs" dxfId="4492" priority="1204" operator="lessThan">
      <formula>0</formula>
    </cfRule>
  </conditionalFormatting>
  <conditionalFormatting sqref="R32:R40">
    <cfRule type="cellIs" dxfId="4491" priority="1207" operator="lessThan">
      <formula>0.8</formula>
    </cfRule>
    <cfRule type="cellIs" dxfId="4490" priority="1208" operator="greaterThan">
      <formula>1</formula>
    </cfRule>
  </conditionalFormatting>
  <conditionalFormatting sqref="R32:R40">
    <cfRule type="cellIs" dxfId="4489" priority="1205" operator="greaterThan">
      <formula>1</formula>
    </cfRule>
    <cfRule type="cellIs" dxfId="4488" priority="1206" operator="lessThan">
      <formula>0.8</formula>
    </cfRule>
  </conditionalFormatting>
  <conditionalFormatting sqref="Q32:Q40">
    <cfRule type="cellIs" dxfId="4487" priority="1203" operator="lessThan">
      <formula>0</formula>
    </cfRule>
  </conditionalFormatting>
  <conditionalFormatting sqref="R32:R40">
    <cfRule type="cellIs" dxfId="4486" priority="1201" operator="lessThan">
      <formula>0.8</formula>
    </cfRule>
    <cfRule type="cellIs" dxfId="4485" priority="1202" operator="greaterThan">
      <formula>1</formula>
    </cfRule>
  </conditionalFormatting>
  <conditionalFormatting sqref="R32:R40">
    <cfRule type="cellIs" dxfId="4484" priority="1199" operator="greaterThan">
      <formula>1</formula>
    </cfRule>
    <cfRule type="cellIs" dxfId="4483" priority="1200" operator="lessThan">
      <formula>0.8</formula>
    </cfRule>
  </conditionalFormatting>
  <conditionalFormatting sqref="Q32:Q40">
    <cfRule type="cellIs" dxfId="4482" priority="1198" operator="lessThan">
      <formula>0</formula>
    </cfRule>
  </conditionalFormatting>
  <conditionalFormatting sqref="R32:R40">
    <cfRule type="cellIs" dxfId="4481" priority="1196" operator="lessThan">
      <formula>0.8</formula>
    </cfRule>
    <cfRule type="cellIs" dxfId="4480" priority="1197" operator="greaterThan">
      <formula>1</formula>
    </cfRule>
  </conditionalFormatting>
  <conditionalFormatting sqref="R32:R40">
    <cfRule type="cellIs" dxfId="4479" priority="1194" operator="greaterThan">
      <formula>1</formula>
    </cfRule>
    <cfRule type="cellIs" dxfId="4478" priority="1195" operator="lessThan">
      <formula>0.8</formula>
    </cfRule>
  </conditionalFormatting>
  <conditionalFormatting sqref="Q32:Q40">
    <cfRule type="cellIs" dxfId="4477" priority="1193" operator="lessThan">
      <formula>0</formula>
    </cfRule>
  </conditionalFormatting>
  <conditionalFormatting sqref="R32:R40">
    <cfRule type="cellIs" dxfId="4476" priority="1191" operator="lessThan">
      <formula>0.8</formula>
    </cfRule>
    <cfRule type="cellIs" dxfId="4475" priority="1192" operator="greaterThan">
      <formula>1</formula>
    </cfRule>
  </conditionalFormatting>
  <conditionalFormatting sqref="R32:R40">
    <cfRule type="cellIs" dxfId="4474" priority="1189" operator="greaterThan">
      <formula>1</formula>
    </cfRule>
    <cfRule type="cellIs" dxfId="4473" priority="1190" operator="lessThan">
      <formula>0.8</formula>
    </cfRule>
  </conditionalFormatting>
  <conditionalFormatting sqref="Q32:Q40">
    <cfRule type="cellIs" dxfId="4472" priority="1188" operator="lessThan">
      <formula>0</formula>
    </cfRule>
  </conditionalFormatting>
  <conditionalFormatting sqref="R32:R40">
    <cfRule type="cellIs" dxfId="4471" priority="1186" operator="lessThan">
      <formula>0.8</formula>
    </cfRule>
    <cfRule type="cellIs" dxfId="4470" priority="1187" operator="greaterThan">
      <formula>1</formula>
    </cfRule>
  </conditionalFormatting>
  <conditionalFormatting sqref="R32:R40">
    <cfRule type="cellIs" dxfId="4469" priority="1184" operator="greaterThan">
      <formula>1</formula>
    </cfRule>
    <cfRule type="cellIs" dxfId="4468" priority="1185" operator="lessThan">
      <formula>0.8</formula>
    </cfRule>
  </conditionalFormatting>
  <conditionalFormatting sqref="Q96:Q105">
    <cfRule type="cellIs" dxfId="4467" priority="1178" operator="lessThan">
      <formula>0</formula>
    </cfRule>
  </conditionalFormatting>
  <conditionalFormatting sqref="P96:P105">
    <cfRule type="cellIs" dxfId="4466" priority="1179" operator="greaterThan">
      <formula>0</formula>
    </cfRule>
  </conditionalFormatting>
  <conditionalFormatting sqref="R96:R105">
    <cfRule type="cellIs" dxfId="4465" priority="1182" operator="lessThan">
      <formula>0.8</formula>
    </cfRule>
    <cfRule type="cellIs" dxfId="4464" priority="1183" operator="greaterThan">
      <formula>1</formula>
    </cfRule>
  </conditionalFormatting>
  <conditionalFormatting sqref="R96:R105">
    <cfRule type="cellIs" dxfId="4463" priority="1180" operator="greaterThan">
      <formula>1</formula>
    </cfRule>
    <cfRule type="cellIs" dxfId="4462" priority="1181" operator="lessThan">
      <formula>0.8</formula>
    </cfRule>
  </conditionalFormatting>
  <conditionalFormatting sqref="Q96:Q105">
    <cfRule type="cellIs" dxfId="4461" priority="1172" operator="lessThan">
      <formula>0</formula>
    </cfRule>
  </conditionalFormatting>
  <conditionalFormatting sqref="R96:R105">
    <cfRule type="cellIs" dxfId="4460" priority="1176" operator="lessThan">
      <formula>0.8</formula>
    </cfRule>
    <cfRule type="cellIs" dxfId="4459" priority="1177" operator="greaterThan">
      <formula>1</formula>
    </cfRule>
  </conditionalFormatting>
  <conditionalFormatting sqref="R96:R105">
    <cfRule type="cellIs" dxfId="4458" priority="1174" operator="greaterThan">
      <formula>1</formula>
    </cfRule>
    <cfRule type="cellIs" dxfId="4457" priority="1175" operator="lessThan">
      <formula>0.8</formula>
    </cfRule>
  </conditionalFormatting>
  <conditionalFormatting sqref="P96:P105">
    <cfRule type="cellIs" dxfId="4456" priority="1173" operator="greaterThan">
      <formula>0</formula>
    </cfRule>
  </conditionalFormatting>
  <conditionalFormatting sqref="Q96:Q105">
    <cfRule type="cellIs" dxfId="4455" priority="1171" operator="lessThan">
      <formula>0</formula>
    </cfRule>
  </conditionalFormatting>
  <conditionalFormatting sqref="R96:R105">
    <cfRule type="cellIs" dxfId="4454" priority="1169" operator="lessThan">
      <formula>0.8</formula>
    </cfRule>
    <cfRule type="cellIs" dxfId="4453" priority="1170" operator="greaterThan">
      <formula>1</formula>
    </cfRule>
  </conditionalFormatting>
  <conditionalFormatting sqref="R96:R105">
    <cfRule type="cellIs" dxfId="4452" priority="1167" operator="greaterThan">
      <formula>1</formula>
    </cfRule>
    <cfRule type="cellIs" dxfId="4451" priority="1168" operator="lessThan">
      <formula>0.8</formula>
    </cfRule>
  </conditionalFormatting>
  <conditionalFormatting sqref="P96:P105">
    <cfRule type="cellIs" dxfId="4450" priority="1166" operator="greaterThan">
      <formula>0</formula>
    </cfRule>
  </conditionalFormatting>
  <conditionalFormatting sqref="Q96:Q105">
    <cfRule type="cellIs" dxfId="4449" priority="1165" operator="lessThan">
      <formula>0</formula>
    </cfRule>
  </conditionalFormatting>
  <conditionalFormatting sqref="R96:R105">
    <cfRule type="cellIs" dxfId="4448" priority="1163" operator="lessThan">
      <formula>0.8</formula>
    </cfRule>
    <cfRule type="cellIs" dxfId="4447" priority="1164" operator="greaterThan">
      <formula>1</formula>
    </cfRule>
  </conditionalFormatting>
  <conditionalFormatting sqref="R96:R105">
    <cfRule type="cellIs" dxfId="4446" priority="1161" operator="greaterThan">
      <formula>1</formula>
    </cfRule>
    <cfRule type="cellIs" dxfId="4445" priority="1162" operator="lessThan">
      <formula>0.8</formula>
    </cfRule>
  </conditionalFormatting>
  <conditionalFormatting sqref="P96:P105">
    <cfRule type="cellIs" dxfId="4444" priority="1160" operator="greaterThan">
      <formula>0</formula>
    </cfRule>
  </conditionalFormatting>
  <conditionalFormatting sqref="Q96:Q105">
    <cfRule type="cellIs" dxfId="4443" priority="1154" operator="lessThan">
      <formula>0</formula>
    </cfRule>
  </conditionalFormatting>
  <conditionalFormatting sqref="R96:R105">
    <cfRule type="cellIs" dxfId="4442" priority="1158" operator="lessThan">
      <formula>0.8</formula>
    </cfRule>
    <cfRule type="cellIs" dxfId="4441" priority="1159" operator="greaterThan">
      <formula>1</formula>
    </cfRule>
  </conditionalFormatting>
  <conditionalFormatting sqref="R96:R105">
    <cfRule type="cellIs" dxfId="4440" priority="1156" operator="greaterThan">
      <formula>1</formula>
    </cfRule>
    <cfRule type="cellIs" dxfId="4439" priority="1157" operator="lessThan">
      <formula>0.8</formula>
    </cfRule>
  </conditionalFormatting>
  <conditionalFormatting sqref="P96:P105">
    <cfRule type="cellIs" dxfId="4438" priority="1155" operator="greaterThan">
      <formula>0</formula>
    </cfRule>
  </conditionalFormatting>
  <conditionalFormatting sqref="Q96:Q105">
    <cfRule type="cellIs" dxfId="4437" priority="1153" operator="lessThan">
      <formula>0</formula>
    </cfRule>
  </conditionalFormatting>
  <conditionalFormatting sqref="R96:R105">
    <cfRule type="cellIs" dxfId="4436" priority="1151" operator="lessThan">
      <formula>0.8</formula>
    </cfRule>
    <cfRule type="cellIs" dxfId="4435" priority="1152" operator="greaterThan">
      <formula>1</formula>
    </cfRule>
  </conditionalFormatting>
  <conditionalFormatting sqref="R96:R105">
    <cfRule type="cellIs" dxfId="4434" priority="1149" operator="greaterThan">
      <formula>1</formula>
    </cfRule>
    <cfRule type="cellIs" dxfId="4433" priority="1150" operator="lessThan">
      <formula>0.8</formula>
    </cfRule>
  </conditionalFormatting>
  <conditionalFormatting sqref="P96:P105">
    <cfRule type="cellIs" dxfId="4432" priority="1148" operator="greaterThan">
      <formula>0</formula>
    </cfRule>
  </conditionalFormatting>
  <conditionalFormatting sqref="Q96:Q105">
    <cfRule type="cellIs" dxfId="4431" priority="1147" operator="lessThan">
      <formula>0</formula>
    </cfRule>
  </conditionalFormatting>
  <conditionalFormatting sqref="R96:R105">
    <cfRule type="cellIs" dxfId="4430" priority="1145" operator="lessThan">
      <formula>0.8</formula>
    </cfRule>
    <cfRule type="cellIs" dxfId="4429" priority="1146" operator="greaterThan">
      <formula>1</formula>
    </cfRule>
  </conditionalFormatting>
  <conditionalFormatting sqref="R96:R105">
    <cfRule type="cellIs" dxfId="4428" priority="1143" operator="greaterThan">
      <formula>1</formula>
    </cfRule>
    <cfRule type="cellIs" dxfId="4427" priority="1144" operator="lessThan">
      <formula>0.8</formula>
    </cfRule>
  </conditionalFormatting>
  <conditionalFormatting sqref="P96:P105">
    <cfRule type="cellIs" dxfId="4426" priority="1142" operator="greaterThan">
      <formula>0</formula>
    </cfRule>
  </conditionalFormatting>
  <conditionalFormatting sqref="Q96:Q105">
    <cfRule type="cellIs" dxfId="4425" priority="1141" operator="lessThan">
      <formula>0</formula>
    </cfRule>
  </conditionalFormatting>
  <conditionalFormatting sqref="R96:R105">
    <cfRule type="cellIs" dxfId="4424" priority="1139" operator="lessThan">
      <formula>0.8</formula>
    </cfRule>
    <cfRule type="cellIs" dxfId="4423" priority="1140" operator="greaterThan">
      <formula>1</formula>
    </cfRule>
  </conditionalFormatting>
  <conditionalFormatting sqref="R96:R105">
    <cfRule type="cellIs" dxfId="4422" priority="1137" operator="greaterThan">
      <formula>1</formula>
    </cfRule>
    <cfRule type="cellIs" dxfId="4421" priority="1138" operator="lessThan">
      <formula>0.8</formula>
    </cfRule>
  </conditionalFormatting>
  <conditionalFormatting sqref="P96:P105">
    <cfRule type="cellIs" dxfId="4420" priority="1136" operator="greaterThan">
      <formula>0</formula>
    </cfRule>
  </conditionalFormatting>
  <conditionalFormatting sqref="Q96:Q105">
    <cfRule type="cellIs" dxfId="4419" priority="1135" operator="lessThan">
      <formula>0</formula>
    </cfRule>
  </conditionalFormatting>
  <conditionalFormatting sqref="R96:R105">
    <cfRule type="cellIs" dxfId="4418" priority="1133" operator="lessThan">
      <formula>0.8</formula>
    </cfRule>
    <cfRule type="cellIs" dxfId="4417" priority="1134" operator="greaterThan">
      <formula>1</formula>
    </cfRule>
  </conditionalFormatting>
  <conditionalFormatting sqref="R96:R105">
    <cfRule type="cellIs" dxfId="4416" priority="1131" operator="greaterThan">
      <formula>1</formula>
    </cfRule>
    <cfRule type="cellIs" dxfId="4415" priority="1132" operator="lessThan">
      <formula>0.8</formula>
    </cfRule>
  </conditionalFormatting>
  <conditionalFormatting sqref="P96:P105">
    <cfRule type="cellIs" dxfId="4414" priority="1130" operator="greaterThan">
      <formula>0</formula>
    </cfRule>
  </conditionalFormatting>
  <conditionalFormatting sqref="Q96:Q105">
    <cfRule type="cellIs" dxfId="4413" priority="1129" operator="lessThan">
      <formula>0</formula>
    </cfRule>
  </conditionalFormatting>
  <conditionalFormatting sqref="R96:R105">
    <cfRule type="cellIs" dxfId="4412" priority="1127" operator="lessThan">
      <formula>0.8</formula>
    </cfRule>
    <cfRule type="cellIs" dxfId="4411" priority="1128" operator="greaterThan">
      <formula>1</formula>
    </cfRule>
  </conditionalFormatting>
  <conditionalFormatting sqref="R96:R105">
    <cfRule type="cellIs" dxfId="4410" priority="1125" operator="greaterThan">
      <formula>1</formula>
    </cfRule>
    <cfRule type="cellIs" dxfId="4409" priority="1126" operator="lessThan">
      <formula>0.8</formula>
    </cfRule>
  </conditionalFormatting>
  <conditionalFormatting sqref="P96:P105">
    <cfRule type="cellIs" dxfId="4408" priority="1124" operator="greaterThan">
      <formula>0</formula>
    </cfRule>
  </conditionalFormatting>
  <conditionalFormatting sqref="P96:P105">
    <cfRule type="cellIs" dxfId="4407" priority="1118" operator="greaterThan">
      <formula>0</formula>
    </cfRule>
  </conditionalFormatting>
  <conditionalFormatting sqref="Q96:Q105">
    <cfRule type="cellIs" dxfId="4406" priority="1123" operator="lessThan">
      <formula>0</formula>
    </cfRule>
  </conditionalFormatting>
  <conditionalFormatting sqref="R96:R105">
    <cfRule type="cellIs" dxfId="4405" priority="1121" operator="lessThan">
      <formula>0.8</formula>
    </cfRule>
    <cfRule type="cellIs" dxfId="4404" priority="1122" operator="greaterThan">
      <formula>1</formula>
    </cfRule>
  </conditionalFormatting>
  <conditionalFormatting sqref="R96:R105">
    <cfRule type="cellIs" dxfId="4403" priority="1119" operator="greaterThan">
      <formula>1</formula>
    </cfRule>
    <cfRule type="cellIs" dxfId="4402" priority="1120" operator="lessThan">
      <formula>0.8</formula>
    </cfRule>
  </conditionalFormatting>
  <conditionalFormatting sqref="P96:P105">
    <cfRule type="cellIs" dxfId="4401" priority="1112" operator="greaterThan">
      <formula>0</formula>
    </cfRule>
  </conditionalFormatting>
  <conditionalFormatting sqref="Q96:Q105">
    <cfRule type="cellIs" dxfId="4400" priority="1117" operator="lessThan">
      <formula>0</formula>
    </cfRule>
  </conditionalFormatting>
  <conditionalFormatting sqref="R96:R105">
    <cfRule type="cellIs" dxfId="4399" priority="1115" operator="lessThan">
      <formula>0.8</formula>
    </cfRule>
    <cfRule type="cellIs" dxfId="4398" priority="1116" operator="greaterThan">
      <formula>1</formula>
    </cfRule>
  </conditionalFormatting>
  <conditionalFormatting sqref="R96:R105">
    <cfRule type="cellIs" dxfId="4397" priority="1113" operator="greaterThan">
      <formula>1</formula>
    </cfRule>
    <cfRule type="cellIs" dxfId="4396" priority="1114" operator="lessThan">
      <formula>0.8</formula>
    </cfRule>
  </conditionalFormatting>
  <conditionalFormatting sqref="R96:R105">
    <cfRule type="cellIs" dxfId="4395" priority="1109" operator="lessThan">
      <formula>0.8</formula>
    </cfRule>
    <cfRule type="cellIs" dxfId="4394" priority="1110" operator="greaterThan">
      <formula>1</formula>
    </cfRule>
  </conditionalFormatting>
  <conditionalFormatting sqref="R96:R105">
    <cfRule type="cellIs" dxfId="4393" priority="1107" operator="greaterThan">
      <formula>1</formula>
    </cfRule>
    <cfRule type="cellIs" dxfId="4392" priority="1108" operator="lessThan">
      <formula>0.8</formula>
    </cfRule>
  </conditionalFormatting>
  <conditionalFormatting sqref="P96:P105">
    <cfRule type="cellIs" dxfId="4391" priority="1106" operator="greaterThan">
      <formula>0</formula>
    </cfRule>
  </conditionalFormatting>
  <conditionalFormatting sqref="Q96:Q105">
    <cfRule type="cellIs" dxfId="4390" priority="1111" operator="lessThan">
      <formula>0</formula>
    </cfRule>
  </conditionalFormatting>
  <conditionalFormatting sqref="Q96:Q105">
    <cfRule type="cellIs" dxfId="4389" priority="1100" operator="lessThan">
      <formula>0</formula>
    </cfRule>
  </conditionalFormatting>
  <conditionalFormatting sqref="P96:P105">
    <cfRule type="cellIs" dxfId="4388" priority="1101" operator="greaterThan">
      <formula>0</formula>
    </cfRule>
  </conditionalFormatting>
  <conditionalFormatting sqref="R96:R105">
    <cfRule type="cellIs" dxfId="4387" priority="1104" operator="lessThan">
      <formula>0.8</formula>
    </cfRule>
    <cfRule type="cellIs" dxfId="4386" priority="1105" operator="greaterThan">
      <formula>1</formula>
    </cfRule>
  </conditionalFormatting>
  <conditionalFormatting sqref="R96:R105">
    <cfRule type="cellIs" dxfId="4385" priority="1102" operator="greaterThan">
      <formula>1</formula>
    </cfRule>
    <cfRule type="cellIs" dxfId="4384" priority="1103" operator="lessThan">
      <formula>0.8</formula>
    </cfRule>
  </conditionalFormatting>
  <conditionalFormatting sqref="Q96:Q105">
    <cfRule type="cellIs" dxfId="4383" priority="1094" operator="lessThan">
      <formula>0</formula>
    </cfRule>
  </conditionalFormatting>
  <conditionalFormatting sqref="R96:R105">
    <cfRule type="cellIs" dxfId="4382" priority="1098" operator="lessThan">
      <formula>0.8</formula>
    </cfRule>
    <cfRule type="cellIs" dxfId="4381" priority="1099" operator="greaterThan">
      <formula>1</formula>
    </cfRule>
  </conditionalFormatting>
  <conditionalFormatting sqref="R96:R105">
    <cfRule type="cellIs" dxfId="4380" priority="1096" operator="greaterThan">
      <formula>1</formula>
    </cfRule>
    <cfRule type="cellIs" dxfId="4379" priority="1097" operator="lessThan">
      <formula>0.8</formula>
    </cfRule>
  </conditionalFormatting>
  <conditionalFormatting sqref="P96:P105">
    <cfRule type="cellIs" dxfId="4378" priority="1095" operator="greaterThan">
      <formula>0</formula>
    </cfRule>
  </conditionalFormatting>
  <conditionalFormatting sqref="Q96:Q105">
    <cfRule type="cellIs" dxfId="4377" priority="1093" operator="lessThan">
      <formula>0</formula>
    </cfRule>
  </conditionalFormatting>
  <conditionalFormatting sqref="R96:R105">
    <cfRule type="cellIs" dxfId="4376" priority="1091" operator="lessThan">
      <formula>0.8</formula>
    </cfRule>
    <cfRule type="cellIs" dxfId="4375" priority="1092" operator="greaterThan">
      <formula>1</formula>
    </cfRule>
  </conditionalFormatting>
  <conditionalFormatting sqref="R96:R105">
    <cfRule type="cellIs" dxfId="4374" priority="1089" operator="greaterThan">
      <formula>1</formula>
    </cfRule>
    <cfRule type="cellIs" dxfId="4373" priority="1090" operator="lessThan">
      <formula>0.8</formula>
    </cfRule>
  </conditionalFormatting>
  <conditionalFormatting sqref="P96:P105">
    <cfRule type="cellIs" dxfId="4372" priority="1088" operator="greaterThan">
      <formula>0</formula>
    </cfRule>
  </conditionalFormatting>
  <conditionalFormatting sqref="Q96:Q105">
    <cfRule type="cellIs" dxfId="4371" priority="1087" operator="lessThan">
      <formula>0</formula>
    </cfRule>
  </conditionalFormatting>
  <conditionalFormatting sqref="R96:R105">
    <cfRule type="cellIs" dxfId="4370" priority="1085" operator="lessThan">
      <formula>0.8</formula>
    </cfRule>
    <cfRule type="cellIs" dxfId="4369" priority="1086" operator="greaterThan">
      <formula>1</formula>
    </cfRule>
  </conditionalFormatting>
  <conditionalFormatting sqref="R96:R105">
    <cfRule type="cellIs" dxfId="4368" priority="1083" operator="greaterThan">
      <formula>1</formula>
    </cfRule>
    <cfRule type="cellIs" dxfId="4367" priority="1084" operator="lessThan">
      <formula>0.8</formula>
    </cfRule>
  </conditionalFormatting>
  <conditionalFormatting sqref="P96:P105">
    <cfRule type="cellIs" dxfId="4366" priority="1082" operator="greaterThan">
      <formula>0</formula>
    </cfRule>
  </conditionalFormatting>
  <conditionalFormatting sqref="Q96:Q105">
    <cfRule type="cellIs" dxfId="4365" priority="1076" operator="lessThan">
      <formula>0</formula>
    </cfRule>
  </conditionalFormatting>
  <conditionalFormatting sqref="P96:P105">
    <cfRule type="cellIs" dxfId="4364" priority="1077" operator="greaterThan">
      <formula>0</formula>
    </cfRule>
  </conditionalFormatting>
  <conditionalFormatting sqref="R96:R105">
    <cfRule type="cellIs" dxfId="4363" priority="1080" operator="lessThan">
      <formula>0.8</formula>
    </cfRule>
    <cfRule type="cellIs" dxfId="4362" priority="1081" operator="greaterThan">
      <formula>1</formula>
    </cfRule>
  </conditionalFormatting>
  <conditionalFormatting sqref="R96:R105">
    <cfRule type="cellIs" dxfId="4361" priority="1078" operator="greaterThan">
      <formula>1</formula>
    </cfRule>
    <cfRule type="cellIs" dxfId="4360" priority="1079" operator="lessThan">
      <formula>0.8</formula>
    </cfRule>
  </conditionalFormatting>
  <conditionalFormatting sqref="Q96:Q105">
    <cfRule type="cellIs" dxfId="4359" priority="1070" operator="lessThan">
      <formula>0</formula>
    </cfRule>
  </conditionalFormatting>
  <conditionalFormatting sqref="R96:R105">
    <cfRule type="cellIs" dxfId="4358" priority="1074" operator="lessThan">
      <formula>0.8</formula>
    </cfRule>
    <cfRule type="cellIs" dxfId="4357" priority="1075" operator="greaterThan">
      <formula>1</formula>
    </cfRule>
  </conditionalFormatting>
  <conditionalFormatting sqref="R96:R105">
    <cfRule type="cellIs" dxfId="4356" priority="1072" operator="greaterThan">
      <formula>1</formula>
    </cfRule>
    <cfRule type="cellIs" dxfId="4355" priority="1073" operator="lessThan">
      <formula>0.8</formula>
    </cfRule>
  </conditionalFormatting>
  <conditionalFormatting sqref="P96:P105">
    <cfRule type="cellIs" dxfId="4354" priority="1071" operator="greaterThan">
      <formula>0</formula>
    </cfRule>
  </conditionalFormatting>
  <conditionalFormatting sqref="Q96:Q105">
    <cfRule type="cellIs" dxfId="4353" priority="1069" operator="lessThan">
      <formula>0</formula>
    </cfRule>
  </conditionalFormatting>
  <conditionalFormatting sqref="R96:R105">
    <cfRule type="cellIs" dxfId="4352" priority="1067" operator="lessThan">
      <formula>0.8</formula>
    </cfRule>
    <cfRule type="cellIs" dxfId="4351" priority="1068" operator="greaterThan">
      <formula>1</formula>
    </cfRule>
  </conditionalFormatting>
  <conditionalFormatting sqref="R96:R105">
    <cfRule type="cellIs" dxfId="4350" priority="1065" operator="greaterThan">
      <formula>1</formula>
    </cfRule>
    <cfRule type="cellIs" dxfId="4349" priority="1066" operator="lessThan">
      <formula>0.8</formula>
    </cfRule>
  </conditionalFormatting>
  <conditionalFormatting sqref="P96:P105">
    <cfRule type="cellIs" dxfId="4348" priority="1064" operator="greaterThan">
      <formula>0</formula>
    </cfRule>
  </conditionalFormatting>
  <conditionalFormatting sqref="Q96:Q105">
    <cfRule type="cellIs" dxfId="4347" priority="1063" operator="lessThan">
      <formula>0</formula>
    </cfRule>
  </conditionalFormatting>
  <conditionalFormatting sqref="R96:R105">
    <cfRule type="cellIs" dxfId="4346" priority="1061" operator="lessThan">
      <formula>0.8</formula>
    </cfRule>
    <cfRule type="cellIs" dxfId="4345" priority="1062" operator="greaterThan">
      <formula>1</formula>
    </cfRule>
  </conditionalFormatting>
  <conditionalFormatting sqref="R96:R105">
    <cfRule type="cellIs" dxfId="4344" priority="1059" operator="greaterThan">
      <formula>1</formula>
    </cfRule>
    <cfRule type="cellIs" dxfId="4343" priority="1060" operator="lessThan">
      <formula>0.8</formula>
    </cfRule>
  </conditionalFormatting>
  <conditionalFormatting sqref="P96:P105">
    <cfRule type="cellIs" dxfId="4342" priority="1058" operator="greaterThan">
      <formula>0</formula>
    </cfRule>
  </conditionalFormatting>
  <conditionalFormatting sqref="P124">
    <cfRule type="cellIs" dxfId="4341" priority="1052" operator="greaterThan">
      <formula>0</formula>
    </cfRule>
  </conditionalFormatting>
  <conditionalFormatting sqref="Q124">
    <cfRule type="cellIs" dxfId="4340" priority="1057" operator="lessThan">
      <formula>0</formula>
    </cfRule>
  </conditionalFormatting>
  <conditionalFormatting sqref="R124">
    <cfRule type="cellIs" dxfId="4339" priority="1055" operator="lessThan">
      <formula>0.8</formula>
    </cfRule>
    <cfRule type="cellIs" dxfId="4338" priority="1056" operator="greaterThan">
      <formula>1</formula>
    </cfRule>
  </conditionalFormatting>
  <conditionalFormatting sqref="R124">
    <cfRule type="cellIs" dxfId="4337" priority="1053" operator="greaterThan">
      <formula>1</formula>
    </cfRule>
    <cfRule type="cellIs" dxfId="4336" priority="1054" operator="lessThan">
      <formula>0.8</formula>
    </cfRule>
  </conditionalFormatting>
  <conditionalFormatting sqref="Q124">
    <cfRule type="cellIs" dxfId="4335" priority="1051" operator="lessThan">
      <formula>0</formula>
    </cfRule>
  </conditionalFormatting>
  <conditionalFormatting sqref="R124">
    <cfRule type="cellIs" dxfId="4334" priority="1049" operator="lessThan">
      <formula>0.8</formula>
    </cfRule>
    <cfRule type="cellIs" dxfId="4333" priority="1050" operator="greaterThan">
      <formula>1</formula>
    </cfRule>
  </conditionalFormatting>
  <conditionalFormatting sqref="R124">
    <cfRule type="cellIs" dxfId="4332" priority="1047" operator="greaterThan">
      <formula>1</formula>
    </cfRule>
    <cfRule type="cellIs" dxfId="4331" priority="1048" operator="lessThan">
      <formula>0.8</formula>
    </cfRule>
  </conditionalFormatting>
  <conditionalFormatting sqref="P124">
    <cfRule type="cellIs" dxfId="4330" priority="1046" operator="greaterThan">
      <formula>0</formula>
    </cfRule>
  </conditionalFormatting>
  <conditionalFormatting sqref="Q123 Q126:Q131">
    <cfRule type="cellIs" dxfId="4329" priority="1045" operator="lessThan">
      <formula>0</formula>
    </cfRule>
  </conditionalFormatting>
  <conditionalFormatting sqref="R123 R126:R131">
    <cfRule type="cellIs" dxfId="4328" priority="1043" operator="lessThan">
      <formula>0.8</formula>
    </cfRule>
    <cfRule type="cellIs" dxfId="4327" priority="1044" operator="greaterThan">
      <formula>1</formula>
    </cfRule>
  </conditionalFormatting>
  <conditionalFormatting sqref="R123 R126:R131">
    <cfRule type="cellIs" dxfId="4326" priority="1041" operator="greaterThan">
      <formula>1</formula>
    </cfRule>
    <cfRule type="cellIs" dxfId="4325" priority="1042" operator="lessThan">
      <formula>0.8</formula>
    </cfRule>
  </conditionalFormatting>
  <conditionalFormatting sqref="P123 P126:P131">
    <cfRule type="cellIs" dxfId="4324" priority="1040" operator="greaterThan">
      <formula>0</formula>
    </cfRule>
  </conditionalFormatting>
  <conditionalFormatting sqref="P123 P126:P131">
    <cfRule type="cellIs" dxfId="4323" priority="1034" operator="greaterThan">
      <formula>0</formula>
    </cfRule>
  </conditionalFormatting>
  <conditionalFormatting sqref="Q123 Q126:Q131">
    <cfRule type="cellIs" dxfId="4322" priority="1039" operator="lessThan">
      <formula>0</formula>
    </cfRule>
  </conditionalFormatting>
  <conditionalFormatting sqref="R123 R126:R131">
    <cfRule type="cellIs" dxfId="4321" priority="1037" operator="lessThan">
      <formula>0.8</formula>
    </cfRule>
    <cfRule type="cellIs" dxfId="4320" priority="1038" operator="greaterThan">
      <formula>1</formula>
    </cfRule>
  </conditionalFormatting>
  <conditionalFormatting sqref="R123 R126:R131">
    <cfRule type="cellIs" dxfId="4319" priority="1035" operator="greaterThan">
      <formula>1</formula>
    </cfRule>
    <cfRule type="cellIs" dxfId="4318" priority="1036" operator="lessThan">
      <formula>0.8</formula>
    </cfRule>
  </conditionalFormatting>
  <conditionalFormatting sqref="P122 P125">
    <cfRule type="cellIs" dxfId="4317" priority="1028" operator="greaterThan">
      <formula>0</formula>
    </cfRule>
  </conditionalFormatting>
  <conditionalFormatting sqref="Q122 Q125">
    <cfRule type="cellIs" dxfId="4316" priority="1033" operator="lessThan">
      <formula>0</formula>
    </cfRule>
  </conditionalFormatting>
  <conditionalFormatting sqref="R122 R125">
    <cfRule type="cellIs" dxfId="4315" priority="1031" operator="lessThan">
      <formula>0.8</formula>
    </cfRule>
    <cfRule type="cellIs" dxfId="4314" priority="1032" operator="greaterThan">
      <formula>1</formula>
    </cfRule>
  </conditionalFormatting>
  <conditionalFormatting sqref="R122 R125">
    <cfRule type="cellIs" dxfId="4313" priority="1029" operator="greaterThan">
      <formula>1</formula>
    </cfRule>
    <cfRule type="cellIs" dxfId="4312" priority="1030" operator="lessThan">
      <formula>0.8</formula>
    </cfRule>
  </conditionalFormatting>
  <conditionalFormatting sqref="P137 P140 P142 P144">
    <cfRule type="cellIs" dxfId="4311" priority="1027" operator="greaterThan">
      <formula>0</formula>
    </cfRule>
  </conditionalFormatting>
  <conditionalFormatting sqref="Q137:Q145">
    <cfRule type="cellIs" dxfId="4310" priority="1026" operator="lessThan">
      <formula>0</formula>
    </cfRule>
  </conditionalFormatting>
  <conditionalFormatting sqref="R137">
    <cfRule type="cellIs" dxfId="4309" priority="1024" operator="lessThan">
      <formula>0.8</formula>
    </cfRule>
    <cfRule type="cellIs" dxfId="4308" priority="1025" operator="greaterThan">
      <formula>1</formula>
    </cfRule>
  </conditionalFormatting>
  <conditionalFormatting sqref="R137">
    <cfRule type="cellIs" dxfId="4307" priority="1022" operator="greaterThan">
      <formula>1</formula>
    </cfRule>
    <cfRule type="cellIs" dxfId="4306" priority="1023" operator="lessThan">
      <formula>0.8</formula>
    </cfRule>
  </conditionalFormatting>
  <conditionalFormatting sqref="P137 P140 P142 P144">
    <cfRule type="cellIs" dxfId="4305" priority="1021" operator="greaterThan">
      <formula>0</formula>
    </cfRule>
  </conditionalFormatting>
  <conditionalFormatting sqref="Q137:Q145">
    <cfRule type="cellIs" dxfId="4304" priority="1020" operator="lessThan">
      <formula>0</formula>
    </cfRule>
  </conditionalFormatting>
  <conditionalFormatting sqref="R137">
    <cfRule type="cellIs" dxfId="4303" priority="1018" operator="lessThan">
      <formula>0.8</formula>
    </cfRule>
    <cfRule type="cellIs" dxfId="4302" priority="1019" operator="greaterThan">
      <formula>1</formula>
    </cfRule>
  </conditionalFormatting>
  <conditionalFormatting sqref="R137">
    <cfRule type="cellIs" dxfId="4301" priority="1016" operator="greaterThan">
      <formula>1</formula>
    </cfRule>
    <cfRule type="cellIs" dxfId="4300" priority="1017" operator="lessThan">
      <formula>0.8</formula>
    </cfRule>
  </conditionalFormatting>
  <conditionalFormatting sqref="P137 P140 P142 P144">
    <cfRule type="cellIs" dxfId="4299" priority="1015" operator="greaterThan">
      <formula>0</formula>
    </cfRule>
  </conditionalFormatting>
  <conditionalFormatting sqref="P137 P140 P142 P144">
    <cfRule type="cellIs" dxfId="4298" priority="1009" operator="greaterThan">
      <formula>0</formula>
    </cfRule>
  </conditionalFormatting>
  <conditionalFormatting sqref="Q137:Q145">
    <cfRule type="cellIs" dxfId="4297" priority="1014" operator="lessThan">
      <formula>0</formula>
    </cfRule>
  </conditionalFormatting>
  <conditionalFormatting sqref="R137">
    <cfRule type="cellIs" dxfId="4296" priority="1012" operator="lessThan">
      <formula>0.8</formula>
    </cfRule>
    <cfRule type="cellIs" dxfId="4295" priority="1013" operator="greaterThan">
      <formula>1</formula>
    </cfRule>
  </conditionalFormatting>
  <conditionalFormatting sqref="R137">
    <cfRule type="cellIs" dxfId="4294" priority="1010" operator="greaterThan">
      <formula>1</formula>
    </cfRule>
    <cfRule type="cellIs" dxfId="4293" priority="1011" operator="lessThan">
      <formula>0.8</formula>
    </cfRule>
  </conditionalFormatting>
  <conditionalFormatting sqref="Q137:Q145">
    <cfRule type="cellIs" dxfId="4292" priority="1008" operator="lessThan">
      <formula>0</formula>
    </cfRule>
  </conditionalFormatting>
  <conditionalFormatting sqref="R137">
    <cfRule type="cellIs" dxfId="4291" priority="1006" operator="lessThan">
      <formula>0.8</formula>
    </cfRule>
    <cfRule type="cellIs" dxfId="4290" priority="1007" operator="greaterThan">
      <formula>1</formula>
    </cfRule>
  </conditionalFormatting>
  <conditionalFormatting sqref="R137">
    <cfRule type="cellIs" dxfId="4289" priority="1004" operator="greaterThan">
      <formula>1</formula>
    </cfRule>
    <cfRule type="cellIs" dxfId="4288" priority="1005" operator="lessThan">
      <formula>0.8</formula>
    </cfRule>
  </conditionalFormatting>
  <conditionalFormatting sqref="P137 P140 P142 P144">
    <cfRule type="cellIs" dxfId="4287" priority="1003" operator="greaterThan">
      <formula>0</formula>
    </cfRule>
  </conditionalFormatting>
  <conditionalFormatting sqref="Q137:Q145">
    <cfRule type="cellIs" dxfId="4286" priority="1002" operator="lessThan">
      <formula>0</formula>
    </cfRule>
  </conditionalFormatting>
  <conditionalFormatting sqref="R137">
    <cfRule type="cellIs" dxfId="4285" priority="1000" operator="lessThan">
      <formula>0.8</formula>
    </cfRule>
    <cfRule type="cellIs" dxfId="4284" priority="1001" operator="greaterThan">
      <formula>1</formula>
    </cfRule>
  </conditionalFormatting>
  <conditionalFormatting sqref="R137">
    <cfRule type="cellIs" dxfId="4283" priority="998" operator="greaterThan">
      <formula>1</formula>
    </cfRule>
    <cfRule type="cellIs" dxfId="4282" priority="999" operator="lessThan">
      <formula>0.8</formula>
    </cfRule>
  </conditionalFormatting>
  <conditionalFormatting sqref="P137 P140 P142 P144">
    <cfRule type="cellIs" dxfId="4281" priority="997" operator="greaterThan">
      <formula>0</formula>
    </cfRule>
  </conditionalFormatting>
  <conditionalFormatting sqref="P137 P140 P142 P144">
    <cfRule type="cellIs" dxfId="4280" priority="991" operator="greaterThan">
      <formula>0</formula>
    </cfRule>
  </conditionalFormatting>
  <conditionalFormatting sqref="Q137:Q145">
    <cfRule type="cellIs" dxfId="4279" priority="996" operator="lessThan">
      <formula>0</formula>
    </cfRule>
  </conditionalFormatting>
  <conditionalFormatting sqref="R137">
    <cfRule type="cellIs" dxfId="4278" priority="994" operator="lessThan">
      <formula>0.8</formula>
    </cfRule>
    <cfRule type="cellIs" dxfId="4277" priority="995" operator="greaterThan">
      <formula>1</formula>
    </cfRule>
  </conditionalFormatting>
  <conditionalFormatting sqref="R137">
    <cfRule type="cellIs" dxfId="4276" priority="992" operator="greaterThan">
      <formula>1</formula>
    </cfRule>
    <cfRule type="cellIs" dxfId="4275" priority="993" operator="lessThan">
      <formula>0.8</formula>
    </cfRule>
  </conditionalFormatting>
  <conditionalFormatting sqref="Q137:Q145">
    <cfRule type="cellIs" dxfId="4274" priority="990" operator="lessThan">
      <formula>0</formula>
    </cfRule>
  </conditionalFormatting>
  <conditionalFormatting sqref="R137">
    <cfRule type="cellIs" dxfId="4273" priority="988" operator="lessThan">
      <formula>0.8</formula>
    </cfRule>
    <cfRule type="cellIs" dxfId="4272" priority="989" operator="greaterThan">
      <formula>1</formula>
    </cfRule>
  </conditionalFormatting>
  <conditionalFormatting sqref="R137">
    <cfRule type="cellIs" dxfId="4271" priority="986" operator="greaterThan">
      <formula>1</formula>
    </cfRule>
    <cfRule type="cellIs" dxfId="4270" priority="987" operator="lessThan">
      <formula>0.8</formula>
    </cfRule>
  </conditionalFormatting>
  <conditionalFormatting sqref="P137 P140 P142 P144">
    <cfRule type="cellIs" dxfId="4269" priority="985" operator="greaterThan">
      <formula>0</formula>
    </cfRule>
  </conditionalFormatting>
  <conditionalFormatting sqref="Q137:Q145">
    <cfRule type="cellIs" dxfId="4268" priority="984" operator="lessThan">
      <formula>0</formula>
    </cfRule>
  </conditionalFormatting>
  <conditionalFormatting sqref="R137">
    <cfRule type="cellIs" dxfId="4267" priority="982" operator="lessThan">
      <formula>0.8</formula>
    </cfRule>
    <cfRule type="cellIs" dxfId="4266" priority="983" operator="greaterThan">
      <formula>1</formula>
    </cfRule>
  </conditionalFormatting>
  <conditionalFormatting sqref="R137">
    <cfRule type="cellIs" dxfId="4265" priority="980" operator="greaterThan">
      <formula>1</formula>
    </cfRule>
    <cfRule type="cellIs" dxfId="4264" priority="981" operator="lessThan">
      <formula>0.8</formula>
    </cfRule>
  </conditionalFormatting>
  <conditionalFormatting sqref="P137 P140 P142 P144">
    <cfRule type="cellIs" dxfId="4263" priority="979" operator="greaterThan">
      <formula>0</formula>
    </cfRule>
  </conditionalFormatting>
  <conditionalFormatting sqref="P137 P140 P142 P144">
    <cfRule type="cellIs" dxfId="4262" priority="973" operator="greaterThan">
      <formula>0</formula>
    </cfRule>
  </conditionalFormatting>
  <conditionalFormatting sqref="Q137:Q145">
    <cfRule type="cellIs" dxfId="4261" priority="978" operator="lessThan">
      <formula>0</formula>
    </cfRule>
  </conditionalFormatting>
  <conditionalFormatting sqref="R137">
    <cfRule type="cellIs" dxfId="4260" priority="976" operator="lessThan">
      <formula>0.8</formula>
    </cfRule>
    <cfRule type="cellIs" dxfId="4259" priority="977" operator="greaterThan">
      <formula>1</formula>
    </cfRule>
  </conditionalFormatting>
  <conditionalFormatting sqref="R137">
    <cfRule type="cellIs" dxfId="4258" priority="974" operator="greaterThan">
      <formula>1</formula>
    </cfRule>
    <cfRule type="cellIs" dxfId="4257" priority="975" operator="lessThan">
      <formula>0.8</formula>
    </cfRule>
  </conditionalFormatting>
  <conditionalFormatting sqref="Q137:Q145">
    <cfRule type="cellIs" dxfId="4256" priority="972" operator="lessThan">
      <formula>0</formula>
    </cfRule>
  </conditionalFormatting>
  <conditionalFormatting sqref="R137">
    <cfRule type="cellIs" dxfId="4255" priority="970" operator="lessThan">
      <formula>0.8</formula>
    </cfRule>
    <cfRule type="cellIs" dxfId="4254" priority="971" operator="greaterThan">
      <formula>1</formula>
    </cfRule>
  </conditionalFormatting>
  <conditionalFormatting sqref="R137">
    <cfRule type="cellIs" dxfId="4253" priority="968" operator="greaterThan">
      <formula>1</formula>
    </cfRule>
    <cfRule type="cellIs" dxfId="4252" priority="969" operator="lessThan">
      <formula>0.8</formula>
    </cfRule>
  </conditionalFormatting>
  <conditionalFormatting sqref="P137 P140 P142 P144">
    <cfRule type="cellIs" dxfId="4251" priority="967" operator="greaterThan">
      <formula>0</formula>
    </cfRule>
  </conditionalFormatting>
  <conditionalFormatting sqref="P138">
    <cfRule type="cellIs" dxfId="4250" priority="962" operator="greaterThan">
      <formula>0</formula>
    </cfRule>
  </conditionalFormatting>
  <conditionalFormatting sqref="R138">
    <cfRule type="cellIs" dxfId="4249" priority="965" operator="lessThan">
      <formula>0.8</formula>
    </cfRule>
    <cfRule type="cellIs" dxfId="4248" priority="966" operator="greaterThan">
      <formula>1</formula>
    </cfRule>
  </conditionalFormatting>
  <conditionalFormatting sqref="R138">
    <cfRule type="cellIs" dxfId="4247" priority="963" operator="greaterThan">
      <formula>1</formula>
    </cfRule>
    <cfRule type="cellIs" dxfId="4246" priority="964" operator="lessThan">
      <formula>0.8</formula>
    </cfRule>
  </conditionalFormatting>
  <conditionalFormatting sqref="R138">
    <cfRule type="cellIs" dxfId="4245" priority="960" operator="lessThan">
      <formula>0.8</formula>
    </cfRule>
    <cfRule type="cellIs" dxfId="4244" priority="961" operator="greaterThan">
      <formula>1</formula>
    </cfRule>
  </conditionalFormatting>
  <conditionalFormatting sqref="R138">
    <cfRule type="cellIs" dxfId="4243" priority="958" operator="greaterThan">
      <formula>1</formula>
    </cfRule>
    <cfRule type="cellIs" dxfId="4242" priority="959" operator="lessThan">
      <formula>0.8</formula>
    </cfRule>
  </conditionalFormatting>
  <conditionalFormatting sqref="P138">
    <cfRule type="cellIs" dxfId="4241" priority="957" operator="greaterThan">
      <formula>0</formula>
    </cfRule>
  </conditionalFormatting>
  <conditionalFormatting sqref="R138">
    <cfRule type="cellIs" dxfId="4240" priority="955" operator="lessThan">
      <formula>0.8</formula>
    </cfRule>
    <cfRule type="cellIs" dxfId="4239" priority="956" operator="greaterThan">
      <formula>1</formula>
    </cfRule>
  </conditionalFormatting>
  <conditionalFormatting sqref="R138">
    <cfRule type="cellIs" dxfId="4238" priority="953" operator="greaterThan">
      <formula>1</formula>
    </cfRule>
    <cfRule type="cellIs" dxfId="4237" priority="954" operator="lessThan">
      <formula>0.8</formula>
    </cfRule>
  </conditionalFormatting>
  <conditionalFormatting sqref="P138">
    <cfRule type="cellIs" dxfId="4236" priority="952" operator="greaterThan">
      <formula>0</formula>
    </cfRule>
  </conditionalFormatting>
  <conditionalFormatting sqref="R138">
    <cfRule type="cellIs" dxfId="4235" priority="950" operator="lessThan">
      <formula>0.8</formula>
    </cfRule>
    <cfRule type="cellIs" dxfId="4234" priority="951" operator="greaterThan">
      <formula>1</formula>
    </cfRule>
  </conditionalFormatting>
  <conditionalFormatting sqref="R138">
    <cfRule type="cellIs" dxfId="4233" priority="948" operator="greaterThan">
      <formula>1</formula>
    </cfRule>
    <cfRule type="cellIs" dxfId="4232" priority="949" operator="lessThan">
      <formula>0.8</formula>
    </cfRule>
  </conditionalFormatting>
  <conditionalFormatting sqref="P138">
    <cfRule type="cellIs" dxfId="4231" priority="947" operator="greaterThan">
      <formula>0</formula>
    </cfRule>
  </conditionalFormatting>
  <conditionalFormatting sqref="R138">
    <cfRule type="cellIs" dxfId="4230" priority="945" operator="lessThan">
      <formula>0.8</formula>
    </cfRule>
    <cfRule type="cellIs" dxfId="4229" priority="946" operator="greaterThan">
      <formula>1</formula>
    </cfRule>
  </conditionalFormatting>
  <conditionalFormatting sqref="R138">
    <cfRule type="cellIs" dxfId="4228" priority="943" operator="greaterThan">
      <formula>1</formula>
    </cfRule>
    <cfRule type="cellIs" dxfId="4227" priority="944" operator="lessThan">
      <formula>0.8</formula>
    </cfRule>
  </conditionalFormatting>
  <conditionalFormatting sqref="R138">
    <cfRule type="cellIs" dxfId="4226" priority="941" operator="lessThan">
      <formula>0.8</formula>
    </cfRule>
    <cfRule type="cellIs" dxfId="4225" priority="942" operator="greaterThan">
      <formula>1</formula>
    </cfRule>
  </conditionalFormatting>
  <conditionalFormatting sqref="R138">
    <cfRule type="cellIs" dxfId="4224" priority="939" operator="greaterThan">
      <formula>1</formula>
    </cfRule>
    <cfRule type="cellIs" dxfId="4223" priority="940" operator="lessThan">
      <formula>0.8</formula>
    </cfRule>
  </conditionalFormatting>
  <conditionalFormatting sqref="P138">
    <cfRule type="cellIs" dxfId="4222" priority="938" operator="greaterThan">
      <formula>0</formula>
    </cfRule>
  </conditionalFormatting>
  <conditionalFormatting sqref="P138">
    <cfRule type="cellIs" dxfId="4221" priority="933" operator="greaterThan">
      <formula>0</formula>
    </cfRule>
  </conditionalFormatting>
  <conditionalFormatting sqref="R138">
    <cfRule type="cellIs" dxfId="4220" priority="936" operator="lessThan">
      <formula>0.8</formula>
    </cfRule>
    <cfRule type="cellIs" dxfId="4219" priority="937" operator="greaterThan">
      <formula>1</formula>
    </cfRule>
  </conditionalFormatting>
  <conditionalFormatting sqref="R138">
    <cfRule type="cellIs" dxfId="4218" priority="934" operator="greaterThan">
      <formula>1</formula>
    </cfRule>
    <cfRule type="cellIs" dxfId="4217" priority="935" operator="lessThan">
      <formula>0.8</formula>
    </cfRule>
  </conditionalFormatting>
  <conditionalFormatting sqref="R138">
    <cfRule type="cellIs" dxfId="4216" priority="931" operator="lessThan">
      <formula>0.8</formula>
    </cfRule>
    <cfRule type="cellIs" dxfId="4215" priority="932" operator="greaterThan">
      <formula>1</formula>
    </cfRule>
  </conditionalFormatting>
  <conditionalFormatting sqref="R138">
    <cfRule type="cellIs" dxfId="4214" priority="929" operator="greaterThan">
      <formula>1</formula>
    </cfRule>
    <cfRule type="cellIs" dxfId="4213" priority="930" operator="lessThan">
      <formula>0.8</formula>
    </cfRule>
  </conditionalFormatting>
  <conditionalFormatting sqref="P138">
    <cfRule type="cellIs" dxfId="4212" priority="928" operator="greaterThan">
      <formula>0</formula>
    </cfRule>
  </conditionalFormatting>
  <conditionalFormatting sqref="Q148:Q156">
    <cfRule type="cellIs" dxfId="4211" priority="927" operator="lessThan">
      <formula>0</formula>
    </cfRule>
  </conditionalFormatting>
  <conditionalFormatting sqref="R148:R156">
    <cfRule type="cellIs" dxfId="4210" priority="925" operator="lessThan">
      <formula>0.8</formula>
    </cfRule>
    <cfRule type="cellIs" dxfId="4209" priority="926" operator="greaterThan">
      <formula>1</formula>
    </cfRule>
  </conditionalFormatting>
  <conditionalFormatting sqref="R148:R156">
    <cfRule type="cellIs" dxfId="4208" priority="923" operator="greaterThan">
      <formula>1</formula>
    </cfRule>
    <cfRule type="cellIs" dxfId="4207" priority="924" operator="lessThan">
      <formula>0.8</formula>
    </cfRule>
  </conditionalFormatting>
  <conditionalFormatting sqref="P148:P156">
    <cfRule type="cellIs" dxfId="4206" priority="922" operator="greaterThan">
      <formula>0</formula>
    </cfRule>
  </conditionalFormatting>
  <conditionalFormatting sqref="P148:P156">
    <cfRule type="cellIs" dxfId="4205" priority="916" operator="greaterThan">
      <formula>0</formula>
    </cfRule>
  </conditionalFormatting>
  <conditionalFormatting sqref="Q148:Q156">
    <cfRule type="cellIs" dxfId="4204" priority="921" operator="lessThan">
      <formula>0</formula>
    </cfRule>
  </conditionalFormatting>
  <conditionalFormatting sqref="R148:R156">
    <cfRule type="cellIs" dxfId="4203" priority="919" operator="lessThan">
      <formula>0.8</formula>
    </cfRule>
    <cfRule type="cellIs" dxfId="4202" priority="920" operator="greaterThan">
      <formula>1</formula>
    </cfRule>
  </conditionalFormatting>
  <conditionalFormatting sqref="R148:R156">
    <cfRule type="cellIs" dxfId="4201" priority="917" operator="greaterThan">
      <formula>1</formula>
    </cfRule>
    <cfRule type="cellIs" dxfId="4200" priority="918" operator="lessThan">
      <formula>0.8</formula>
    </cfRule>
  </conditionalFormatting>
  <conditionalFormatting sqref="Q148:Q156">
    <cfRule type="cellIs" dxfId="4199" priority="915" operator="lessThan">
      <formula>0</formula>
    </cfRule>
  </conditionalFormatting>
  <conditionalFormatting sqref="R148:R156">
    <cfRule type="cellIs" dxfId="4198" priority="913" operator="lessThan">
      <formula>0.8</formula>
    </cfRule>
    <cfRule type="cellIs" dxfId="4197" priority="914" operator="greaterThan">
      <formula>1</formula>
    </cfRule>
  </conditionalFormatting>
  <conditionalFormatting sqref="R148:R156">
    <cfRule type="cellIs" dxfId="4196" priority="911" operator="greaterThan">
      <formula>1</formula>
    </cfRule>
    <cfRule type="cellIs" dxfId="4195" priority="912" operator="lessThan">
      <formula>0.8</formula>
    </cfRule>
  </conditionalFormatting>
  <conditionalFormatting sqref="P148:P156">
    <cfRule type="cellIs" dxfId="4194" priority="910" operator="greaterThan">
      <formula>0</formula>
    </cfRule>
  </conditionalFormatting>
  <conditionalFormatting sqref="Q148:Q156">
    <cfRule type="cellIs" dxfId="4193" priority="909" operator="lessThan">
      <formula>0</formula>
    </cfRule>
  </conditionalFormatting>
  <conditionalFormatting sqref="R148:R156">
    <cfRule type="cellIs" dxfId="4192" priority="907" operator="lessThan">
      <formula>0.8</formula>
    </cfRule>
    <cfRule type="cellIs" dxfId="4191" priority="908" operator="greaterThan">
      <formula>1</formula>
    </cfRule>
  </conditionalFormatting>
  <conditionalFormatting sqref="R148:R156">
    <cfRule type="cellIs" dxfId="4190" priority="905" operator="greaterThan">
      <formula>1</formula>
    </cfRule>
    <cfRule type="cellIs" dxfId="4189" priority="906" operator="lessThan">
      <formula>0.8</formula>
    </cfRule>
  </conditionalFormatting>
  <conditionalFormatting sqref="P148:P156">
    <cfRule type="cellIs" dxfId="4188" priority="904" operator="greaterThan">
      <formula>0</formula>
    </cfRule>
  </conditionalFormatting>
  <conditionalFormatting sqref="P148:P156">
    <cfRule type="cellIs" dxfId="4187" priority="898" operator="greaterThan">
      <formula>0</formula>
    </cfRule>
  </conditionalFormatting>
  <conditionalFormatting sqref="Q148:Q156">
    <cfRule type="cellIs" dxfId="4186" priority="903" operator="lessThan">
      <formula>0</formula>
    </cfRule>
  </conditionalFormatting>
  <conditionalFormatting sqref="R148:R156">
    <cfRule type="cellIs" dxfId="4185" priority="901" operator="lessThan">
      <formula>0.8</formula>
    </cfRule>
    <cfRule type="cellIs" dxfId="4184" priority="902" operator="greaterThan">
      <formula>1</formula>
    </cfRule>
  </conditionalFormatting>
  <conditionalFormatting sqref="R148:R156">
    <cfRule type="cellIs" dxfId="4183" priority="899" operator="greaterThan">
      <formula>1</formula>
    </cfRule>
    <cfRule type="cellIs" dxfId="4182" priority="900" operator="lessThan">
      <formula>0.8</formula>
    </cfRule>
  </conditionalFormatting>
  <conditionalFormatting sqref="Q148:Q156">
    <cfRule type="cellIs" dxfId="4181" priority="897" operator="lessThan">
      <formula>0</formula>
    </cfRule>
  </conditionalFormatting>
  <conditionalFormatting sqref="R148:R156">
    <cfRule type="cellIs" dxfId="4180" priority="895" operator="lessThan">
      <formula>0.8</formula>
    </cfRule>
    <cfRule type="cellIs" dxfId="4179" priority="896" operator="greaterThan">
      <formula>1</formula>
    </cfRule>
  </conditionalFormatting>
  <conditionalFormatting sqref="R148:R156">
    <cfRule type="cellIs" dxfId="4178" priority="893" operator="greaterThan">
      <formula>1</formula>
    </cfRule>
    <cfRule type="cellIs" dxfId="4177" priority="894" operator="lessThan">
      <formula>0.8</formula>
    </cfRule>
  </conditionalFormatting>
  <conditionalFormatting sqref="P148:P156">
    <cfRule type="cellIs" dxfId="4176" priority="892" operator="greaterThan">
      <formula>0</formula>
    </cfRule>
  </conditionalFormatting>
  <conditionalFormatting sqref="Q148:Q156">
    <cfRule type="cellIs" dxfId="4175" priority="886" operator="lessThan">
      <formula>0</formula>
    </cfRule>
  </conditionalFormatting>
  <conditionalFormatting sqref="P148:P156">
    <cfRule type="cellIs" dxfId="4174" priority="887" operator="greaterThan">
      <formula>0</formula>
    </cfRule>
  </conditionalFormatting>
  <conditionalFormatting sqref="R148:R156">
    <cfRule type="cellIs" dxfId="4173" priority="890" operator="lessThan">
      <formula>0.8</formula>
    </cfRule>
    <cfRule type="cellIs" dxfId="4172" priority="891" operator="greaterThan">
      <formula>1</formula>
    </cfRule>
  </conditionalFormatting>
  <conditionalFormatting sqref="R148:R156">
    <cfRule type="cellIs" dxfId="4171" priority="888" operator="greaterThan">
      <formula>1</formula>
    </cfRule>
    <cfRule type="cellIs" dxfId="4170" priority="889" operator="lessThan">
      <formula>0.8</formula>
    </cfRule>
  </conditionalFormatting>
  <conditionalFormatting sqref="Q148:Q156">
    <cfRule type="cellIs" dxfId="4169" priority="880" operator="lessThan">
      <formula>0</formula>
    </cfRule>
  </conditionalFormatting>
  <conditionalFormatting sqref="R148:R156">
    <cfRule type="cellIs" dxfId="4168" priority="884" operator="lessThan">
      <formula>0.8</formula>
    </cfRule>
    <cfRule type="cellIs" dxfId="4167" priority="885" operator="greaterThan">
      <formula>1</formula>
    </cfRule>
  </conditionalFormatting>
  <conditionalFormatting sqref="R148:R156">
    <cfRule type="cellIs" dxfId="4166" priority="882" operator="greaterThan">
      <formula>1</formula>
    </cfRule>
    <cfRule type="cellIs" dxfId="4165" priority="883" operator="lessThan">
      <formula>0.8</formula>
    </cfRule>
  </conditionalFormatting>
  <conditionalFormatting sqref="P148:P156">
    <cfRule type="cellIs" dxfId="4164" priority="881" operator="greaterThan">
      <formula>0</formula>
    </cfRule>
  </conditionalFormatting>
  <conditionalFormatting sqref="Q148:Q156">
    <cfRule type="cellIs" dxfId="4163" priority="879" operator="lessThan">
      <formula>0</formula>
    </cfRule>
  </conditionalFormatting>
  <conditionalFormatting sqref="R148:R156">
    <cfRule type="cellIs" dxfId="4162" priority="877" operator="lessThan">
      <formula>0.8</formula>
    </cfRule>
    <cfRule type="cellIs" dxfId="4161" priority="878" operator="greaterThan">
      <formula>1</formula>
    </cfRule>
  </conditionalFormatting>
  <conditionalFormatting sqref="R148:R156">
    <cfRule type="cellIs" dxfId="4160" priority="875" operator="greaterThan">
      <formula>1</formula>
    </cfRule>
    <cfRule type="cellIs" dxfId="4159" priority="876" operator="lessThan">
      <formula>0.8</formula>
    </cfRule>
  </conditionalFormatting>
  <conditionalFormatting sqref="P148:P156">
    <cfRule type="cellIs" dxfId="4158" priority="874" operator="greaterThan">
      <formula>0</formula>
    </cfRule>
  </conditionalFormatting>
  <conditionalFormatting sqref="Q148:Q156">
    <cfRule type="cellIs" dxfId="4157" priority="873" operator="lessThan">
      <formula>0</formula>
    </cfRule>
  </conditionalFormatting>
  <conditionalFormatting sqref="R148:R156">
    <cfRule type="cellIs" dxfId="4156" priority="871" operator="lessThan">
      <formula>0.8</formula>
    </cfRule>
    <cfRule type="cellIs" dxfId="4155" priority="872" operator="greaterThan">
      <formula>1</formula>
    </cfRule>
  </conditionalFormatting>
  <conditionalFormatting sqref="R148:R156">
    <cfRule type="cellIs" dxfId="4154" priority="869" operator="greaterThan">
      <formula>1</formula>
    </cfRule>
    <cfRule type="cellIs" dxfId="4153" priority="870" operator="lessThan">
      <formula>0.8</formula>
    </cfRule>
  </conditionalFormatting>
  <conditionalFormatting sqref="P148:P156">
    <cfRule type="cellIs" dxfId="4152" priority="868" operator="greaterThan">
      <formula>0</formula>
    </cfRule>
  </conditionalFormatting>
  <conditionalFormatting sqref="Q148:Q156">
    <cfRule type="cellIs" dxfId="4151" priority="867" operator="lessThan">
      <formula>0</formula>
    </cfRule>
  </conditionalFormatting>
  <conditionalFormatting sqref="R148:R156">
    <cfRule type="cellIs" dxfId="4150" priority="865" operator="lessThan">
      <formula>0.8</formula>
    </cfRule>
    <cfRule type="cellIs" dxfId="4149" priority="866" operator="greaterThan">
      <formula>1</formula>
    </cfRule>
  </conditionalFormatting>
  <conditionalFormatting sqref="R148:R156">
    <cfRule type="cellIs" dxfId="4148" priority="863" operator="greaterThan">
      <formula>1</formula>
    </cfRule>
    <cfRule type="cellIs" dxfId="4147" priority="864" operator="lessThan">
      <formula>0.8</formula>
    </cfRule>
  </conditionalFormatting>
  <conditionalFormatting sqref="P148:P156">
    <cfRule type="cellIs" dxfId="4146" priority="862" operator="greaterThan">
      <formula>0</formula>
    </cfRule>
  </conditionalFormatting>
  <conditionalFormatting sqref="Q148:Q156">
    <cfRule type="cellIs" dxfId="4145" priority="861" operator="lessThan">
      <formula>0</formula>
    </cfRule>
  </conditionalFormatting>
  <conditionalFormatting sqref="R148:R156">
    <cfRule type="cellIs" dxfId="4144" priority="859" operator="lessThan">
      <formula>0.8</formula>
    </cfRule>
    <cfRule type="cellIs" dxfId="4143" priority="860" operator="greaterThan">
      <formula>1</formula>
    </cfRule>
  </conditionalFormatting>
  <conditionalFormatting sqref="R148:R156">
    <cfRule type="cellIs" dxfId="4142" priority="857" operator="greaterThan">
      <formula>1</formula>
    </cfRule>
    <cfRule type="cellIs" dxfId="4141" priority="858" operator="lessThan">
      <formula>0.8</formula>
    </cfRule>
  </conditionalFormatting>
  <conditionalFormatting sqref="P148:P156">
    <cfRule type="cellIs" dxfId="4140" priority="856" operator="greaterThan">
      <formula>0</formula>
    </cfRule>
  </conditionalFormatting>
  <conditionalFormatting sqref="Q148:Q156">
    <cfRule type="cellIs" dxfId="4139" priority="855" operator="lessThan">
      <formula>0</formula>
    </cfRule>
  </conditionalFormatting>
  <conditionalFormatting sqref="R148:R156">
    <cfRule type="cellIs" dxfId="4138" priority="853" operator="lessThan">
      <formula>0.8</formula>
    </cfRule>
    <cfRule type="cellIs" dxfId="4137" priority="854" operator="greaterThan">
      <formula>1</formula>
    </cfRule>
  </conditionalFormatting>
  <conditionalFormatting sqref="R148:R156">
    <cfRule type="cellIs" dxfId="4136" priority="851" operator="greaterThan">
      <formula>1</formula>
    </cfRule>
    <cfRule type="cellIs" dxfId="4135" priority="852" operator="lessThan">
      <formula>0.8</formula>
    </cfRule>
  </conditionalFormatting>
  <conditionalFormatting sqref="P148:P156">
    <cfRule type="cellIs" dxfId="4134" priority="850" operator="greaterThan">
      <formula>0</formula>
    </cfRule>
  </conditionalFormatting>
  <conditionalFormatting sqref="Q148:Q156">
    <cfRule type="cellIs" dxfId="4133" priority="849" operator="lessThan">
      <formula>0</formula>
    </cfRule>
  </conditionalFormatting>
  <conditionalFormatting sqref="R148:R156">
    <cfRule type="cellIs" dxfId="4132" priority="847" operator="lessThan">
      <formula>0.8</formula>
    </cfRule>
    <cfRule type="cellIs" dxfId="4131" priority="848" operator="greaterThan">
      <formula>1</formula>
    </cfRule>
  </conditionalFormatting>
  <conditionalFormatting sqref="R148:R156">
    <cfRule type="cellIs" dxfId="4130" priority="845" operator="greaterThan">
      <formula>1</formula>
    </cfRule>
    <cfRule type="cellIs" dxfId="4129" priority="846" operator="lessThan">
      <formula>0.8</formula>
    </cfRule>
  </conditionalFormatting>
  <conditionalFormatting sqref="P148:P156">
    <cfRule type="cellIs" dxfId="4128" priority="844" operator="greaterThan">
      <formula>0</formula>
    </cfRule>
  </conditionalFormatting>
  <conditionalFormatting sqref="Q148:Q156">
    <cfRule type="cellIs" dxfId="4127" priority="843" operator="lessThan">
      <formula>0</formula>
    </cfRule>
  </conditionalFormatting>
  <conditionalFormatting sqref="R148:R156">
    <cfRule type="cellIs" dxfId="4126" priority="841" operator="lessThan">
      <formula>0.8</formula>
    </cfRule>
    <cfRule type="cellIs" dxfId="4125" priority="842" operator="greaterThan">
      <formula>1</formula>
    </cfRule>
  </conditionalFormatting>
  <conditionalFormatting sqref="R148:R156">
    <cfRule type="cellIs" dxfId="4124" priority="839" operator="greaterThan">
      <formula>1</formula>
    </cfRule>
    <cfRule type="cellIs" dxfId="4123" priority="840" operator="lessThan">
      <formula>0.8</formula>
    </cfRule>
  </conditionalFormatting>
  <conditionalFormatting sqref="P148:P156">
    <cfRule type="cellIs" dxfId="4122" priority="838" operator="greaterThan">
      <formula>0</formula>
    </cfRule>
  </conditionalFormatting>
  <conditionalFormatting sqref="P148:P156">
    <cfRule type="cellIs" dxfId="4121" priority="832" operator="greaterThan">
      <formula>0</formula>
    </cfRule>
  </conditionalFormatting>
  <conditionalFormatting sqref="Q148:Q156">
    <cfRule type="cellIs" dxfId="4120" priority="837" operator="lessThan">
      <formula>0</formula>
    </cfRule>
  </conditionalFormatting>
  <conditionalFormatting sqref="R148:R156">
    <cfRule type="cellIs" dxfId="4119" priority="835" operator="lessThan">
      <formula>0.8</formula>
    </cfRule>
    <cfRule type="cellIs" dxfId="4118" priority="836" operator="greaterThan">
      <formula>1</formula>
    </cfRule>
  </conditionalFormatting>
  <conditionalFormatting sqref="R148:R156">
    <cfRule type="cellIs" dxfId="4117" priority="833" operator="greaterThan">
      <formula>1</formula>
    </cfRule>
    <cfRule type="cellIs" dxfId="4116" priority="834" operator="lessThan">
      <formula>0.8</formula>
    </cfRule>
  </conditionalFormatting>
  <conditionalFormatting sqref="P148:P156">
    <cfRule type="cellIs" dxfId="4115" priority="826" operator="greaterThan">
      <formula>0</formula>
    </cfRule>
  </conditionalFormatting>
  <conditionalFormatting sqref="Q148:Q156">
    <cfRule type="cellIs" dxfId="4114" priority="831" operator="lessThan">
      <formula>0</formula>
    </cfRule>
  </conditionalFormatting>
  <conditionalFormatting sqref="R148:R156">
    <cfRule type="cellIs" dxfId="4113" priority="829" operator="lessThan">
      <formula>0.8</formula>
    </cfRule>
    <cfRule type="cellIs" dxfId="4112" priority="830" operator="greaterThan">
      <formula>1</formula>
    </cfRule>
  </conditionalFormatting>
  <conditionalFormatting sqref="R148:R156">
    <cfRule type="cellIs" dxfId="4111" priority="827" operator="greaterThan">
      <formula>1</formula>
    </cfRule>
    <cfRule type="cellIs" dxfId="4110" priority="828" operator="lessThan">
      <formula>0.8</formula>
    </cfRule>
  </conditionalFormatting>
  <conditionalFormatting sqref="R148:R156">
    <cfRule type="cellIs" dxfId="4109" priority="823" operator="lessThan">
      <formula>0.8</formula>
    </cfRule>
    <cfRule type="cellIs" dxfId="4108" priority="824" operator="greaterThan">
      <formula>1</formula>
    </cfRule>
  </conditionalFormatting>
  <conditionalFormatting sqref="R148:R156">
    <cfRule type="cellIs" dxfId="4107" priority="821" operator="greaterThan">
      <formula>1</formula>
    </cfRule>
    <cfRule type="cellIs" dxfId="4106" priority="822" operator="lessThan">
      <formula>0.8</formula>
    </cfRule>
  </conditionalFormatting>
  <conditionalFormatting sqref="P148:P156">
    <cfRule type="cellIs" dxfId="4105" priority="820" operator="greaterThan">
      <formula>0</formula>
    </cfRule>
  </conditionalFormatting>
  <conditionalFormatting sqref="Q148:Q156">
    <cfRule type="cellIs" dxfId="4104" priority="825" operator="lessThan">
      <formula>0</formula>
    </cfRule>
  </conditionalFormatting>
  <conditionalFormatting sqref="Q148:Q156">
    <cfRule type="cellIs" dxfId="4103" priority="819" operator="lessThan">
      <formula>0</formula>
    </cfRule>
  </conditionalFormatting>
  <conditionalFormatting sqref="R148:R156">
    <cfRule type="cellIs" dxfId="4102" priority="817" operator="lessThan">
      <formula>0.8</formula>
    </cfRule>
    <cfRule type="cellIs" dxfId="4101" priority="818" operator="greaterThan">
      <formula>1</formula>
    </cfRule>
  </conditionalFormatting>
  <conditionalFormatting sqref="R148:R156">
    <cfRule type="cellIs" dxfId="4100" priority="815" operator="greaterThan">
      <formula>1</formula>
    </cfRule>
    <cfRule type="cellIs" dxfId="4099" priority="816" operator="lessThan">
      <formula>0.8</formula>
    </cfRule>
  </conditionalFormatting>
  <conditionalFormatting sqref="P148:P156">
    <cfRule type="cellIs" dxfId="4098" priority="814" operator="greaterThan">
      <formula>0</formula>
    </cfRule>
  </conditionalFormatting>
  <conditionalFormatting sqref="P148:P156">
    <cfRule type="cellIs" dxfId="4097" priority="808" operator="greaterThan">
      <formula>0</formula>
    </cfRule>
  </conditionalFormatting>
  <conditionalFormatting sqref="Q148:Q156">
    <cfRule type="cellIs" dxfId="4096" priority="813" operator="lessThan">
      <formula>0</formula>
    </cfRule>
  </conditionalFormatting>
  <conditionalFormatting sqref="R148:R156">
    <cfRule type="cellIs" dxfId="4095" priority="811" operator="lessThan">
      <formula>0.8</formula>
    </cfRule>
    <cfRule type="cellIs" dxfId="4094" priority="812" operator="greaterThan">
      <formula>1</formula>
    </cfRule>
  </conditionalFormatting>
  <conditionalFormatting sqref="R148:R156">
    <cfRule type="cellIs" dxfId="4093" priority="809" operator="greaterThan">
      <formula>1</formula>
    </cfRule>
    <cfRule type="cellIs" dxfId="4092" priority="810" operator="lessThan">
      <formula>0.8</formula>
    </cfRule>
  </conditionalFormatting>
  <conditionalFormatting sqref="P148:P156">
    <cfRule type="cellIs" dxfId="4091" priority="802" operator="greaterThan">
      <formula>0</formula>
    </cfRule>
  </conditionalFormatting>
  <conditionalFormatting sqref="Q148:Q156">
    <cfRule type="cellIs" dxfId="4090" priority="807" operator="lessThan">
      <formula>0</formula>
    </cfRule>
  </conditionalFormatting>
  <conditionalFormatting sqref="R148:R156">
    <cfRule type="cellIs" dxfId="4089" priority="805" operator="lessThan">
      <formula>0.8</formula>
    </cfRule>
    <cfRule type="cellIs" dxfId="4088" priority="806" operator="greaterThan">
      <formula>1</formula>
    </cfRule>
  </conditionalFormatting>
  <conditionalFormatting sqref="R148:R156">
    <cfRule type="cellIs" dxfId="4087" priority="803" operator="greaterThan">
      <formula>1</formula>
    </cfRule>
    <cfRule type="cellIs" dxfId="4086" priority="804" operator="lessThan">
      <formula>0.8</formula>
    </cfRule>
  </conditionalFormatting>
  <conditionalFormatting sqref="R148:R156">
    <cfRule type="cellIs" dxfId="4085" priority="799" operator="lessThan">
      <formula>0.8</formula>
    </cfRule>
    <cfRule type="cellIs" dxfId="4084" priority="800" operator="greaterThan">
      <formula>1</formula>
    </cfRule>
  </conditionalFormatting>
  <conditionalFormatting sqref="R148:R156">
    <cfRule type="cellIs" dxfId="4083" priority="797" operator="greaterThan">
      <formula>1</formula>
    </cfRule>
    <cfRule type="cellIs" dxfId="4082" priority="798" operator="lessThan">
      <formula>0.8</formula>
    </cfRule>
  </conditionalFormatting>
  <conditionalFormatting sqref="P148:P156">
    <cfRule type="cellIs" dxfId="4081" priority="796" operator="greaterThan">
      <formula>0</formula>
    </cfRule>
  </conditionalFormatting>
  <conditionalFormatting sqref="Q148:Q156">
    <cfRule type="cellIs" dxfId="4080" priority="801" operator="lessThan">
      <formula>0</formula>
    </cfRule>
  </conditionalFormatting>
  <conditionalFormatting sqref="P148:P156">
    <cfRule type="cellIs" dxfId="4079" priority="790" operator="greaterThan">
      <formula>0</formula>
    </cfRule>
  </conditionalFormatting>
  <conditionalFormatting sqref="Q148:Q156">
    <cfRule type="cellIs" dxfId="4078" priority="795" operator="lessThan">
      <formula>0</formula>
    </cfRule>
  </conditionalFormatting>
  <conditionalFormatting sqref="R148:R156">
    <cfRule type="cellIs" dxfId="4077" priority="793" operator="lessThan">
      <formula>0.8</formula>
    </cfRule>
    <cfRule type="cellIs" dxfId="4076" priority="794" operator="greaterThan">
      <formula>1</formula>
    </cfRule>
  </conditionalFormatting>
  <conditionalFormatting sqref="R148:R156">
    <cfRule type="cellIs" dxfId="4075" priority="791" operator="greaterThan">
      <formula>1</formula>
    </cfRule>
    <cfRule type="cellIs" dxfId="4074" priority="792" operator="lessThan">
      <formula>0.8</formula>
    </cfRule>
  </conditionalFormatting>
  <conditionalFormatting sqref="R148:R156">
    <cfRule type="cellIs" dxfId="4073" priority="787" operator="lessThan">
      <formula>0.8</formula>
    </cfRule>
    <cfRule type="cellIs" dxfId="4072" priority="788" operator="greaterThan">
      <formula>1</formula>
    </cfRule>
  </conditionalFormatting>
  <conditionalFormatting sqref="R148:R156">
    <cfRule type="cellIs" dxfId="4071" priority="785" operator="greaterThan">
      <formula>1</formula>
    </cfRule>
    <cfRule type="cellIs" dxfId="4070" priority="786" operator="lessThan">
      <formula>0.8</formula>
    </cfRule>
  </conditionalFormatting>
  <conditionalFormatting sqref="P148:P156">
    <cfRule type="cellIs" dxfId="4069" priority="784" operator="greaterThan">
      <formula>0</formula>
    </cfRule>
  </conditionalFormatting>
  <conditionalFormatting sqref="Q148:Q156">
    <cfRule type="cellIs" dxfId="4068" priority="789" operator="lessThan">
      <formula>0</formula>
    </cfRule>
  </conditionalFormatting>
  <conditionalFormatting sqref="R148:R156">
    <cfRule type="cellIs" dxfId="4067" priority="781" operator="lessThan">
      <formula>0.8</formula>
    </cfRule>
    <cfRule type="cellIs" dxfId="4066" priority="782" operator="greaterThan">
      <formula>1</formula>
    </cfRule>
  </conditionalFormatting>
  <conditionalFormatting sqref="R148:R156">
    <cfRule type="cellIs" dxfId="4065" priority="779" operator="greaterThan">
      <formula>1</formula>
    </cfRule>
    <cfRule type="cellIs" dxfId="4064" priority="780" operator="lessThan">
      <formula>0.8</formula>
    </cfRule>
  </conditionalFormatting>
  <conditionalFormatting sqref="P148:P156">
    <cfRule type="cellIs" dxfId="4063" priority="778" operator="greaterThan">
      <formula>0</formula>
    </cfRule>
  </conditionalFormatting>
  <conditionalFormatting sqref="Q148:Q156">
    <cfRule type="cellIs" dxfId="4062" priority="783" operator="lessThan">
      <formula>0</formula>
    </cfRule>
  </conditionalFormatting>
  <conditionalFormatting sqref="Q148:Q156">
    <cfRule type="cellIs" dxfId="4061" priority="777" operator="lessThan">
      <formula>0</formula>
    </cfRule>
  </conditionalFormatting>
  <conditionalFormatting sqref="R148:R156">
    <cfRule type="cellIs" dxfId="4060" priority="775" operator="lessThan">
      <formula>0.8</formula>
    </cfRule>
    <cfRule type="cellIs" dxfId="4059" priority="776" operator="greaterThan">
      <formula>1</formula>
    </cfRule>
  </conditionalFormatting>
  <conditionalFormatting sqref="R148:R156">
    <cfRule type="cellIs" dxfId="4058" priority="773" operator="greaterThan">
      <formula>1</formula>
    </cfRule>
    <cfRule type="cellIs" dxfId="4057" priority="774" operator="lessThan">
      <formula>0.8</formula>
    </cfRule>
  </conditionalFormatting>
  <conditionalFormatting sqref="P148:P156">
    <cfRule type="cellIs" dxfId="4056" priority="772" operator="greaterThan">
      <formula>0</formula>
    </cfRule>
  </conditionalFormatting>
  <conditionalFormatting sqref="Q148:Q156">
    <cfRule type="cellIs" dxfId="4055" priority="766" operator="lessThan">
      <formula>0</formula>
    </cfRule>
  </conditionalFormatting>
  <conditionalFormatting sqref="R148:R156">
    <cfRule type="cellIs" dxfId="4054" priority="770" operator="lessThan">
      <formula>0.8</formula>
    </cfRule>
    <cfRule type="cellIs" dxfId="4053" priority="771" operator="greaterThan">
      <formula>1</formula>
    </cfRule>
  </conditionalFormatting>
  <conditionalFormatting sqref="R148:R156">
    <cfRule type="cellIs" dxfId="4052" priority="768" operator="greaterThan">
      <formula>1</formula>
    </cfRule>
    <cfRule type="cellIs" dxfId="4051" priority="769" operator="lessThan">
      <formula>0.8</formula>
    </cfRule>
  </conditionalFormatting>
  <conditionalFormatting sqref="P148:P156">
    <cfRule type="cellIs" dxfId="4050" priority="767" operator="greaterThan">
      <formula>0</formula>
    </cfRule>
  </conditionalFormatting>
  <conditionalFormatting sqref="Q148:Q156">
    <cfRule type="cellIs" dxfId="4049" priority="765" operator="lessThan">
      <formula>0</formula>
    </cfRule>
  </conditionalFormatting>
  <conditionalFormatting sqref="R148:R156">
    <cfRule type="cellIs" dxfId="4048" priority="763" operator="lessThan">
      <formula>0.8</formula>
    </cfRule>
    <cfRule type="cellIs" dxfId="4047" priority="764" operator="greaterThan">
      <formula>1</formula>
    </cfRule>
  </conditionalFormatting>
  <conditionalFormatting sqref="R148:R156">
    <cfRule type="cellIs" dxfId="4046" priority="761" operator="greaterThan">
      <formula>1</formula>
    </cfRule>
    <cfRule type="cellIs" dxfId="4045" priority="762" operator="lessThan">
      <formula>0.8</formula>
    </cfRule>
  </conditionalFormatting>
  <conditionalFormatting sqref="P148:P156">
    <cfRule type="cellIs" dxfId="4044" priority="760" operator="greaterThan">
      <formula>0</formula>
    </cfRule>
  </conditionalFormatting>
  <conditionalFormatting sqref="Q148:Q156">
    <cfRule type="cellIs" dxfId="4043" priority="759" operator="lessThan">
      <formula>0</formula>
    </cfRule>
  </conditionalFormatting>
  <conditionalFormatting sqref="R148:R156">
    <cfRule type="cellIs" dxfId="4042" priority="757" operator="lessThan">
      <formula>0.8</formula>
    </cfRule>
    <cfRule type="cellIs" dxfId="4041" priority="758" operator="greaterThan">
      <formula>1</formula>
    </cfRule>
  </conditionalFormatting>
  <conditionalFormatting sqref="R148:R156">
    <cfRule type="cellIs" dxfId="4040" priority="755" operator="greaterThan">
      <formula>1</formula>
    </cfRule>
    <cfRule type="cellIs" dxfId="4039" priority="756" operator="lessThan">
      <formula>0.8</formula>
    </cfRule>
  </conditionalFormatting>
  <conditionalFormatting sqref="P148:P156">
    <cfRule type="cellIs" dxfId="4038" priority="754" operator="greaterThan">
      <formula>0</formula>
    </cfRule>
  </conditionalFormatting>
  <conditionalFormatting sqref="Q148:Q156">
    <cfRule type="cellIs" dxfId="4037" priority="753" operator="lessThan">
      <formula>0</formula>
    </cfRule>
  </conditionalFormatting>
  <conditionalFormatting sqref="R148:R156">
    <cfRule type="cellIs" dxfId="4036" priority="751" operator="lessThan">
      <formula>0.8</formula>
    </cfRule>
    <cfRule type="cellIs" dxfId="4035" priority="752" operator="greaterThan">
      <formula>1</formula>
    </cfRule>
  </conditionalFormatting>
  <conditionalFormatting sqref="R148:R156">
    <cfRule type="cellIs" dxfId="4034" priority="749" operator="greaterThan">
      <formula>1</formula>
    </cfRule>
    <cfRule type="cellIs" dxfId="4033" priority="750" operator="lessThan">
      <formula>0.8</formula>
    </cfRule>
  </conditionalFormatting>
  <conditionalFormatting sqref="P148:P156">
    <cfRule type="cellIs" dxfId="4032" priority="748" operator="greaterThan">
      <formula>0</formula>
    </cfRule>
  </conditionalFormatting>
  <conditionalFormatting sqref="Q148:Q156">
    <cfRule type="cellIs" dxfId="4031" priority="747" operator="lessThan">
      <formula>0</formula>
    </cfRule>
  </conditionalFormatting>
  <conditionalFormatting sqref="R148:R156">
    <cfRule type="cellIs" dxfId="4030" priority="745" operator="lessThan">
      <formula>0.8</formula>
    </cfRule>
    <cfRule type="cellIs" dxfId="4029" priority="746" operator="greaterThan">
      <formula>1</formula>
    </cfRule>
  </conditionalFormatting>
  <conditionalFormatting sqref="R148:R156">
    <cfRule type="cellIs" dxfId="4028" priority="743" operator="greaterThan">
      <formula>1</formula>
    </cfRule>
    <cfRule type="cellIs" dxfId="4027" priority="744" operator="lessThan">
      <formula>0.8</formula>
    </cfRule>
  </conditionalFormatting>
  <conditionalFormatting sqref="P148:P156">
    <cfRule type="cellIs" dxfId="4026" priority="742" operator="greaterThan">
      <formula>0</formula>
    </cfRule>
  </conditionalFormatting>
  <conditionalFormatting sqref="Q148:Q156">
    <cfRule type="cellIs" dxfId="4025" priority="741" operator="lessThan">
      <formula>0</formula>
    </cfRule>
  </conditionalFormatting>
  <conditionalFormatting sqref="R148:R156">
    <cfRule type="cellIs" dxfId="4024" priority="739" operator="lessThan">
      <formula>0.8</formula>
    </cfRule>
    <cfRule type="cellIs" dxfId="4023" priority="740" operator="greaterThan">
      <formula>1</formula>
    </cfRule>
  </conditionalFormatting>
  <conditionalFormatting sqref="R148:R156">
    <cfRule type="cellIs" dxfId="4022" priority="737" operator="greaterThan">
      <formula>1</formula>
    </cfRule>
    <cfRule type="cellIs" dxfId="4021" priority="738" operator="lessThan">
      <formula>0.8</formula>
    </cfRule>
  </conditionalFormatting>
  <conditionalFormatting sqref="P148:P156">
    <cfRule type="cellIs" dxfId="4020" priority="736" operator="greaterThan">
      <formula>0</formula>
    </cfRule>
  </conditionalFormatting>
  <conditionalFormatting sqref="P148:P156">
    <cfRule type="cellIs" dxfId="4019" priority="730" operator="greaterThan">
      <formula>0</formula>
    </cfRule>
  </conditionalFormatting>
  <conditionalFormatting sqref="Q148:Q156">
    <cfRule type="cellIs" dxfId="4018" priority="735" operator="lessThan">
      <formula>0</formula>
    </cfRule>
  </conditionalFormatting>
  <conditionalFormatting sqref="R148:R156">
    <cfRule type="cellIs" dxfId="4017" priority="733" operator="lessThan">
      <formula>0.8</formula>
    </cfRule>
    <cfRule type="cellIs" dxfId="4016" priority="734" operator="greaterThan">
      <formula>1</formula>
    </cfRule>
  </conditionalFormatting>
  <conditionalFormatting sqref="R148:R156">
    <cfRule type="cellIs" dxfId="4015" priority="731" operator="greaterThan">
      <formula>1</formula>
    </cfRule>
    <cfRule type="cellIs" dxfId="4014" priority="732" operator="lessThan">
      <formula>0.8</formula>
    </cfRule>
  </conditionalFormatting>
  <conditionalFormatting sqref="P148:P156">
    <cfRule type="cellIs" dxfId="4013" priority="724" operator="greaterThan">
      <formula>0</formula>
    </cfRule>
  </conditionalFormatting>
  <conditionalFormatting sqref="Q148:Q156">
    <cfRule type="cellIs" dxfId="4012" priority="729" operator="lessThan">
      <formula>0</formula>
    </cfRule>
  </conditionalFormatting>
  <conditionalFormatting sqref="R148:R156">
    <cfRule type="cellIs" dxfId="4011" priority="727" operator="lessThan">
      <formula>0.8</formula>
    </cfRule>
    <cfRule type="cellIs" dxfId="4010" priority="728" operator="greaterThan">
      <formula>1</formula>
    </cfRule>
  </conditionalFormatting>
  <conditionalFormatting sqref="R148:R156">
    <cfRule type="cellIs" dxfId="4009" priority="725" operator="greaterThan">
      <formula>1</formula>
    </cfRule>
    <cfRule type="cellIs" dxfId="4008" priority="726" operator="lessThan">
      <formula>0.8</formula>
    </cfRule>
  </conditionalFormatting>
  <conditionalFormatting sqref="R148:R156">
    <cfRule type="cellIs" dxfId="4007" priority="721" operator="lessThan">
      <formula>0.8</formula>
    </cfRule>
    <cfRule type="cellIs" dxfId="4006" priority="722" operator="greaterThan">
      <formula>1</formula>
    </cfRule>
  </conditionalFormatting>
  <conditionalFormatting sqref="R148:R156">
    <cfRule type="cellIs" dxfId="4005" priority="719" operator="greaterThan">
      <formula>1</formula>
    </cfRule>
    <cfRule type="cellIs" dxfId="4004" priority="720" operator="lessThan">
      <formula>0.8</formula>
    </cfRule>
  </conditionalFormatting>
  <conditionalFormatting sqref="P148:P156">
    <cfRule type="cellIs" dxfId="4003" priority="718" operator="greaterThan">
      <formula>0</formula>
    </cfRule>
  </conditionalFormatting>
  <conditionalFormatting sqref="Q148:Q156">
    <cfRule type="cellIs" dxfId="4002" priority="723" operator="lessThan">
      <formula>0</formula>
    </cfRule>
  </conditionalFormatting>
  <conditionalFormatting sqref="P44:P53">
    <cfRule type="cellIs" dxfId="4001" priority="712" operator="greaterThan">
      <formula>0</formula>
    </cfRule>
  </conditionalFormatting>
  <conditionalFormatting sqref="Q44:Q53">
    <cfRule type="cellIs" dxfId="4000" priority="717" operator="lessThan">
      <formula>0</formula>
    </cfRule>
  </conditionalFormatting>
  <conditionalFormatting sqref="R44:R53">
    <cfRule type="cellIs" dxfId="3999" priority="715" operator="lessThan">
      <formula>0.8</formula>
    </cfRule>
    <cfRule type="cellIs" dxfId="3998" priority="716" operator="greaterThan">
      <formula>1</formula>
    </cfRule>
  </conditionalFormatting>
  <conditionalFormatting sqref="R44:R53">
    <cfRule type="cellIs" dxfId="3997" priority="713" operator="greaterThan">
      <formula>1</formula>
    </cfRule>
    <cfRule type="cellIs" dxfId="3996" priority="714" operator="lessThan">
      <formula>0.8</formula>
    </cfRule>
  </conditionalFormatting>
  <conditionalFormatting sqref="Q84:Q91">
    <cfRule type="cellIs" dxfId="3995" priority="711" operator="lessThan">
      <formula>0</formula>
    </cfRule>
  </conditionalFormatting>
  <conditionalFormatting sqref="R84:R91">
    <cfRule type="cellIs" dxfId="3994" priority="709" operator="lessThan">
      <formula>0.8</formula>
    </cfRule>
    <cfRule type="cellIs" dxfId="3993" priority="710" operator="greaterThan">
      <formula>1</formula>
    </cfRule>
  </conditionalFormatting>
  <conditionalFormatting sqref="R84:R91">
    <cfRule type="cellIs" dxfId="3992" priority="707" operator="greaterThan">
      <formula>1</formula>
    </cfRule>
    <cfRule type="cellIs" dxfId="3991" priority="708" operator="lessThan">
      <formula>0.8</formula>
    </cfRule>
  </conditionalFormatting>
  <conditionalFormatting sqref="P84:P91">
    <cfRule type="cellIs" dxfId="3990" priority="706" operator="greaterThan">
      <formula>0</formula>
    </cfRule>
  </conditionalFormatting>
  <conditionalFormatting sqref="Q84:Q91">
    <cfRule type="cellIs" dxfId="3989" priority="705" operator="lessThan">
      <formula>0</formula>
    </cfRule>
  </conditionalFormatting>
  <conditionalFormatting sqref="R84:R91">
    <cfRule type="cellIs" dxfId="3988" priority="703" operator="lessThan">
      <formula>0.8</formula>
    </cfRule>
    <cfRule type="cellIs" dxfId="3987" priority="704" operator="greaterThan">
      <formula>1</formula>
    </cfRule>
  </conditionalFormatting>
  <conditionalFormatting sqref="R84:R91">
    <cfRule type="cellIs" dxfId="3986" priority="701" operator="greaterThan">
      <formula>1</formula>
    </cfRule>
    <cfRule type="cellIs" dxfId="3985" priority="702" operator="lessThan">
      <formula>0.8</formula>
    </cfRule>
  </conditionalFormatting>
  <conditionalFormatting sqref="P84:P91">
    <cfRule type="cellIs" dxfId="3984" priority="700" operator="greaterThan">
      <formula>0</formula>
    </cfRule>
  </conditionalFormatting>
  <conditionalFormatting sqref="Q84:Q91">
    <cfRule type="cellIs" dxfId="3983" priority="699" operator="lessThan">
      <formula>0</formula>
    </cfRule>
  </conditionalFormatting>
  <conditionalFormatting sqref="R84:R91">
    <cfRule type="cellIs" dxfId="3982" priority="697" operator="lessThan">
      <formula>0.8</formula>
    </cfRule>
    <cfRule type="cellIs" dxfId="3981" priority="698" operator="greaterThan">
      <formula>1</formula>
    </cfRule>
  </conditionalFormatting>
  <conditionalFormatting sqref="R84:R91">
    <cfRule type="cellIs" dxfId="3980" priority="695" operator="greaterThan">
      <formula>1</formula>
    </cfRule>
    <cfRule type="cellIs" dxfId="3979" priority="696" operator="lessThan">
      <formula>0.8</formula>
    </cfRule>
  </conditionalFormatting>
  <conditionalFormatting sqref="P84:P91">
    <cfRule type="cellIs" dxfId="3978" priority="694" operator="greaterThan">
      <formula>0</formula>
    </cfRule>
  </conditionalFormatting>
  <conditionalFormatting sqref="Q84:Q91">
    <cfRule type="cellIs" dxfId="3977" priority="693" operator="lessThan">
      <formula>0</formula>
    </cfRule>
  </conditionalFormatting>
  <conditionalFormatting sqref="R84:R91">
    <cfRule type="cellIs" dxfId="3976" priority="691" operator="lessThan">
      <formula>0.8</formula>
    </cfRule>
    <cfRule type="cellIs" dxfId="3975" priority="692" operator="greaterThan">
      <formula>1</formula>
    </cfRule>
  </conditionalFormatting>
  <conditionalFormatting sqref="R84:R91">
    <cfRule type="cellIs" dxfId="3974" priority="689" operator="greaterThan">
      <formula>1</formula>
    </cfRule>
    <cfRule type="cellIs" dxfId="3973" priority="690" operator="lessThan">
      <formula>0.8</formula>
    </cfRule>
  </conditionalFormatting>
  <conditionalFormatting sqref="P84:P91">
    <cfRule type="cellIs" dxfId="3972" priority="688" operator="greaterThan">
      <formula>0</formula>
    </cfRule>
  </conditionalFormatting>
  <conditionalFormatting sqref="P84:P91">
    <cfRule type="cellIs" dxfId="3971" priority="682" operator="greaterThan">
      <formula>0</formula>
    </cfRule>
  </conditionalFormatting>
  <conditionalFormatting sqref="Q84:Q91">
    <cfRule type="cellIs" dxfId="3970" priority="687" operator="lessThan">
      <formula>0</formula>
    </cfRule>
  </conditionalFormatting>
  <conditionalFormatting sqref="R84:R91">
    <cfRule type="cellIs" dxfId="3969" priority="685" operator="lessThan">
      <formula>0.8</formula>
    </cfRule>
    <cfRule type="cellIs" dxfId="3968" priority="686" operator="greaterThan">
      <formula>1</formula>
    </cfRule>
  </conditionalFormatting>
  <conditionalFormatting sqref="R84:R91">
    <cfRule type="cellIs" dxfId="3967" priority="683" operator="greaterThan">
      <formula>1</formula>
    </cfRule>
    <cfRule type="cellIs" dxfId="3966" priority="684" operator="lessThan">
      <formula>0.8</formula>
    </cfRule>
  </conditionalFormatting>
  <conditionalFormatting sqref="P84:P91">
    <cfRule type="cellIs" dxfId="3965" priority="676" operator="greaterThan">
      <formula>0</formula>
    </cfRule>
  </conditionalFormatting>
  <conditionalFormatting sqref="Q84:Q91">
    <cfRule type="cellIs" dxfId="3964" priority="681" operator="lessThan">
      <formula>0</formula>
    </cfRule>
  </conditionalFormatting>
  <conditionalFormatting sqref="R84:R91">
    <cfRule type="cellIs" dxfId="3963" priority="679" operator="lessThan">
      <formula>0.8</formula>
    </cfRule>
    <cfRule type="cellIs" dxfId="3962" priority="680" operator="greaterThan">
      <formula>1</formula>
    </cfRule>
  </conditionalFormatting>
  <conditionalFormatting sqref="R84:R91">
    <cfRule type="cellIs" dxfId="3961" priority="677" operator="greaterThan">
      <formula>1</formula>
    </cfRule>
    <cfRule type="cellIs" dxfId="3960" priority="678" operator="lessThan">
      <formula>0.8</formula>
    </cfRule>
  </conditionalFormatting>
  <conditionalFormatting sqref="R84:R91">
    <cfRule type="cellIs" dxfId="3959" priority="673" operator="lessThan">
      <formula>0.8</formula>
    </cfRule>
    <cfRule type="cellIs" dxfId="3958" priority="674" operator="greaterThan">
      <formula>1</formula>
    </cfRule>
  </conditionalFormatting>
  <conditionalFormatting sqref="R84:R91">
    <cfRule type="cellIs" dxfId="3957" priority="671" operator="greaterThan">
      <formula>1</formula>
    </cfRule>
    <cfRule type="cellIs" dxfId="3956" priority="672" operator="lessThan">
      <formula>0.8</formula>
    </cfRule>
  </conditionalFormatting>
  <conditionalFormatting sqref="P84:P91">
    <cfRule type="cellIs" dxfId="3955" priority="670" operator="greaterThan">
      <formula>0</formula>
    </cfRule>
  </conditionalFormatting>
  <conditionalFormatting sqref="Q84:Q91">
    <cfRule type="cellIs" dxfId="3954" priority="675" operator="lessThan">
      <formula>0</formula>
    </cfRule>
  </conditionalFormatting>
  <conditionalFormatting sqref="Q84:Q91">
    <cfRule type="cellIs" dxfId="3953" priority="669" operator="lessThan">
      <formula>0</formula>
    </cfRule>
  </conditionalFormatting>
  <conditionalFormatting sqref="R84:R91">
    <cfRule type="cellIs" dxfId="3952" priority="667" operator="lessThan">
      <formula>0.8</formula>
    </cfRule>
    <cfRule type="cellIs" dxfId="3951" priority="668" operator="greaterThan">
      <formula>1</formula>
    </cfRule>
  </conditionalFormatting>
  <conditionalFormatting sqref="R84:R91">
    <cfRule type="cellIs" dxfId="3950" priority="665" operator="greaterThan">
      <formula>1</formula>
    </cfRule>
    <cfRule type="cellIs" dxfId="3949" priority="666" operator="lessThan">
      <formula>0.8</formula>
    </cfRule>
  </conditionalFormatting>
  <conditionalFormatting sqref="P84:P91">
    <cfRule type="cellIs" dxfId="3948" priority="664" operator="greaterThan">
      <formula>0</formula>
    </cfRule>
  </conditionalFormatting>
  <conditionalFormatting sqref="P84:P91">
    <cfRule type="cellIs" dxfId="3947" priority="658" operator="greaterThan">
      <formula>0</formula>
    </cfRule>
  </conditionalFormatting>
  <conditionalFormatting sqref="Q84:Q91">
    <cfRule type="cellIs" dxfId="3946" priority="663" operator="lessThan">
      <formula>0</formula>
    </cfRule>
  </conditionalFormatting>
  <conditionalFormatting sqref="R84:R91">
    <cfRule type="cellIs" dxfId="3945" priority="661" operator="lessThan">
      <formula>0.8</formula>
    </cfRule>
    <cfRule type="cellIs" dxfId="3944" priority="662" operator="greaterThan">
      <formula>1</formula>
    </cfRule>
  </conditionalFormatting>
  <conditionalFormatting sqref="R84:R91">
    <cfRule type="cellIs" dxfId="3943" priority="659" operator="greaterThan">
      <formula>1</formula>
    </cfRule>
    <cfRule type="cellIs" dxfId="3942" priority="660" operator="lessThan">
      <formula>0.8</formula>
    </cfRule>
  </conditionalFormatting>
  <conditionalFormatting sqref="P84:P91">
    <cfRule type="cellIs" dxfId="3941" priority="652" operator="greaterThan">
      <formula>0</formula>
    </cfRule>
  </conditionalFormatting>
  <conditionalFormatting sqref="Q84:Q91">
    <cfRule type="cellIs" dxfId="3940" priority="657" operator="lessThan">
      <formula>0</formula>
    </cfRule>
  </conditionalFormatting>
  <conditionalFormatting sqref="R84:R91">
    <cfRule type="cellIs" dxfId="3939" priority="655" operator="lessThan">
      <formula>0.8</formula>
    </cfRule>
    <cfRule type="cellIs" dxfId="3938" priority="656" operator="greaterThan">
      <formula>1</formula>
    </cfRule>
  </conditionalFormatting>
  <conditionalFormatting sqref="R84:R91">
    <cfRule type="cellIs" dxfId="3937" priority="653" operator="greaterThan">
      <formula>1</formula>
    </cfRule>
    <cfRule type="cellIs" dxfId="3936" priority="654" operator="lessThan">
      <formula>0.8</formula>
    </cfRule>
  </conditionalFormatting>
  <conditionalFormatting sqref="R84:R91">
    <cfRule type="cellIs" dxfId="3935" priority="649" operator="lessThan">
      <formula>0.8</formula>
    </cfRule>
    <cfRule type="cellIs" dxfId="3934" priority="650" operator="greaterThan">
      <formula>1</formula>
    </cfRule>
  </conditionalFormatting>
  <conditionalFormatting sqref="R84:R91">
    <cfRule type="cellIs" dxfId="3933" priority="647" operator="greaterThan">
      <formula>1</formula>
    </cfRule>
    <cfRule type="cellIs" dxfId="3932" priority="648" operator="lessThan">
      <formula>0.8</formula>
    </cfRule>
  </conditionalFormatting>
  <conditionalFormatting sqref="P84:P91">
    <cfRule type="cellIs" dxfId="3931" priority="646" operator="greaterThan">
      <formula>0</formula>
    </cfRule>
  </conditionalFormatting>
  <conditionalFormatting sqref="Q84:Q91">
    <cfRule type="cellIs" dxfId="3930" priority="651" operator="lessThan">
      <formula>0</formula>
    </cfRule>
  </conditionalFormatting>
  <conditionalFormatting sqref="P84:P91">
    <cfRule type="cellIs" dxfId="3929" priority="640" operator="greaterThan">
      <formula>0</formula>
    </cfRule>
  </conditionalFormatting>
  <conditionalFormatting sqref="Q84:Q91">
    <cfRule type="cellIs" dxfId="3928" priority="645" operator="lessThan">
      <formula>0</formula>
    </cfRule>
  </conditionalFormatting>
  <conditionalFormatting sqref="R84:R91">
    <cfRule type="cellIs" dxfId="3927" priority="643" operator="lessThan">
      <formula>0.8</formula>
    </cfRule>
    <cfRule type="cellIs" dxfId="3926" priority="644" operator="greaterThan">
      <formula>1</formula>
    </cfRule>
  </conditionalFormatting>
  <conditionalFormatting sqref="R84:R91">
    <cfRule type="cellIs" dxfId="3925" priority="641" operator="greaterThan">
      <formula>1</formula>
    </cfRule>
    <cfRule type="cellIs" dxfId="3924" priority="642" operator="lessThan">
      <formula>0.8</formula>
    </cfRule>
  </conditionalFormatting>
  <conditionalFormatting sqref="R84:R91">
    <cfRule type="cellIs" dxfId="3923" priority="637" operator="lessThan">
      <formula>0.8</formula>
    </cfRule>
    <cfRule type="cellIs" dxfId="3922" priority="638" operator="greaterThan">
      <formula>1</formula>
    </cfRule>
  </conditionalFormatting>
  <conditionalFormatting sqref="R84:R91">
    <cfRule type="cellIs" dxfId="3921" priority="635" operator="greaterThan">
      <formula>1</formula>
    </cfRule>
    <cfRule type="cellIs" dxfId="3920" priority="636" operator="lessThan">
      <formula>0.8</formula>
    </cfRule>
  </conditionalFormatting>
  <conditionalFormatting sqref="P84:P91">
    <cfRule type="cellIs" dxfId="3919" priority="634" operator="greaterThan">
      <formula>0</formula>
    </cfRule>
  </conditionalFormatting>
  <conditionalFormatting sqref="Q84:Q91">
    <cfRule type="cellIs" dxfId="3918" priority="639" operator="lessThan">
      <formula>0</formula>
    </cfRule>
  </conditionalFormatting>
  <conditionalFormatting sqref="R84:R91">
    <cfRule type="cellIs" dxfId="3917" priority="631" operator="lessThan">
      <formula>0.8</formula>
    </cfRule>
    <cfRule type="cellIs" dxfId="3916" priority="632" operator="greaterThan">
      <formula>1</formula>
    </cfRule>
  </conditionalFormatting>
  <conditionalFormatting sqref="R84:R91">
    <cfRule type="cellIs" dxfId="3915" priority="629" operator="greaterThan">
      <formula>1</formula>
    </cfRule>
    <cfRule type="cellIs" dxfId="3914" priority="630" operator="lessThan">
      <formula>0.8</formula>
    </cfRule>
  </conditionalFormatting>
  <conditionalFormatting sqref="P84:P91">
    <cfRule type="cellIs" dxfId="3913" priority="628" operator="greaterThan">
      <formula>0</formula>
    </cfRule>
  </conditionalFormatting>
  <conditionalFormatting sqref="Q84:Q91">
    <cfRule type="cellIs" dxfId="3912" priority="633" operator="lessThan">
      <formula>0</formula>
    </cfRule>
  </conditionalFormatting>
  <conditionalFormatting sqref="Q84:Q91">
    <cfRule type="cellIs" dxfId="3911" priority="627" operator="lessThan">
      <formula>0</formula>
    </cfRule>
  </conditionalFormatting>
  <conditionalFormatting sqref="R84:R91">
    <cfRule type="cellIs" dxfId="3910" priority="625" operator="lessThan">
      <formula>0.8</formula>
    </cfRule>
    <cfRule type="cellIs" dxfId="3909" priority="626" operator="greaterThan">
      <formula>1</formula>
    </cfRule>
  </conditionalFormatting>
  <conditionalFormatting sqref="R84:R91">
    <cfRule type="cellIs" dxfId="3908" priority="623" operator="greaterThan">
      <formula>1</formula>
    </cfRule>
    <cfRule type="cellIs" dxfId="3907" priority="624" operator="lessThan">
      <formula>0.8</formula>
    </cfRule>
  </conditionalFormatting>
  <conditionalFormatting sqref="P84:P91">
    <cfRule type="cellIs" dxfId="3906" priority="622" operator="greaterThan">
      <formula>0</formula>
    </cfRule>
  </conditionalFormatting>
  <conditionalFormatting sqref="Q84:Q91">
    <cfRule type="cellIs" dxfId="3905" priority="616" operator="lessThan">
      <formula>0</formula>
    </cfRule>
  </conditionalFormatting>
  <conditionalFormatting sqref="R84:R91">
    <cfRule type="cellIs" dxfId="3904" priority="620" operator="lessThan">
      <formula>0.8</formula>
    </cfRule>
    <cfRule type="cellIs" dxfId="3903" priority="621" operator="greaterThan">
      <formula>1</formula>
    </cfRule>
  </conditionalFormatting>
  <conditionalFormatting sqref="R84:R91">
    <cfRule type="cellIs" dxfId="3902" priority="618" operator="greaterThan">
      <formula>1</formula>
    </cfRule>
    <cfRule type="cellIs" dxfId="3901" priority="619" operator="lessThan">
      <formula>0.8</formula>
    </cfRule>
  </conditionalFormatting>
  <conditionalFormatting sqref="P84:P91">
    <cfRule type="cellIs" dxfId="3900" priority="617" operator="greaterThan">
      <formula>0</formula>
    </cfRule>
  </conditionalFormatting>
  <conditionalFormatting sqref="Q84:Q91">
    <cfRule type="cellIs" dxfId="3899" priority="615" operator="lessThan">
      <formula>0</formula>
    </cfRule>
  </conditionalFormatting>
  <conditionalFormatting sqref="R84:R91">
    <cfRule type="cellIs" dxfId="3898" priority="613" operator="lessThan">
      <formula>0.8</formula>
    </cfRule>
    <cfRule type="cellIs" dxfId="3897" priority="614" operator="greaterThan">
      <formula>1</formula>
    </cfRule>
  </conditionalFormatting>
  <conditionalFormatting sqref="R84:R91">
    <cfRule type="cellIs" dxfId="3896" priority="611" operator="greaterThan">
      <formula>1</formula>
    </cfRule>
    <cfRule type="cellIs" dxfId="3895" priority="612" operator="lessThan">
      <formula>0.8</formula>
    </cfRule>
  </conditionalFormatting>
  <conditionalFormatting sqref="P84:P91">
    <cfRule type="cellIs" dxfId="3894" priority="610" operator="greaterThan">
      <formula>0</formula>
    </cfRule>
  </conditionalFormatting>
  <conditionalFormatting sqref="Q84:Q91">
    <cfRule type="cellIs" dxfId="3893" priority="609" operator="lessThan">
      <formula>0</formula>
    </cfRule>
  </conditionalFormatting>
  <conditionalFormatting sqref="R84:R91">
    <cfRule type="cellIs" dxfId="3892" priority="607" operator="lessThan">
      <formula>0.8</formula>
    </cfRule>
    <cfRule type="cellIs" dxfId="3891" priority="608" operator="greaterThan">
      <formula>1</formula>
    </cfRule>
  </conditionalFormatting>
  <conditionalFormatting sqref="R84:R91">
    <cfRule type="cellIs" dxfId="3890" priority="605" operator="greaterThan">
      <formula>1</formula>
    </cfRule>
    <cfRule type="cellIs" dxfId="3889" priority="606" operator="lessThan">
      <formula>0.8</formula>
    </cfRule>
  </conditionalFormatting>
  <conditionalFormatting sqref="P84:P91">
    <cfRule type="cellIs" dxfId="3888" priority="604" operator="greaterThan">
      <formula>0</formula>
    </cfRule>
  </conditionalFormatting>
  <conditionalFormatting sqref="Q84:Q91">
    <cfRule type="cellIs" dxfId="3887" priority="603" operator="lessThan">
      <formula>0</formula>
    </cfRule>
  </conditionalFormatting>
  <conditionalFormatting sqref="R84:R91">
    <cfRule type="cellIs" dxfId="3886" priority="601" operator="lessThan">
      <formula>0.8</formula>
    </cfRule>
    <cfRule type="cellIs" dxfId="3885" priority="602" operator="greaterThan">
      <formula>1</formula>
    </cfRule>
  </conditionalFormatting>
  <conditionalFormatting sqref="R84:R91">
    <cfRule type="cellIs" dxfId="3884" priority="599" operator="greaterThan">
      <formula>1</formula>
    </cfRule>
    <cfRule type="cellIs" dxfId="3883" priority="600" operator="lessThan">
      <formula>0.8</formula>
    </cfRule>
  </conditionalFormatting>
  <conditionalFormatting sqref="P84:P91">
    <cfRule type="cellIs" dxfId="3882" priority="598" operator="greaterThan">
      <formula>0</formula>
    </cfRule>
  </conditionalFormatting>
  <conditionalFormatting sqref="Q84:Q91">
    <cfRule type="cellIs" dxfId="3881" priority="597" operator="lessThan">
      <formula>0</formula>
    </cfRule>
  </conditionalFormatting>
  <conditionalFormatting sqref="R84:R91">
    <cfRule type="cellIs" dxfId="3880" priority="595" operator="lessThan">
      <formula>0.8</formula>
    </cfRule>
    <cfRule type="cellIs" dxfId="3879" priority="596" operator="greaterThan">
      <formula>1</formula>
    </cfRule>
  </conditionalFormatting>
  <conditionalFormatting sqref="R84:R91">
    <cfRule type="cellIs" dxfId="3878" priority="593" operator="greaterThan">
      <formula>1</formula>
    </cfRule>
    <cfRule type="cellIs" dxfId="3877" priority="594" operator="lessThan">
      <formula>0.8</formula>
    </cfRule>
  </conditionalFormatting>
  <conditionalFormatting sqref="P84:P91">
    <cfRule type="cellIs" dxfId="3876" priority="592" operator="greaterThan">
      <formula>0</formula>
    </cfRule>
  </conditionalFormatting>
  <conditionalFormatting sqref="Q84:Q91">
    <cfRule type="cellIs" dxfId="3875" priority="591" operator="lessThan">
      <formula>0</formula>
    </cfRule>
  </conditionalFormatting>
  <conditionalFormatting sqref="R84:R91">
    <cfRule type="cellIs" dxfId="3874" priority="589" operator="lessThan">
      <formula>0.8</formula>
    </cfRule>
    <cfRule type="cellIs" dxfId="3873" priority="590" operator="greaterThan">
      <formula>1</formula>
    </cfRule>
  </conditionalFormatting>
  <conditionalFormatting sqref="R84:R91">
    <cfRule type="cellIs" dxfId="3872" priority="587" operator="greaterThan">
      <formula>1</formula>
    </cfRule>
    <cfRule type="cellIs" dxfId="3871" priority="588" operator="lessThan">
      <formula>0.8</formula>
    </cfRule>
  </conditionalFormatting>
  <conditionalFormatting sqref="P84:P91">
    <cfRule type="cellIs" dxfId="3870" priority="586" operator="greaterThan">
      <formula>0</formula>
    </cfRule>
  </conditionalFormatting>
  <conditionalFormatting sqref="P84:P91">
    <cfRule type="cellIs" dxfId="3869" priority="580" operator="greaterThan">
      <formula>0</formula>
    </cfRule>
  </conditionalFormatting>
  <conditionalFormatting sqref="Q84:Q91">
    <cfRule type="cellIs" dxfId="3868" priority="585" operator="lessThan">
      <formula>0</formula>
    </cfRule>
  </conditionalFormatting>
  <conditionalFormatting sqref="R84:R91">
    <cfRule type="cellIs" dxfId="3867" priority="583" operator="lessThan">
      <formula>0.8</formula>
    </cfRule>
    <cfRule type="cellIs" dxfId="3866" priority="584" operator="greaterThan">
      <formula>1</formula>
    </cfRule>
  </conditionalFormatting>
  <conditionalFormatting sqref="R84:R91">
    <cfRule type="cellIs" dxfId="3865" priority="581" operator="greaterThan">
      <formula>1</formula>
    </cfRule>
    <cfRule type="cellIs" dxfId="3864" priority="582" operator="lessThan">
      <formula>0.8</formula>
    </cfRule>
  </conditionalFormatting>
  <conditionalFormatting sqref="P84:P91">
    <cfRule type="cellIs" dxfId="3863" priority="574" operator="greaterThan">
      <formula>0</formula>
    </cfRule>
  </conditionalFormatting>
  <conditionalFormatting sqref="Q84:Q91">
    <cfRule type="cellIs" dxfId="3862" priority="579" operator="lessThan">
      <formula>0</formula>
    </cfRule>
  </conditionalFormatting>
  <conditionalFormatting sqref="R84:R91">
    <cfRule type="cellIs" dxfId="3861" priority="577" operator="lessThan">
      <formula>0.8</formula>
    </cfRule>
    <cfRule type="cellIs" dxfId="3860" priority="578" operator="greaterThan">
      <formula>1</formula>
    </cfRule>
  </conditionalFormatting>
  <conditionalFormatting sqref="R84:R91">
    <cfRule type="cellIs" dxfId="3859" priority="575" operator="greaterThan">
      <formula>1</formula>
    </cfRule>
    <cfRule type="cellIs" dxfId="3858" priority="576" operator="lessThan">
      <formula>0.8</formula>
    </cfRule>
  </conditionalFormatting>
  <conditionalFormatting sqref="R84:R91">
    <cfRule type="cellIs" dxfId="3857" priority="571" operator="lessThan">
      <formula>0.8</formula>
    </cfRule>
    <cfRule type="cellIs" dxfId="3856" priority="572" operator="greaterThan">
      <formula>1</formula>
    </cfRule>
  </conditionalFormatting>
  <conditionalFormatting sqref="R84:R91">
    <cfRule type="cellIs" dxfId="3855" priority="569" operator="greaterThan">
      <formula>1</formula>
    </cfRule>
    <cfRule type="cellIs" dxfId="3854" priority="570" operator="lessThan">
      <formula>0.8</formula>
    </cfRule>
  </conditionalFormatting>
  <conditionalFormatting sqref="P84:P91">
    <cfRule type="cellIs" dxfId="3853" priority="568" operator="greaterThan">
      <formula>0</formula>
    </cfRule>
  </conditionalFormatting>
  <conditionalFormatting sqref="Q84:Q91">
    <cfRule type="cellIs" dxfId="3852" priority="573" operator="lessThan">
      <formula>0</formula>
    </cfRule>
  </conditionalFormatting>
  <conditionalFormatting sqref="Q84:Q91">
    <cfRule type="cellIs" dxfId="3851" priority="567" operator="lessThan">
      <formula>0</formula>
    </cfRule>
  </conditionalFormatting>
  <conditionalFormatting sqref="R84:R91">
    <cfRule type="cellIs" dxfId="3850" priority="565" operator="lessThan">
      <formula>0.8</formula>
    </cfRule>
    <cfRule type="cellIs" dxfId="3849" priority="566" operator="greaterThan">
      <formula>1</formula>
    </cfRule>
  </conditionalFormatting>
  <conditionalFormatting sqref="R84:R91">
    <cfRule type="cellIs" dxfId="3848" priority="563" operator="greaterThan">
      <formula>1</formula>
    </cfRule>
    <cfRule type="cellIs" dxfId="3847" priority="564" operator="lessThan">
      <formula>0.8</formula>
    </cfRule>
  </conditionalFormatting>
  <conditionalFormatting sqref="P84:P91">
    <cfRule type="cellIs" dxfId="3846" priority="562" operator="greaterThan">
      <formula>0</formula>
    </cfRule>
  </conditionalFormatting>
  <conditionalFormatting sqref="Q84:Q91">
    <cfRule type="cellIs" dxfId="3845" priority="561" operator="lessThan">
      <formula>0</formula>
    </cfRule>
  </conditionalFormatting>
  <conditionalFormatting sqref="R84:R91">
    <cfRule type="cellIs" dxfId="3844" priority="559" operator="lessThan">
      <formula>0.8</formula>
    </cfRule>
    <cfRule type="cellIs" dxfId="3843" priority="560" operator="greaterThan">
      <formula>1</formula>
    </cfRule>
  </conditionalFormatting>
  <conditionalFormatting sqref="R84:R91">
    <cfRule type="cellIs" dxfId="3842" priority="557" operator="greaterThan">
      <formula>1</formula>
    </cfRule>
    <cfRule type="cellIs" dxfId="3841" priority="558" operator="lessThan">
      <formula>0.8</formula>
    </cfRule>
  </conditionalFormatting>
  <conditionalFormatting sqref="P84:P91">
    <cfRule type="cellIs" dxfId="3840" priority="556" operator="greaterThan">
      <formula>0</formula>
    </cfRule>
  </conditionalFormatting>
  <conditionalFormatting sqref="Q84:Q91">
    <cfRule type="cellIs" dxfId="3839" priority="555" operator="lessThan">
      <formula>0</formula>
    </cfRule>
  </conditionalFormatting>
  <conditionalFormatting sqref="R84:R91">
    <cfRule type="cellIs" dxfId="3838" priority="553" operator="lessThan">
      <formula>0.8</formula>
    </cfRule>
    <cfRule type="cellIs" dxfId="3837" priority="554" operator="greaterThan">
      <formula>1</formula>
    </cfRule>
  </conditionalFormatting>
  <conditionalFormatting sqref="R84:R91">
    <cfRule type="cellIs" dxfId="3836" priority="551" operator="greaterThan">
      <formula>1</formula>
    </cfRule>
    <cfRule type="cellIs" dxfId="3835" priority="552" operator="lessThan">
      <formula>0.8</formula>
    </cfRule>
  </conditionalFormatting>
  <conditionalFormatting sqref="P84:P91">
    <cfRule type="cellIs" dxfId="3834" priority="550" operator="greaterThan">
      <formula>0</formula>
    </cfRule>
  </conditionalFormatting>
  <conditionalFormatting sqref="Q84:Q91">
    <cfRule type="cellIs" dxfId="3833" priority="549" operator="lessThan">
      <formula>0</formula>
    </cfRule>
  </conditionalFormatting>
  <conditionalFormatting sqref="R84:R91">
    <cfRule type="cellIs" dxfId="3832" priority="547" operator="lessThan">
      <formula>0.8</formula>
    </cfRule>
    <cfRule type="cellIs" dxfId="3831" priority="548" operator="greaterThan">
      <formula>1</formula>
    </cfRule>
  </conditionalFormatting>
  <conditionalFormatting sqref="R84:R91">
    <cfRule type="cellIs" dxfId="3830" priority="545" operator="greaterThan">
      <formula>1</formula>
    </cfRule>
    <cfRule type="cellIs" dxfId="3829" priority="546" operator="lessThan">
      <formula>0.8</formula>
    </cfRule>
  </conditionalFormatting>
  <conditionalFormatting sqref="P84:P91">
    <cfRule type="cellIs" dxfId="3828" priority="544" operator="greaterThan">
      <formula>0</formula>
    </cfRule>
  </conditionalFormatting>
  <conditionalFormatting sqref="P84:P91">
    <cfRule type="cellIs" dxfId="3827" priority="538" operator="greaterThan">
      <formula>0</formula>
    </cfRule>
  </conditionalFormatting>
  <conditionalFormatting sqref="Q84:Q91">
    <cfRule type="cellIs" dxfId="3826" priority="543" operator="lessThan">
      <formula>0</formula>
    </cfRule>
  </conditionalFormatting>
  <conditionalFormatting sqref="R84:R91">
    <cfRule type="cellIs" dxfId="3825" priority="541" operator="lessThan">
      <formula>0.8</formula>
    </cfRule>
    <cfRule type="cellIs" dxfId="3824" priority="542" operator="greaterThan">
      <formula>1</formula>
    </cfRule>
  </conditionalFormatting>
  <conditionalFormatting sqref="R84:R91">
    <cfRule type="cellIs" dxfId="3823" priority="539" operator="greaterThan">
      <formula>1</formula>
    </cfRule>
    <cfRule type="cellIs" dxfId="3822" priority="540" operator="lessThan">
      <formula>0.8</formula>
    </cfRule>
  </conditionalFormatting>
  <conditionalFormatting sqref="P84:P91">
    <cfRule type="cellIs" dxfId="3821" priority="532" operator="greaterThan">
      <formula>0</formula>
    </cfRule>
  </conditionalFormatting>
  <conditionalFormatting sqref="Q84:Q91">
    <cfRule type="cellIs" dxfId="3820" priority="537" operator="lessThan">
      <formula>0</formula>
    </cfRule>
  </conditionalFormatting>
  <conditionalFormatting sqref="R84:R91">
    <cfRule type="cellIs" dxfId="3819" priority="535" operator="lessThan">
      <formula>0.8</formula>
    </cfRule>
    <cfRule type="cellIs" dxfId="3818" priority="536" operator="greaterThan">
      <formula>1</formula>
    </cfRule>
  </conditionalFormatting>
  <conditionalFormatting sqref="R84:R91">
    <cfRule type="cellIs" dxfId="3817" priority="533" operator="greaterThan">
      <formula>1</formula>
    </cfRule>
    <cfRule type="cellIs" dxfId="3816" priority="534" operator="lessThan">
      <formula>0.8</formula>
    </cfRule>
  </conditionalFormatting>
  <conditionalFormatting sqref="R84:R91">
    <cfRule type="cellIs" dxfId="3815" priority="529" operator="lessThan">
      <formula>0.8</formula>
    </cfRule>
    <cfRule type="cellIs" dxfId="3814" priority="530" operator="greaterThan">
      <formula>1</formula>
    </cfRule>
  </conditionalFormatting>
  <conditionalFormatting sqref="R84:R91">
    <cfRule type="cellIs" dxfId="3813" priority="527" operator="greaterThan">
      <formula>1</formula>
    </cfRule>
    <cfRule type="cellIs" dxfId="3812" priority="528" operator="lessThan">
      <formula>0.8</formula>
    </cfRule>
  </conditionalFormatting>
  <conditionalFormatting sqref="P84:P91">
    <cfRule type="cellIs" dxfId="3811" priority="526" operator="greaterThan">
      <formula>0</formula>
    </cfRule>
  </conditionalFormatting>
  <conditionalFormatting sqref="Q84:Q91">
    <cfRule type="cellIs" dxfId="3810" priority="531" operator="lessThan">
      <formula>0</formula>
    </cfRule>
  </conditionalFormatting>
  <conditionalFormatting sqref="Q84:Q91">
    <cfRule type="cellIs" dxfId="3809" priority="525" operator="lessThan">
      <formula>0</formula>
    </cfRule>
  </conditionalFormatting>
  <conditionalFormatting sqref="R84:R91">
    <cfRule type="cellIs" dxfId="3808" priority="523" operator="lessThan">
      <formula>0.8</formula>
    </cfRule>
    <cfRule type="cellIs" dxfId="3807" priority="524" operator="greaterThan">
      <formula>1</formula>
    </cfRule>
  </conditionalFormatting>
  <conditionalFormatting sqref="R84:R91">
    <cfRule type="cellIs" dxfId="3806" priority="521" operator="greaterThan">
      <formula>1</formula>
    </cfRule>
    <cfRule type="cellIs" dxfId="3805" priority="522" operator="lessThan">
      <formula>0.8</formula>
    </cfRule>
  </conditionalFormatting>
  <conditionalFormatting sqref="P84:P91">
    <cfRule type="cellIs" dxfId="3804" priority="520" operator="greaterThan">
      <formula>0</formula>
    </cfRule>
  </conditionalFormatting>
  <conditionalFormatting sqref="P84:P91">
    <cfRule type="cellIs" dxfId="3803" priority="514" operator="greaterThan">
      <formula>0</formula>
    </cfRule>
  </conditionalFormatting>
  <conditionalFormatting sqref="Q84:Q91">
    <cfRule type="cellIs" dxfId="3802" priority="519" operator="lessThan">
      <formula>0</formula>
    </cfRule>
  </conditionalFormatting>
  <conditionalFormatting sqref="R84:R91">
    <cfRule type="cellIs" dxfId="3801" priority="517" operator="lessThan">
      <formula>0.8</formula>
    </cfRule>
    <cfRule type="cellIs" dxfId="3800" priority="518" operator="greaterThan">
      <formula>1</formula>
    </cfRule>
  </conditionalFormatting>
  <conditionalFormatting sqref="R84:R91">
    <cfRule type="cellIs" dxfId="3799" priority="515" operator="greaterThan">
      <formula>1</formula>
    </cfRule>
    <cfRule type="cellIs" dxfId="3798" priority="516" operator="lessThan">
      <formula>0.8</formula>
    </cfRule>
  </conditionalFormatting>
  <conditionalFormatting sqref="P84:P91">
    <cfRule type="cellIs" dxfId="3797" priority="508" operator="greaterThan">
      <formula>0</formula>
    </cfRule>
  </conditionalFormatting>
  <conditionalFormatting sqref="Q84:Q91">
    <cfRule type="cellIs" dxfId="3796" priority="513" operator="lessThan">
      <formula>0</formula>
    </cfRule>
  </conditionalFormatting>
  <conditionalFormatting sqref="R84:R91">
    <cfRule type="cellIs" dxfId="3795" priority="511" operator="lessThan">
      <formula>0.8</formula>
    </cfRule>
    <cfRule type="cellIs" dxfId="3794" priority="512" operator="greaterThan">
      <formula>1</formula>
    </cfRule>
  </conditionalFormatting>
  <conditionalFormatting sqref="R84:R91">
    <cfRule type="cellIs" dxfId="3793" priority="509" operator="greaterThan">
      <formula>1</formula>
    </cfRule>
    <cfRule type="cellIs" dxfId="3792" priority="510" operator="lessThan">
      <formula>0.8</formula>
    </cfRule>
  </conditionalFormatting>
  <conditionalFormatting sqref="R84:R91">
    <cfRule type="cellIs" dxfId="3791" priority="505" operator="lessThan">
      <formula>0.8</formula>
    </cfRule>
    <cfRule type="cellIs" dxfId="3790" priority="506" operator="greaterThan">
      <formula>1</formula>
    </cfRule>
  </conditionalFormatting>
  <conditionalFormatting sqref="R84:R91">
    <cfRule type="cellIs" dxfId="3789" priority="503" operator="greaterThan">
      <formula>1</formula>
    </cfRule>
    <cfRule type="cellIs" dxfId="3788" priority="504" operator="lessThan">
      <formula>0.8</formula>
    </cfRule>
  </conditionalFormatting>
  <conditionalFormatting sqref="P84:P91">
    <cfRule type="cellIs" dxfId="3787" priority="502" operator="greaterThan">
      <formula>0</formula>
    </cfRule>
  </conditionalFormatting>
  <conditionalFormatting sqref="Q84:Q91">
    <cfRule type="cellIs" dxfId="3786" priority="507" operator="lessThan">
      <formula>0</formula>
    </cfRule>
  </conditionalFormatting>
  <conditionalFormatting sqref="P84:P91">
    <cfRule type="cellIs" dxfId="3785" priority="496" operator="greaterThan">
      <formula>0</formula>
    </cfRule>
  </conditionalFormatting>
  <conditionalFormatting sqref="Q84:Q91">
    <cfRule type="cellIs" dxfId="3784" priority="501" operator="lessThan">
      <formula>0</formula>
    </cfRule>
  </conditionalFormatting>
  <conditionalFormatting sqref="R84:R91">
    <cfRule type="cellIs" dxfId="3783" priority="499" operator="lessThan">
      <formula>0.8</formula>
    </cfRule>
    <cfRule type="cellIs" dxfId="3782" priority="500" operator="greaterThan">
      <formula>1</formula>
    </cfRule>
  </conditionalFormatting>
  <conditionalFormatting sqref="R84:R91">
    <cfRule type="cellIs" dxfId="3781" priority="497" operator="greaterThan">
      <formula>1</formula>
    </cfRule>
    <cfRule type="cellIs" dxfId="3780" priority="498" operator="lessThan">
      <formula>0.8</formula>
    </cfRule>
  </conditionalFormatting>
  <conditionalFormatting sqref="R84:R91">
    <cfRule type="cellIs" dxfId="3779" priority="493" operator="lessThan">
      <formula>0.8</formula>
    </cfRule>
    <cfRule type="cellIs" dxfId="3778" priority="494" operator="greaterThan">
      <formula>1</formula>
    </cfRule>
  </conditionalFormatting>
  <conditionalFormatting sqref="R84:R91">
    <cfRule type="cellIs" dxfId="3777" priority="491" operator="greaterThan">
      <formula>1</formula>
    </cfRule>
    <cfRule type="cellIs" dxfId="3776" priority="492" operator="lessThan">
      <formula>0.8</formula>
    </cfRule>
  </conditionalFormatting>
  <conditionalFormatting sqref="P84:P91">
    <cfRule type="cellIs" dxfId="3775" priority="490" operator="greaterThan">
      <formula>0</formula>
    </cfRule>
  </conditionalFormatting>
  <conditionalFormatting sqref="Q84:Q91">
    <cfRule type="cellIs" dxfId="3774" priority="495" operator="lessThan">
      <formula>0</formula>
    </cfRule>
  </conditionalFormatting>
  <conditionalFormatting sqref="R84:R91">
    <cfRule type="cellIs" dxfId="3773" priority="487" operator="lessThan">
      <formula>0.8</formula>
    </cfRule>
    <cfRule type="cellIs" dxfId="3772" priority="488" operator="greaterThan">
      <formula>1</formula>
    </cfRule>
  </conditionalFormatting>
  <conditionalFormatting sqref="R84:R91">
    <cfRule type="cellIs" dxfId="3771" priority="485" operator="greaterThan">
      <formula>1</formula>
    </cfRule>
    <cfRule type="cellIs" dxfId="3770" priority="486" operator="lessThan">
      <formula>0.8</formula>
    </cfRule>
  </conditionalFormatting>
  <conditionalFormatting sqref="P84:P91">
    <cfRule type="cellIs" dxfId="3769" priority="484" operator="greaterThan">
      <formula>0</formula>
    </cfRule>
  </conditionalFormatting>
  <conditionalFormatting sqref="Q84:Q91">
    <cfRule type="cellIs" dxfId="3768" priority="489" operator="lessThan">
      <formula>0</formula>
    </cfRule>
  </conditionalFormatting>
  <conditionalFormatting sqref="Q84:Q91">
    <cfRule type="cellIs" dxfId="3767" priority="483" operator="lessThan">
      <formula>0</formula>
    </cfRule>
  </conditionalFormatting>
  <conditionalFormatting sqref="R84:R91">
    <cfRule type="cellIs" dxfId="3766" priority="481" operator="lessThan">
      <formula>0.8</formula>
    </cfRule>
    <cfRule type="cellIs" dxfId="3765" priority="482" operator="greaterThan">
      <formula>1</formula>
    </cfRule>
  </conditionalFormatting>
  <conditionalFormatting sqref="R84:R91">
    <cfRule type="cellIs" dxfId="3764" priority="479" operator="greaterThan">
      <formula>1</formula>
    </cfRule>
    <cfRule type="cellIs" dxfId="3763" priority="480" operator="lessThan">
      <formula>0.8</formula>
    </cfRule>
  </conditionalFormatting>
  <conditionalFormatting sqref="P84:P91">
    <cfRule type="cellIs" dxfId="3762" priority="478" operator="greaterThan">
      <formula>0</formula>
    </cfRule>
  </conditionalFormatting>
  <conditionalFormatting sqref="Q84:Q91">
    <cfRule type="cellIs" dxfId="3761" priority="472" operator="lessThan">
      <formula>0</formula>
    </cfRule>
  </conditionalFormatting>
  <conditionalFormatting sqref="R84:R91">
    <cfRule type="cellIs" dxfId="3760" priority="476" operator="lessThan">
      <formula>0.8</formula>
    </cfRule>
    <cfRule type="cellIs" dxfId="3759" priority="477" operator="greaterThan">
      <formula>1</formula>
    </cfRule>
  </conditionalFormatting>
  <conditionalFormatting sqref="R84:R91">
    <cfRule type="cellIs" dxfId="3758" priority="474" operator="greaterThan">
      <formula>1</formula>
    </cfRule>
    <cfRule type="cellIs" dxfId="3757" priority="475" operator="lessThan">
      <formula>0.8</formula>
    </cfRule>
  </conditionalFormatting>
  <conditionalFormatting sqref="P84:P91">
    <cfRule type="cellIs" dxfId="3756" priority="473" operator="greaterThan">
      <formula>0</formula>
    </cfRule>
  </conditionalFormatting>
  <conditionalFormatting sqref="Q84:Q91">
    <cfRule type="cellIs" dxfId="3755" priority="471" operator="lessThan">
      <formula>0</formula>
    </cfRule>
  </conditionalFormatting>
  <conditionalFormatting sqref="R84:R91">
    <cfRule type="cellIs" dxfId="3754" priority="469" operator="lessThan">
      <formula>0.8</formula>
    </cfRule>
    <cfRule type="cellIs" dxfId="3753" priority="470" operator="greaterThan">
      <formula>1</formula>
    </cfRule>
  </conditionalFormatting>
  <conditionalFormatting sqref="R84:R91">
    <cfRule type="cellIs" dxfId="3752" priority="467" operator="greaterThan">
      <formula>1</formula>
    </cfRule>
    <cfRule type="cellIs" dxfId="3751" priority="468" operator="lessThan">
      <formula>0.8</formula>
    </cfRule>
  </conditionalFormatting>
  <conditionalFormatting sqref="P84:P91">
    <cfRule type="cellIs" dxfId="3750" priority="466" operator="greaterThan">
      <formula>0</formula>
    </cfRule>
  </conditionalFormatting>
  <conditionalFormatting sqref="Q84:Q91">
    <cfRule type="cellIs" dxfId="3749" priority="465" operator="lessThan">
      <formula>0</formula>
    </cfRule>
  </conditionalFormatting>
  <conditionalFormatting sqref="R84:R91">
    <cfRule type="cellIs" dxfId="3748" priority="463" operator="lessThan">
      <formula>0.8</formula>
    </cfRule>
    <cfRule type="cellIs" dxfId="3747" priority="464" operator="greaterThan">
      <formula>1</formula>
    </cfRule>
  </conditionalFormatting>
  <conditionalFormatting sqref="R84:R91">
    <cfRule type="cellIs" dxfId="3746" priority="461" operator="greaterThan">
      <formula>1</formula>
    </cfRule>
    <cfRule type="cellIs" dxfId="3745" priority="462" operator="lessThan">
      <formula>0.8</formula>
    </cfRule>
  </conditionalFormatting>
  <conditionalFormatting sqref="P84:P91">
    <cfRule type="cellIs" dxfId="3744" priority="460" operator="greaterThan">
      <formula>0</formula>
    </cfRule>
  </conditionalFormatting>
  <conditionalFormatting sqref="Q84:Q91">
    <cfRule type="cellIs" dxfId="3743" priority="459" operator="lessThan">
      <formula>0</formula>
    </cfRule>
  </conditionalFormatting>
  <conditionalFormatting sqref="R84:R91">
    <cfRule type="cellIs" dxfId="3742" priority="457" operator="lessThan">
      <formula>0.8</formula>
    </cfRule>
    <cfRule type="cellIs" dxfId="3741" priority="458" operator="greaterThan">
      <formula>1</formula>
    </cfRule>
  </conditionalFormatting>
  <conditionalFormatting sqref="R84:R91">
    <cfRule type="cellIs" dxfId="3740" priority="455" operator="greaterThan">
      <formula>1</formula>
    </cfRule>
    <cfRule type="cellIs" dxfId="3739" priority="456" operator="lessThan">
      <formula>0.8</formula>
    </cfRule>
  </conditionalFormatting>
  <conditionalFormatting sqref="P84:P91">
    <cfRule type="cellIs" dxfId="3738" priority="454" operator="greaterThan">
      <formula>0</formula>
    </cfRule>
  </conditionalFormatting>
  <conditionalFormatting sqref="Q84:Q91">
    <cfRule type="cellIs" dxfId="3737" priority="453" operator="lessThan">
      <formula>0</formula>
    </cfRule>
  </conditionalFormatting>
  <conditionalFormatting sqref="R84:R91">
    <cfRule type="cellIs" dxfId="3736" priority="451" operator="lessThan">
      <formula>0.8</formula>
    </cfRule>
    <cfRule type="cellIs" dxfId="3735" priority="452" operator="greaterThan">
      <formula>1</formula>
    </cfRule>
  </conditionalFormatting>
  <conditionalFormatting sqref="R84:R91">
    <cfRule type="cellIs" dxfId="3734" priority="449" operator="greaterThan">
      <formula>1</formula>
    </cfRule>
    <cfRule type="cellIs" dxfId="3733" priority="450" operator="lessThan">
      <formula>0.8</formula>
    </cfRule>
  </conditionalFormatting>
  <conditionalFormatting sqref="P84:P91">
    <cfRule type="cellIs" dxfId="3732" priority="448" operator="greaterThan">
      <formula>0</formula>
    </cfRule>
  </conditionalFormatting>
  <conditionalFormatting sqref="Q84:Q91">
    <cfRule type="cellIs" dxfId="3731" priority="447" operator="lessThan">
      <formula>0</formula>
    </cfRule>
  </conditionalFormatting>
  <conditionalFormatting sqref="R84:R91">
    <cfRule type="cellIs" dxfId="3730" priority="445" operator="lessThan">
      <formula>0.8</formula>
    </cfRule>
    <cfRule type="cellIs" dxfId="3729" priority="446" operator="greaterThan">
      <formula>1</formula>
    </cfRule>
  </conditionalFormatting>
  <conditionalFormatting sqref="R84:R91">
    <cfRule type="cellIs" dxfId="3728" priority="443" operator="greaterThan">
      <formula>1</formula>
    </cfRule>
    <cfRule type="cellIs" dxfId="3727" priority="444" operator="lessThan">
      <formula>0.8</formula>
    </cfRule>
  </conditionalFormatting>
  <conditionalFormatting sqref="P84:P91">
    <cfRule type="cellIs" dxfId="3726" priority="442" operator="greaterThan">
      <formula>0</formula>
    </cfRule>
  </conditionalFormatting>
  <conditionalFormatting sqref="P84:P91">
    <cfRule type="cellIs" dxfId="3725" priority="436" operator="greaterThan">
      <formula>0</formula>
    </cfRule>
  </conditionalFormatting>
  <conditionalFormatting sqref="Q84:Q91">
    <cfRule type="cellIs" dxfId="3724" priority="441" operator="lessThan">
      <formula>0</formula>
    </cfRule>
  </conditionalFormatting>
  <conditionalFormatting sqref="R84:R91">
    <cfRule type="cellIs" dxfId="3723" priority="439" operator="lessThan">
      <formula>0.8</formula>
    </cfRule>
    <cfRule type="cellIs" dxfId="3722" priority="440" operator="greaterThan">
      <formula>1</formula>
    </cfRule>
  </conditionalFormatting>
  <conditionalFormatting sqref="R84:R91">
    <cfRule type="cellIs" dxfId="3721" priority="437" operator="greaterThan">
      <formula>1</formula>
    </cfRule>
    <cfRule type="cellIs" dxfId="3720" priority="438" operator="lessThan">
      <formula>0.8</formula>
    </cfRule>
  </conditionalFormatting>
  <conditionalFormatting sqref="P84:P91">
    <cfRule type="cellIs" dxfId="3719" priority="430" operator="greaterThan">
      <formula>0</formula>
    </cfRule>
  </conditionalFormatting>
  <conditionalFormatting sqref="Q84:Q91">
    <cfRule type="cellIs" dxfId="3718" priority="435" operator="lessThan">
      <formula>0</formula>
    </cfRule>
  </conditionalFormatting>
  <conditionalFormatting sqref="R84:R91">
    <cfRule type="cellIs" dxfId="3717" priority="433" operator="lessThan">
      <formula>0.8</formula>
    </cfRule>
    <cfRule type="cellIs" dxfId="3716" priority="434" operator="greaterThan">
      <formula>1</formula>
    </cfRule>
  </conditionalFormatting>
  <conditionalFormatting sqref="R84:R91">
    <cfRule type="cellIs" dxfId="3715" priority="431" operator="greaterThan">
      <formula>1</formula>
    </cfRule>
    <cfRule type="cellIs" dxfId="3714" priority="432" operator="lessThan">
      <formula>0.8</formula>
    </cfRule>
  </conditionalFormatting>
  <conditionalFormatting sqref="R84:R91">
    <cfRule type="cellIs" dxfId="3713" priority="427" operator="lessThan">
      <formula>0.8</formula>
    </cfRule>
    <cfRule type="cellIs" dxfId="3712" priority="428" operator="greaterThan">
      <formula>1</formula>
    </cfRule>
  </conditionalFormatting>
  <conditionalFormatting sqref="R84:R91">
    <cfRule type="cellIs" dxfId="3711" priority="425" operator="greaterThan">
      <formula>1</formula>
    </cfRule>
    <cfRule type="cellIs" dxfId="3710" priority="426" operator="lessThan">
      <formula>0.8</formula>
    </cfRule>
  </conditionalFormatting>
  <conditionalFormatting sqref="P84:P91">
    <cfRule type="cellIs" dxfId="3709" priority="424" operator="greaterThan">
      <formula>0</formula>
    </cfRule>
  </conditionalFormatting>
  <conditionalFormatting sqref="Q84:Q91">
    <cfRule type="cellIs" dxfId="3708" priority="429" operator="lessThan">
      <formula>0</formula>
    </cfRule>
  </conditionalFormatting>
  <conditionalFormatting sqref="Q84:Q91">
    <cfRule type="cellIs" dxfId="3707" priority="418" operator="lessThan">
      <formula>0</formula>
    </cfRule>
  </conditionalFormatting>
  <conditionalFormatting sqref="P84:P91">
    <cfRule type="cellIs" dxfId="3706" priority="419" operator="greaterThan">
      <formula>0</formula>
    </cfRule>
  </conditionalFormatting>
  <conditionalFormatting sqref="R84:R91">
    <cfRule type="cellIs" dxfId="3705" priority="422" operator="lessThan">
      <formula>0.8</formula>
    </cfRule>
    <cfRule type="cellIs" dxfId="3704" priority="423" operator="greaterThan">
      <formula>1</formula>
    </cfRule>
  </conditionalFormatting>
  <conditionalFormatting sqref="R84:R91">
    <cfRule type="cellIs" dxfId="3703" priority="420" operator="greaterThan">
      <formula>1</formula>
    </cfRule>
    <cfRule type="cellIs" dxfId="3702" priority="421" operator="lessThan">
      <formula>0.8</formula>
    </cfRule>
  </conditionalFormatting>
  <conditionalFormatting sqref="Q84:Q91">
    <cfRule type="cellIs" dxfId="3701" priority="412" operator="lessThan">
      <formula>0</formula>
    </cfRule>
  </conditionalFormatting>
  <conditionalFormatting sqref="R84:R91">
    <cfRule type="cellIs" dxfId="3700" priority="416" operator="lessThan">
      <formula>0.8</formula>
    </cfRule>
    <cfRule type="cellIs" dxfId="3699" priority="417" operator="greaterThan">
      <formula>1</formula>
    </cfRule>
  </conditionalFormatting>
  <conditionalFormatting sqref="R84:R91">
    <cfRule type="cellIs" dxfId="3698" priority="414" operator="greaterThan">
      <formula>1</formula>
    </cfRule>
    <cfRule type="cellIs" dxfId="3697" priority="415" operator="lessThan">
      <formula>0.8</formula>
    </cfRule>
  </conditionalFormatting>
  <conditionalFormatting sqref="P84:P91">
    <cfRule type="cellIs" dxfId="3696" priority="413" operator="greaterThan">
      <formula>0</formula>
    </cfRule>
  </conditionalFormatting>
  <conditionalFormatting sqref="Q84:Q91">
    <cfRule type="cellIs" dxfId="3695" priority="411" operator="lessThan">
      <formula>0</formula>
    </cfRule>
  </conditionalFormatting>
  <conditionalFormatting sqref="R84:R91">
    <cfRule type="cellIs" dxfId="3694" priority="409" operator="lessThan">
      <formula>0.8</formula>
    </cfRule>
    <cfRule type="cellIs" dxfId="3693" priority="410" operator="greaterThan">
      <formula>1</formula>
    </cfRule>
  </conditionalFormatting>
  <conditionalFormatting sqref="R84:R91">
    <cfRule type="cellIs" dxfId="3692" priority="407" operator="greaterThan">
      <formula>1</formula>
    </cfRule>
    <cfRule type="cellIs" dxfId="3691" priority="408" operator="lessThan">
      <formula>0.8</formula>
    </cfRule>
  </conditionalFormatting>
  <conditionalFormatting sqref="P84:P91">
    <cfRule type="cellIs" dxfId="3690" priority="406" operator="greaterThan">
      <formula>0</formula>
    </cfRule>
  </conditionalFormatting>
  <conditionalFormatting sqref="Q84:Q91">
    <cfRule type="cellIs" dxfId="3689" priority="405" operator="lessThan">
      <formula>0</formula>
    </cfRule>
  </conditionalFormatting>
  <conditionalFormatting sqref="R84:R91">
    <cfRule type="cellIs" dxfId="3688" priority="403" operator="lessThan">
      <formula>0.8</formula>
    </cfRule>
    <cfRule type="cellIs" dxfId="3687" priority="404" operator="greaterThan">
      <formula>1</formula>
    </cfRule>
  </conditionalFormatting>
  <conditionalFormatting sqref="R84:R91">
    <cfRule type="cellIs" dxfId="3686" priority="401" operator="greaterThan">
      <formula>1</formula>
    </cfRule>
    <cfRule type="cellIs" dxfId="3685" priority="402" operator="lessThan">
      <formula>0.8</formula>
    </cfRule>
  </conditionalFormatting>
  <conditionalFormatting sqref="P84:P91">
    <cfRule type="cellIs" dxfId="3684" priority="400" operator="greaterThan">
      <formula>0</formula>
    </cfRule>
  </conditionalFormatting>
  <conditionalFormatting sqref="Q84:Q91">
    <cfRule type="cellIs" dxfId="3683" priority="399" operator="lessThan">
      <formula>0</formula>
    </cfRule>
  </conditionalFormatting>
  <conditionalFormatting sqref="R84:R91">
    <cfRule type="cellIs" dxfId="3682" priority="397" operator="lessThan">
      <formula>0.8</formula>
    </cfRule>
    <cfRule type="cellIs" dxfId="3681" priority="398" operator="greaterThan">
      <formula>1</formula>
    </cfRule>
  </conditionalFormatting>
  <conditionalFormatting sqref="R84:R91">
    <cfRule type="cellIs" dxfId="3680" priority="395" operator="greaterThan">
      <formula>1</formula>
    </cfRule>
    <cfRule type="cellIs" dxfId="3679" priority="396" operator="lessThan">
      <formula>0.8</formula>
    </cfRule>
  </conditionalFormatting>
  <conditionalFormatting sqref="P84:P91">
    <cfRule type="cellIs" dxfId="3678" priority="394" operator="greaterThan">
      <formula>0</formula>
    </cfRule>
  </conditionalFormatting>
  <conditionalFormatting sqref="Q84:Q91">
    <cfRule type="cellIs" dxfId="3677" priority="393" operator="lessThan">
      <formula>0</formula>
    </cfRule>
  </conditionalFormatting>
  <conditionalFormatting sqref="R84:R91">
    <cfRule type="cellIs" dxfId="3676" priority="391" operator="lessThan">
      <formula>0.8</formula>
    </cfRule>
    <cfRule type="cellIs" dxfId="3675" priority="392" operator="greaterThan">
      <formula>1</formula>
    </cfRule>
  </conditionalFormatting>
  <conditionalFormatting sqref="R84:R91">
    <cfRule type="cellIs" dxfId="3674" priority="389" operator="greaterThan">
      <formula>1</formula>
    </cfRule>
    <cfRule type="cellIs" dxfId="3673" priority="390" operator="lessThan">
      <formula>0.8</formula>
    </cfRule>
  </conditionalFormatting>
  <conditionalFormatting sqref="P84:P91">
    <cfRule type="cellIs" dxfId="3672" priority="388" operator="greaterThan">
      <formula>0</formula>
    </cfRule>
  </conditionalFormatting>
  <conditionalFormatting sqref="Q84:Q91">
    <cfRule type="cellIs" dxfId="3671" priority="387" operator="lessThan">
      <formula>0</formula>
    </cfRule>
  </conditionalFormatting>
  <conditionalFormatting sqref="R84:R91">
    <cfRule type="cellIs" dxfId="3670" priority="385" operator="lessThan">
      <formula>0.8</formula>
    </cfRule>
    <cfRule type="cellIs" dxfId="3669" priority="386" operator="greaterThan">
      <formula>1</formula>
    </cfRule>
  </conditionalFormatting>
  <conditionalFormatting sqref="R84:R91">
    <cfRule type="cellIs" dxfId="3668" priority="383" operator="greaterThan">
      <formula>1</formula>
    </cfRule>
    <cfRule type="cellIs" dxfId="3667" priority="384" operator="lessThan">
      <formula>0.8</formula>
    </cfRule>
  </conditionalFormatting>
  <conditionalFormatting sqref="P84:P91">
    <cfRule type="cellIs" dxfId="3666" priority="382" operator="greaterThan">
      <formula>0</formula>
    </cfRule>
  </conditionalFormatting>
  <conditionalFormatting sqref="Q84:Q91">
    <cfRule type="cellIs" dxfId="3665" priority="381" operator="lessThan">
      <formula>0</formula>
    </cfRule>
  </conditionalFormatting>
  <conditionalFormatting sqref="R84:R91">
    <cfRule type="cellIs" dxfId="3664" priority="379" operator="lessThan">
      <formula>0.8</formula>
    </cfRule>
    <cfRule type="cellIs" dxfId="3663" priority="380" operator="greaterThan">
      <formula>1</formula>
    </cfRule>
  </conditionalFormatting>
  <conditionalFormatting sqref="R84:R91">
    <cfRule type="cellIs" dxfId="3662" priority="377" operator="greaterThan">
      <formula>1</formula>
    </cfRule>
    <cfRule type="cellIs" dxfId="3661" priority="378" operator="lessThan">
      <formula>0.8</formula>
    </cfRule>
  </conditionalFormatting>
  <conditionalFormatting sqref="P84:P91">
    <cfRule type="cellIs" dxfId="3660" priority="376" operator="greaterThan">
      <formula>0</formula>
    </cfRule>
  </conditionalFormatting>
  <conditionalFormatting sqref="Q84:Q91">
    <cfRule type="cellIs" dxfId="3659" priority="375" operator="lessThan">
      <formula>0</formula>
    </cfRule>
  </conditionalFormatting>
  <conditionalFormatting sqref="R84:R91">
    <cfRule type="cellIs" dxfId="3658" priority="373" operator="lessThan">
      <formula>0.8</formula>
    </cfRule>
    <cfRule type="cellIs" dxfId="3657" priority="374" operator="greaterThan">
      <formula>1</formula>
    </cfRule>
  </conditionalFormatting>
  <conditionalFormatting sqref="R84:R91">
    <cfRule type="cellIs" dxfId="3656" priority="371" operator="greaterThan">
      <formula>1</formula>
    </cfRule>
    <cfRule type="cellIs" dxfId="3655" priority="372" operator="lessThan">
      <formula>0.8</formula>
    </cfRule>
  </conditionalFormatting>
  <conditionalFormatting sqref="P84:P91">
    <cfRule type="cellIs" dxfId="3654" priority="370" operator="greaterThan">
      <formula>0</formula>
    </cfRule>
  </conditionalFormatting>
  <conditionalFormatting sqref="P84:P91">
    <cfRule type="cellIs" dxfId="3653" priority="364" operator="greaterThan">
      <formula>0</formula>
    </cfRule>
  </conditionalFormatting>
  <conditionalFormatting sqref="Q84:Q91">
    <cfRule type="cellIs" dxfId="3652" priority="369" operator="lessThan">
      <formula>0</formula>
    </cfRule>
  </conditionalFormatting>
  <conditionalFormatting sqref="R84:R91">
    <cfRule type="cellIs" dxfId="3651" priority="367" operator="lessThan">
      <formula>0.8</formula>
    </cfRule>
    <cfRule type="cellIs" dxfId="3650" priority="368" operator="greaterThan">
      <formula>1</formula>
    </cfRule>
  </conditionalFormatting>
  <conditionalFormatting sqref="R84:R91">
    <cfRule type="cellIs" dxfId="3649" priority="365" operator="greaterThan">
      <formula>1</formula>
    </cfRule>
    <cfRule type="cellIs" dxfId="3648" priority="366" operator="lessThan">
      <formula>0.8</formula>
    </cfRule>
  </conditionalFormatting>
  <conditionalFormatting sqref="P84:P91">
    <cfRule type="cellIs" dxfId="3647" priority="358" operator="greaterThan">
      <formula>0</formula>
    </cfRule>
  </conditionalFormatting>
  <conditionalFormatting sqref="Q84:Q91">
    <cfRule type="cellIs" dxfId="3646" priority="363" operator="lessThan">
      <formula>0</formula>
    </cfRule>
  </conditionalFormatting>
  <conditionalFormatting sqref="R84:R91">
    <cfRule type="cellIs" dxfId="3645" priority="361" operator="lessThan">
      <formula>0.8</formula>
    </cfRule>
    <cfRule type="cellIs" dxfId="3644" priority="362" operator="greaterThan">
      <formula>1</formula>
    </cfRule>
  </conditionalFormatting>
  <conditionalFormatting sqref="R84:R91">
    <cfRule type="cellIs" dxfId="3643" priority="359" operator="greaterThan">
      <formula>1</formula>
    </cfRule>
    <cfRule type="cellIs" dxfId="3642" priority="360" operator="lessThan">
      <formula>0.8</formula>
    </cfRule>
  </conditionalFormatting>
  <conditionalFormatting sqref="R84:R91">
    <cfRule type="cellIs" dxfId="3641" priority="355" operator="lessThan">
      <formula>0.8</formula>
    </cfRule>
    <cfRule type="cellIs" dxfId="3640" priority="356" operator="greaterThan">
      <formula>1</formula>
    </cfRule>
  </conditionalFormatting>
  <conditionalFormatting sqref="R84:R91">
    <cfRule type="cellIs" dxfId="3639" priority="353" operator="greaterThan">
      <formula>1</formula>
    </cfRule>
    <cfRule type="cellIs" dxfId="3638" priority="354" operator="lessThan">
      <formula>0.8</formula>
    </cfRule>
  </conditionalFormatting>
  <conditionalFormatting sqref="P84:P91">
    <cfRule type="cellIs" dxfId="3637" priority="352" operator="greaterThan">
      <formula>0</formula>
    </cfRule>
  </conditionalFormatting>
  <conditionalFormatting sqref="Q84:Q91">
    <cfRule type="cellIs" dxfId="3636" priority="357" operator="lessThan">
      <formula>0</formula>
    </cfRule>
  </conditionalFormatting>
  <conditionalFormatting sqref="Q84:Q91">
    <cfRule type="cellIs" dxfId="3635" priority="351" operator="lessThan">
      <formula>0</formula>
    </cfRule>
  </conditionalFormatting>
  <conditionalFormatting sqref="R84:R91">
    <cfRule type="cellIs" dxfId="3634" priority="349" operator="lessThan">
      <formula>0.8</formula>
    </cfRule>
    <cfRule type="cellIs" dxfId="3633" priority="350" operator="greaterThan">
      <formula>1</formula>
    </cfRule>
  </conditionalFormatting>
  <conditionalFormatting sqref="R84:R91">
    <cfRule type="cellIs" dxfId="3632" priority="347" operator="greaterThan">
      <formula>1</formula>
    </cfRule>
    <cfRule type="cellIs" dxfId="3631" priority="348" operator="lessThan">
      <formula>0.8</formula>
    </cfRule>
  </conditionalFormatting>
  <conditionalFormatting sqref="P84:P91">
    <cfRule type="cellIs" dxfId="3630" priority="346" operator="greaterThan">
      <formula>0</formula>
    </cfRule>
  </conditionalFormatting>
  <conditionalFormatting sqref="P84:P91">
    <cfRule type="cellIs" dxfId="3629" priority="340" operator="greaterThan">
      <formula>0</formula>
    </cfRule>
  </conditionalFormatting>
  <conditionalFormatting sqref="Q84:Q91">
    <cfRule type="cellIs" dxfId="3628" priority="345" operator="lessThan">
      <formula>0</formula>
    </cfRule>
  </conditionalFormatting>
  <conditionalFormatting sqref="R84:R91">
    <cfRule type="cellIs" dxfId="3627" priority="343" operator="lessThan">
      <formula>0.8</formula>
    </cfRule>
    <cfRule type="cellIs" dxfId="3626" priority="344" operator="greaterThan">
      <formula>1</formula>
    </cfRule>
  </conditionalFormatting>
  <conditionalFormatting sqref="R84:R91">
    <cfRule type="cellIs" dxfId="3625" priority="341" operator="greaterThan">
      <formula>1</formula>
    </cfRule>
    <cfRule type="cellIs" dxfId="3624" priority="342" operator="lessThan">
      <formula>0.8</formula>
    </cfRule>
  </conditionalFormatting>
  <conditionalFormatting sqref="P84:P91">
    <cfRule type="cellIs" dxfId="3623" priority="334" operator="greaterThan">
      <formula>0</formula>
    </cfRule>
  </conditionalFormatting>
  <conditionalFormatting sqref="Q84:Q91">
    <cfRule type="cellIs" dxfId="3622" priority="339" operator="lessThan">
      <formula>0</formula>
    </cfRule>
  </conditionalFormatting>
  <conditionalFormatting sqref="R84:R91">
    <cfRule type="cellIs" dxfId="3621" priority="337" operator="lessThan">
      <formula>0.8</formula>
    </cfRule>
    <cfRule type="cellIs" dxfId="3620" priority="338" operator="greaterThan">
      <formula>1</formula>
    </cfRule>
  </conditionalFormatting>
  <conditionalFormatting sqref="R84:R91">
    <cfRule type="cellIs" dxfId="3619" priority="335" operator="greaterThan">
      <formula>1</formula>
    </cfRule>
    <cfRule type="cellIs" dxfId="3618" priority="336" operator="lessThan">
      <formula>0.8</formula>
    </cfRule>
  </conditionalFormatting>
  <conditionalFormatting sqref="R84:R91">
    <cfRule type="cellIs" dxfId="3617" priority="331" operator="lessThan">
      <formula>0.8</formula>
    </cfRule>
    <cfRule type="cellIs" dxfId="3616" priority="332" operator="greaterThan">
      <formula>1</formula>
    </cfRule>
  </conditionalFormatting>
  <conditionalFormatting sqref="R84:R91">
    <cfRule type="cellIs" dxfId="3615" priority="329" operator="greaterThan">
      <formula>1</formula>
    </cfRule>
    <cfRule type="cellIs" dxfId="3614" priority="330" operator="lessThan">
      <formula>0.8</formula>
    </cfRule>
  </conditionalFormatting>
  <conditionalFormatting sqref="P84:P91">
    <cfRule type="cellIs" dxfId="3613" priority="328" operator="greaterThan">
      <formula>0</formula>
    </cfRule>
  </conditionalFormatting>
  <conditionalFormatting sqref="Q84:Q91">
    <cfRule type="cellIs" dxfId="3612" priority="333" operator="lessThan">
      <formula>0</formula>
    </cfRule>
  </conditionalFormatting>
  <conditionalFormatting sqref="P84:P91">
    <cfRule type="cellIs" dxfId="3611" priority="322" operator="greaterThan">
      <formula>0</formula>
    </cfRule>
  </conditionalFormatting>
  <conditionalFormatting sqref="Q84:Q91">
    <cfRule type="cellIs" dxfId="3610" priority="327" operator="lessThan">
      <formula>0</formula>
    </cfRule>
  </conditionalFormatting>
  <conditionalFormatting sqref="R84:R91">
    <cfRule type="cellIs" dxfId="3609" priority="325" operator="lessThan">
      <formula>0.8</formula>
    </cfRule>
    <cfRule type="cellIs" dxfId="3608" priority="326" operator="greaterThan">
      <formula>1</formula>
    </cfRule>
  </conditionalFormatting>
  <conditionalFormatting sqref="R84:R91">
    <cfRule type="cellIs" dxfId="3607" priority="323" operator="greaterThan">
      <formula>1</formula>
    </cfRule>
    <cfRule type="cellIs" dxfId="3606" priority="324" operator="lessThan">
      <formula>0.8</formula>
    </cfRule>
  </conditionalFormatting>
  <conditionalFormatting sqref="R84:R91">
    <cfRule type="cellIs" dxfId="3605" priority="319" operator="lessThan">
      <formula>0.8</formula>
    </cfRule>
    <cfRule type="cellIs" dxfId="3604" priority="320" operator="greaterThan">
      <formula>1</formula>
    </cfRule>
  </conditionalFormatting>
  <conditionalFormatting sqref="R84:R91">
    <cfRule type="cellIs" dxfId="3603" priority="317" operator="greaterThan">
      <formula>1</formula>
    </cfRule>
    <cfRule type="cellIs" dxfId="3602" priority="318" operator="lessThan">
      <formula>0.8</formula>
    </cfRule>
  </conditionalFormatting>
  <conditionalFormatting sqref="P84:P91">
    <cfRule type="cellIs" dxfId="3601" priority="316" operator="greaterThan">
      <formula>0</formula>
    </cfRule>
  </conditionalFormatting>
  <conditionalFormatting sqref="Q84:Q91">
    <cfRule type="cellIs" dxfId="3600" priority="321" operator="lessThan">
      <formula>0</formula>
    </cfRule>
  </conditionalFormatting>
  <conditionalFormatting sqref="R84:R91">
    <cfRule type="cellIs" dxfId="3599" priority="313" operator="lessThan">
      <formula>0.8</formula>
    </cfRule>
    <cfRule type="cellIs" dxfId="3598" priority="314" operator="greaterThan">
      <formula>1</formula>
    </cfRule>
  </conditionalFormatting>
  <conditionalFormatting sqref="R84:R91">
    <cfRule type="cellIs" dxfId="3597" priority="311" operator="greaterThan">
      <formula>1</formula>
    </cfRule>
    <cfRule type="cellIs" dxfId="3596" priority="312" operator="lessThan">
      <formula>0.8</formula>
    </cfRule>
  </conditionalFormatting>
  <conditionalFormatting sqref="P84:P91">
    <cfRule type="cellIs" dxfId="3595" priority="310" operator="greaterThan">
      <formula>0</formula>
    </cfRule>
  </conditionalFormatting>
  <conditionalFormatting sqref="Q84:Q91">
    <cfRule type="cellIs" dxfId="3594" priority="315" operator="lessThan">
      <formula>0</formula>
    </cfRule>
  </conditionalFormatting>
  <conditionalFormatting sqref="Q84:Q91">
    <cfRule type="cellIs" dxfId="3593" priority="309" operator="lessThan">
      <formula>0</formula>
    </cfRule>
  </conditionalFormatting>
  <conditionalFormatting sqref="R84:R91">
    <cfRule type="cellIs" dxfId="3592" priority="307" operator="lessThan">
      <formula>0.8</formula>
    </cfRule>
    <cfRule type="cellIs" dxfId="3591" priority="308" operator="greaterThan">
      <formula>1</formula>
    </cfRule>
  </conditionalFormatting>
  <conditionalFormatting sqref="R84:R91">
    <cfRule type="cellIs" dxfId="3590" priority="305" operator="greaterThan">
      <formula>1</formula>
    </cfRule>
    <cfRule type="cellIs" dxfId="3589" priority="306" operator="lessThan">
      <formula>0.8</formula>
    </cfRule>
  </conditionalFormatting>
  <conditionalFormatting sqref="P84:P91">
    <cfRule type="cellIs" dxfId="3588" priority="304" operator="greaterThan">
      <formula>0</formula>
    </cfRule>
  </conditionalFormatting>
  <conditionalFormatting sqref="Q84:Q91">
    <cfRule type="cellIs" dxfId="3587" priority="298" operator="lessThan">
      <formula>0</formula>
    </cfRule>
  </conditionalFormatting>
  <conditionalFormatting sqref="R84:R91">
    <cfRule type="cellIs" dxfId="3586" priority="302" operator="lessThan">
      <formula>0.8</formula>
    </cfRule>
    <cfRule type="cellIs" dxfId="3585" priority="303" operator="greaterThan">
      <formula>1</formula>
    </cfRule>
  </conditionalFormatting>
  <conditionalFormatting sqref="R84:R91">
    <cfRule type="cellIs" dxfId="3584" priority="300" operator="greaterThan">
      <formula>1</formula>
    </cfRule>
    <cfRule type="cellIs" dxfId="3583" priority="301" operator="lessThan">
      <formula>0.8</formula>
    </cfRule>
  </conditionalFormatting>
  <conditionalFormatting sqref="P84:P91">
    <cfRule type="cellIs" dxfId="3582" priority="299" operator="greaterThan">
      <formula>0</formula>
    </cfRule>
  </conditionalFormatting>
  <conditionalFormatting sqref="Q84:Q91">
    <cfRule type="cellIs" dxfId="3581" priority="297" operator="lessThan">
      <formula>0</formula>
    </cfRule>
  </conditionalFormatting>
  <conditionalFormatting sqref="R84:R91">
    <cfRule type="cellIs" dxfId="3580" priority="295" operator="lessThan">
      <formula>0.8</formula>
    </cfRule>
    <cfRule type="cellIs" dxfId="3579" priority="296" operator="greaterThan">
      <formula>1</formula>
    </cfRule>
  </conditionalFormatting>
  <conditionalFormatting sqref="R84:R91">
    <cfRule type="cellIs" dxfId="3578" priority="293" operator="greaterThan">
      <formula>1</formula>
    </cfRule>
    <cfRule type="cellIs" dxfId="3577" priority="294" operator="lessThan">
      <formula>0.8</formula>
    </cfRule>
  </conditionalFormatting>
  <conditionalFormatting sqref="P84:P91">
    <cfRule type="cellIs" dxfId="3576" priority="292" operator="greaterThan">
      <formula>0</formula>
    </cfRule>
  </conditionalFormatting>
  <conditionalFormatting sqref="Q84:Q91">
    <cfRule type="cellIs" dxfId="3575" priority="291" operator="lessThan">
      <formula>0</formula>
    </cfRule>
  </conditionalFormatting>
  <conditionalFormatting sqref="R84:R91">
    <cfRule type="cellIs" dxfId="3574" priority="289" operator="lessThan">
      <formula>0.8</formula>
    </cfRule>
    <cfRule type="cellIs" dxfId="3573" priority="290" operator="greaterThan">
      <formula>1</formula>
    </cfRule>
  </conditionalFormatting>
  <conditionalFormatting sqref="R84:R91">
    <cfRule type="cellIs" dxfId="3572" priority="287" operator="greaterThan">
      <formula>1</formula>
    </cfRule>
    <cfRule type="cellIs" dxfId="3571" priority="288" operator="lessThan">
      <formula>0.8</formula>
    </cfRule>
  </conditionalFormatting>
  <conditionalFormatting sqref="P84:P91">
    <cfRule type="cellIs" dxfId="3570" priority="286" operator="greaterThan">
      <formula>0</formula>
    </cfRule>
  </conditionalFormatting>
  <conditionalFormatting sqref="Q84:Q91">
    <cfRule type="cellIs" dxfId="3569" priority="285" operator="lessThan">
      <formula>0</formula>
    </cfRule>
  </conditionalFormatting>
  <conditionalFormatting sqref="R84:R91">
    <cfRule type="cellIs" dxfId="3568" priority="283" operator="lessThan">
      <formula>0.8</formula>
    </cfRule>
    <cfRule type="cellIs" dxfId="3567" priority="284" operator="greaterThan">
      <formula>1</formula>
    </cfRule>
  </conditionalFormatting>
  <conditionalFormatting sqref="R84:R91">
    <cfRule type="cellIs" dxfId="3566" priority="281" operator="greaterThan">
      <formula>1</formula>
    </cfRule>
    <cfRule type="cellIs" dxfId="3565" priority="282" operator="lessThan">
      <formula>0.8</formula>
    </cfRule>
  </conditionalFormatting>
  <conditionalFormatting sqref="P84:P91">
    <cfRule type="cellIs" dxfId="3564" priority="280" operator="greaterThan">
      <formula>0</formula>
    </cfRule>
  </conditionalFormatting>
  <conditionalFormatting sqref="Q84:Q91">
    <cfRule type="cellIs" dxfId="3563" priority="279" operator="lessThan">
      <formula>0</formula>
    </cfRule>
  </conditionalFormatting>
  <conditionalFormatting sqref="R84:R91">
    <cfRule type="cellIs" dxfId="3562" priority="277" operator="lessThan">
      <formula>0.8</formula>
    </cfRule>
    <cfRule type="cellIs" dxfId="3561" priority="278" operator="greaterThan">
      <formula>1</formula>
    </cfRule>
  </conditionalFormatting>
  <conditionalFormatting sqref="R84:R91">
    <cfRule type="cellIs" dxfId="3560" priority="275" operator="greaterThan">
      <formula>1</formula>
    </cfRule>
    <cfRule type="cellIs" dxfId="3559" priority="276" operator="lessThan">
      <formula>0.8</formula>
    </cfRule>
  </conditionalFormatting>
  <conditionalFormatting sqref="P84:P91">
    <cfRule type="cellIs" dxfId="3558" priority="274" operator="greaterThan">
      <formula>0</formula>
    </cfRule>
  </conditionalFormatting>
  <conditionalFormatting sqref="Q84:Q91">
    <cfRule type="cellIs" dxfId="3557" priority="273" operator="lessThan">
      <formula>0</formula>
    </cfRule>
  </conditionalFormatting>
  <conditionalFormatting sqref="R84:R91">
    <cfRule type="cellIs" dxfId="3556" priority="271" operator="lessThan">
      <formula>0.8</formula>
    </cfRule>
    <cfRule type="cellIs" dxfId="3555" priority="272" operator="greaterThan">
      <formula>1</formula>
    </cfRule>
  </conditionalFormatting>
  <conditionalFormatting sqref="R84:R91">
    <cfRule type="cellIs" dxfId="3554" priority="269" operator="greaterThan">
      <formula>1</formula>
    </cfRule>
    <cfRule type="cellIs" dxfId="3553" priority="270" operator="lessThan">
      <formula>0.8</formula>
    </cfRule>
  </conditionalFormatting>
  <conditionalFormatting sqref="P84:P91">
    <cfRule type="cellIs" dxfId="3552" priority="268" operator="greaterThan">
      <formula>0</formula>
    </cfRule>
  </conditionalFormatting>
  <conditionalFormatting sqref="P84:P91">
    <cfRule type="cellIs" dxfId="3551" priority="262" operator="greaterThan">
      <formula>0</formula>
    </cfRule>
  </conditionalFormatting>
  <conditionalFormatting sqref="Q84:Q91">
    <cfRule type="cellIs" dxfId="3550" priority="267" operator="lessThan">
      <formula>0</formula>
    </cfRule>
  </conditionalFormatting>
  <conditionalFormatting sqref="R84:R91">
    <cfRule type="cellIs" dxfId="3549" priority="265" operator="lessThan">
      <formula>0.8</formula>
    </cfRule>
    <cfRule type="cellIs" dxfId="3548" priority="266" operator="greaterThan">
      <formula>1</formula>
    </cfRule>
  </conditionalFormatting>
  <conditionalFormatting sqref="R84:R91">
    <cfRule type="cellIs" dxfId="3547" priority="263" operator="greaterThan">
      <formula>1</formula>
    </cfRule>
    <cfRule type="cellIs" dxfId="3546" priority="264" operator="lessThan">
      <formula>0.8</formula>
    </cfRule>
  </conditionalFormatting>
  <conditionalFormatting sqref="P84:P91">
    <cfRule type="cellIs" dxfId="3545" priority="256" operator="greaterThan">
      <formula>0</formula>
    </cfRule>
  </conditionalFormatting>
  <conditionalFormatting sqref="Q84:Q91">
    <cfRule type="cellIs" dxfId="3544" priority="261" operator="lessThan">
      <formula>0</formula>
    </cfRule>
  </conditionalFormatting>
  <conditionalFormatting sqref="R84:R91">
    <cfRule type="cellIs" dxfId="3543" priority="259" operator="lessThan">
      <formula>0.8</formula>
    </cfRule>
    <cfRule type="cellIs" dxfId="3542" priority="260" operator="greaterThan">
      <formula>1</formula>
    </cfRule>
  </conditionalFormatting>
  <conditionalFormatting sqref="R84:R91">
    <cfRule type="cellIs" dxfId="3541" priority="257" operator="greaterThan">
      <formula>1</formula>
    </cfRule>
    <cfRule type="cellIs" dxfId="3540" priority="258" operator="lessThan">
      <formula>0.8</formula>
    </cfRule>
  </conditionalFormatting>
  <conditionalFormatting sqref="R84:R91">
    <cfRule type="cellIs" dxfId="3539" priority="253" operator="lessThan">
      <formula>0.8</formula>
    </cfRule>
    <cfRule type="cellIs" dxfId="3538" priority="254" operator="greaterThan">
      <formula>1</formula>
    </cfRule>
  </conditionalFormatting>
  <conditionalFormatting sqref="R84:R91">
    <cfRule type="cellIs" dxfId="3537" priority="251" operator="greaterThan">
      <formula>1</formula>
    </cfRule>
    <cfRule type="cellIs" dxfId="3536" priority="252" operator="lessThan">
      <formula>0.8</formula>
    </cfRule>
  </conditionalFormatting>
  <conditionalFormatting sqref="P84:P91">
    <cfRule type="cellIs" dxfId="3535" priority="250" operator="greaterThan">
      <formula>0</formula>
    </cfRule>
  </conditionalFormatting>
  <conditionalFormatting sqref="Q84:Q91">
    <cfRule type="cellIs" dxfId="3534" priority="255" operator="lessThan">
      <formula>0</formula>
    </cfRule>
  </conditionalFormatting>
  <conditionalFormatting sqref="Q84:Q91">
    <cfRule type="cellIs" dxfId="3533" priority="249" operator="lessThan">
      <formula>0</formula>
    </cfRule>
  </conditionalFormatting>
  <conditionalFormatting sqref="R84:R91">
    <cfRule type="cellIs" dxfId="3532" priority="247" operator="lessThan">
      <formula>0.8</formula>
    </cfRule>
    <cfRule type="cellIs" dxfId="3531" priority="248" operator="greaterThan">
      <formula>1</formula>
    </cfRule>
  </conditionalFormatting>
  <conditionalFormatting sqref="R84:R91">
    <cfRule type="cellIs" dxfId="3530" priority="245" operator="greaterThan">
      <formula>1</formula>
    </cfRule>
    <cfRule type="cellIs" dxfId="3529" priority="246" operator="lessThan">
      <formula>0.8</formula>
    </cfRule>
  </conditionalFormatting>
  <conditionalFormatting sqref="P84:P91">
    <cfRule type="cellIs" dxfId="3528" priority="244" operator="greaterThan">
      <formula>0</formula>
    </cfRule>
  </conditionalFormatting>
  <conditionalFormatting sqref="Q84:Q91">
    <cfRule type="cellIs" dxfId="3527" priority="243" operator="lessThan">
      <formula>0</formula>
    </cfRule>
  </conditionalFormatting>
  <conditionalFormatting sqref="R84:R91">
    <cfRule type="cellIs" dxfId="3526" priority="241" operator="lessThan">
      <formula>0.8</formula>
    </cfRule>
    <cfRule type="cellIs" dxfId="3525" priority="242" operator="greaterThan">
      <formula>1</formula>
    </cfRule>
  </conditionalFormatting>
  <conditionalFormatting sqref="R84:R91">
    <cfRule type="cellIs" dxfId="3524" priority="239" operator="greaterThan">
      <formula>1</formula>
    </cfRule>
    <cfRule type="cellIs" dxfId="3523" priority="240" operator="lessThan">
      <formula>0.8</formula>
    </cfRule>
  </conditionalFormatting>
  <conditionalFormatting sqref="P84:P91">
    <cfRule type="cellIs" dxfId="3522" priority="238" operator="greaterThan">
      <formula>0</formula>
    </cfRule>
  </conditionalFormatting>
  <conditionalFormatting sqref="Q84:Q91">
    <cfRule type="cellIs" dxfId="3521" priority="237" operator="lessThan">
      <formula>0</formula>
    </cfRule>
  </conditionalFormatting>
  <conditionalFormatting sqref="R84:R91">
    <cfRule type="cellIs" dxfId="3520" priority="235" operator="lessThan">
      <formula>0.8</formula>
    </cfRule>
    <cfRule type="cellIs" dxfId="3519" priority="236" operator="greaterThan">
      <formula>1</formula>
    </cfRule>
  </conditionalFormatting>
  <conditionalFormatting sqref="R84:R91">
    <cfRule type="cellIs" dxfId="3518" priority="233" operator="greaterThan">
      <formula>1</formula>
    </cfRule>
    <cfRule type="cellIs" dxfId="3517" priority="234" operator="lessThan">
      <formula>0.8</formula>
    </cfRule>
  </conditionalFormatting>
  <conditionalFormatting sqref="P84:P91">
    <cfRule type="cellIs" dxfId="3516" priority="232" operator="greaterThan">
      <formula>0</formula>
    </cfRule>
  </conditionalFormatting>
  <conditionalFormatting sqref="Q84:Q91">
    <cfRule type="cellIs" dxfId="3515" priority="231" operator="lessThan">
      <formula>0</formula>
    </cfRule>
  </conditionalFormatting>
  <conditionalFormatting sqref="R84:R91">
    <cfRule type="cellIs" dxfId="3514" priority="229" operator="lessThan">
      <formula>0.8</formula>
    </cfRule>
    <cfRule type="cellIs" dxfId="3513" priority="230" operator="greaterThan">
      <formula>1</formula>
    </cfRule>
  </conditionalFormatting>
  <conditionalFormatting sqref="R84:R91">
    <cfRule type="cellIs" dxfId="3512" priority="227" operator="greaterThan">
      <formula>1</formula>
    </cfRule>
    <cfRule type="cellIs" dxfId="3511" priority="228" operator="lessThan">
      <formula>0.8</formula>
    </cfRule>
  </conditionalFormatting>
  <conditionalFormatting sqref="P84:P91">
    <cfRule type="cellIs" dxfId="3510" priority="226" operator="greaterThan">
      <formula>0</formula>
    </cfRule>
  </conditionalFormatting>
  <conditionalFormatting sqref="P84:P91">
    <cfRule type="cellIs" dxfId="3509" priority="220" operator="greaterThan">
      <formula>0</formula>
    </cfRule>
  </conditionalFormatting>
  <conditionalFormatting sqref="Q84:Q91">
    <cfRule type="cellIs" dxfId="3508" priority="225" operator="lessThan">
      <formula>0</formula>
    </cfRule>
  </conditionalFormatting>
  <conditionalFormatting sqref="R84:R91">
    <cfRule type="cellIs" dxfId="3507" priority="223" operator="lessThan">
      <formula>0.8</formula>
    </cfRule>
    <cfRule type="cellIs" dxfId="3506" priority="224" operator="greaterThan">
      <formula>1</formula>
    </cfRule>
  </conditionalFormatting>
  <conditionalFormatting sqref="R84:R91">
    <cfRule type="cellIs" dxfId="3505" priority="221" operator="greaterThan">
      <formula>1</formula>
    </cfRule>
    <cfRule type="cellIs" dxfId="3504" priority="222" operator="lessThan">
      <formula>0.8</formula>
    </cfRule>
  </conditionalFormatting>
  <conditionalFormatting sqref="P84:P91">
    <cfRule type="cellIs" dxfId="3503" priority="214" operator="greaterThan">
      <formula>0</formula>
    </cfRule>
  </conditionalFormatting>
  <conditionalFormatting sqref="Q84:Q91">
    <cfRule type="cellIs" dxfId="3502" priority="219" operator="lessThan">
      <formula>0</formula>
    </cfRule>
  </conditionalFormatting>
  <conditionalFormatting sqref="R84:R91">
    <cfRule type="cellIs" dxfId="3501" priority="217" operator="lessThan">
      <formula>0.8</formula>
    </cfRule>
    <cfRule type="cellIs" dxfId="3500" priority="218" operator="greaterThan">
      <formula>1</formula>
    </cfRule>
  </conditionalFormatting>
  <conditionalFormatting sqref="R84:R91">
    <cfRule type="cellIs" dxfId="3499" priority="215" operator="greaterThan">
      <formula>1</formula>
    </cfRule>
    <cfRule type="cellIs" dxfId="3498" priority="216" operator="lessThan">
      <formula>0.8</formula>
    </cfRule>
  </conditionalFormatting>
  <conditionalFormatting sqref="R84:R91">
    <cfRule type="cellIs" dxfId="3497" priority="211" operator="lessThan">
      <formula>0.8</formula>
    </cfRule>
    <cfRule type="cellIs" dxfId="3496" priority="212" operator="greaterThan">
      <formula>1</formula>
    </cfRule>
  </conditionalFormatting>
  <conditionalFormatting sqref="R84:R91">
    <cfRule type="cellIs" dxfId="3495" priority="209" operator="greaterThan">
      <formula>1</formula>
    </cfRule>
    <cfRule type="cellIs" dxfId="3494" priority="210" operator="lessThan">
      <formula>0.8</formula>
    </cfRule>
  </conditionalFormatting>
  <conditionalFormatting sqref="P84:P91">
    <cfRule type="cellIs" dxfId="3493" priority="208" operator="greaterThan">
      <formula>0</formula>
    </cfRule>
  </conditionalFormatting>
  <conditionalFormatting sqref="Q84:Q91">
    <cfRule type="cellIs" dxfId="3492" priority="213" operator="lessThan">
      <formula>0</formula>
    </cfRule>
  </conditionalFormatting>
  <conditionalFormatting sqref="Q84:Q91">
    <cfRule type="cellIs" dxfId="3491" priority="207" operator="lessThan">
      <formula>0</formula>
    </cfRule>
  </conditionalFormatting>
  <conditionalFormatting sqref="R84:R91">
    <cfRule type="cellIs" dxfId="3490" priority="205" operator="lessThan">
      <formula>0.8</formula>
    </cfRule>
    <cfRule type="cellIs" dxfId="3489" priority="206" operator="greaterThan">
      <formula>1</formula>
    </cfRule>
  </conditionalFormatting>
  <conditionalFormatting sqref="R84:R91">
    <cfRule type="cellIs" dxfId="3488" priority="203" operator="greaterThan">
      <formula>1</formula>
    </cfRule>
    <cfRule type="cellIs" dxfId="3487" priority="204" operator="lessThan">
      <formula>0.8</formula>
    </cfRule>
  </conditionalFormatting>
  <conditionalFormatting sqref="P84:P91">
    <cfRule type="cellIs" dxfId="3486" priority="202" operator="greaterThan">
      <formula>0</formula>
    </cfRule>
  </conditionalFormatting>
  <conditionalFormatting sqref="P84:P91">
    <cfRule type="cellIs" dxfId="3485" priority="196" operator="greaterThan">
      <formula>0</formula>
    </cfRule>
  </conditionalFormatting>
  <conditionalFormatting sqref="Q84:Q91">
    <cfRule type="cellIs" dxfId="3484" priority="201" operator="lessThan">
      <formula>0</formula>
    </cfRule>
  </conditionalFormatting>
  <conditionalFormatting sqref="R84:R91">
    <cfRule type="cellIs" dxfId="3483" priority="199" operator="lessThan">
      <formula>0.8</formula>
    </cfRule>
    <cfRule type="cellIs" dxfId="3482" priority="200" operator="greaterThan">
      <formula>1</formula>
    </cfRule>
  </conditionalFormatting>
  <conditionalFormatting sqref="R84:R91">
    <cfRule type="cellIs" dxfId="3481" priority="197" operator="greaterThan">
      <formula>1</formula>
    </cfRule>
    <cfRule type="cellIs" dxfId="3480" priority="198" operator="lessThan">
      <formula>0.8</formula>
    </cfRule>
  </conditionalFormatting>
  <conditionalFormatting sqref="P84:P91">
    <cfRule type="cellIs" dxfId="3479" priority="190" operator="greaterThan">
      <formula>0</formula>
    </cfRule>
  </conditionalFormatting>
  <conditionalFormatting sqref="Q84:Q91">
    <cfRule type="cellIs" dxfId="3478" priority="195" operator="lessThan">
      <formula>0</formula>
    </cfRule>
  </conditionalFormatting>
  <conditionalFormatting sqref="R84:R91">
    <cfRule type="cellIs" dxfId="3477" priority="193" operator="lessThan">
      <formula>0.8</formula>
    </cfRule>
    <cfRule type="cellIs" dxfId="3476" priority="194" operator="greaterThan">
      <formula>1</formula>
    </cfRule>
  </conditionalFormatting>
  <conditionalFormatting sqref="R84:R91">
    <cfRule type="cellIs" dxfId="3475" priority="191" operator="greaterThan">
      <formula>1</formula>
    </cfRule>
    <cfRule type="cellIs" dxfId="3474" priority="192" operator="lessThan">
      <formula>0.8</formula>
    </cfRule>
  </conditionalFormatting>
  <conditionalFormatting sqref="R84:R91">
    <cfRule type="cellIs" dxfId="3473" priority="187" operator="lessThan">
      <formula>0.8</formula>
    </cfRule>
    <cfRule type="cellIs" dxfId="3472" priority="188" operator="greaterThan">
      <formula>1</formula>
    </cfRule>
  </conditionalFormatting>
  <conditionalFormatting sqref="R84:R91">
    <cfRule type="cellIs" dxfId="3471" priority="185" operator="greaterThan">
      <formula>1</formula>
    </cfRule>
    <cfRule type="cellIs" dxfId="3470" priority="186" operator="lessThan">
      <formula>0.8</formula>
    </cfRule>
  </conditionalFormatting>
  <conditionalFormatting sqref="P84:P91">
    <cfRule type="cellIs" dxfId="3469" priority="184" operator="greaterThan">
      <formula>0</formula>
    </cfRule>
  </conditionalFormatting>
  <conditionalFormatting sqref="Q84:Q91">
    <cfRule type="cellIs" dxfId="3468" priority="189" operator="lessThan">
      <formula>0</formula>
    </cfRule>
  </conditionalFormatting>
  <conditionalFormatting sqref="P84:P91">
    <cfRule type="cellIs" dxfId="3467" priority="178" operator="greaterThan">
      <formula>0</formula>
    </cfRule>
  </conditionalFormatting>
  <conditionalFormatting sqref="Q84:Q91">
    <cfRule type="cellIs" dxfId="3466" priority="183" operator="lessThan">
      <formula>0</formula>
    </cfRule>
  </conditionalFormatting>
  <conditionalFormatting sqref="R84:R91">
    <cfRule type="cellIs" dxfId="3465" priority="181" operator="lessThan">
      <formula>0.8</formula>
    </cfRule>
    <cfRule type="cellIs" dxfId="3464" priority="182" operator="greaterThan">
      <formula>1</formula>
    </cfRule>
  </conditionalFormatting>
  <conditionalFormatting sqref="R84:R91">
    <cfRule type="cellIs" dxfId="3463" priority="179" operator="greaterThan">
      <formula>1</formula>
    </cfRule>
    <cfRule type="cellIs" dxfId="3462" priority="180" operator="lessThan">
      <formula>0.8</formula>
    </cfRule>
  </conditionalFormatting>
  <conditionalFormatting sqref="R84:R91">
    <cfRule type="cellIs" dxfId="3461" priority="175" operator="lessThan">
      <formula>0.8</formula>
    </cfRule>
    <cfRule type="cellIs" dxfId="3460" priority="176" operator="greaterThan">
      <formula>1</formula>
    </cfRule>
  </conditionalFormatting>
  <conditionalFormatting sqref="R84:R91">
    <cfRule type="cellIs" dxfId="3459" priority="173" operator="greaterThan">
      <formula>1</formula>
    </cfRule>
    <cfRule type="cellIs" dxfId="3458" priority="174" operator="lessThan">
      <formula>0.8</formula>
    </cfRule>
  </conditionalFormatting>
  <conditionalFormatting sqref="P84:P91">
    <cfRule type="cellIs" dxfId="3457" priority="172" operator="greaterThan">
      <formula>0</formula>
    </cfRule>
  </conditionalFormatting>
  <conditionalFormatting sqref="Q84:Q91">
    <cfRule type="cellIs" dxfId="3456" priority="177" operator="lessThan">
      <formula>0</formula>
    </cfRule>
  </conditionalFormatting>
  <conditionalFormatting sqref="R84:R91">
    <cfRule type="cellIs" dxfId="3455" priority="169" operator="lessThan">
      <formula>0.8</formula>
    </cfRule>
    <cfRule type="cellIs" dxfId="3454" priority="170" operator="greaterThan">
      <formula>1</formula>
    </cfRule>
  </conditionalFormatting>
  <conditionalFormatting sqref="R84:R91">
    <cfRule type="cellIs" dxfId="3453" priority="167" operator="greaterThan">
      <formula>1</formula>
    </cfRule>
    <cfRule type="cellIs" dxfId="3452" priority="168" operator="lessThan">
      <formula>0.8</formula>
    </cfRule>
  </conditionalFormatting>
  <conditionalFormatting sqref="P84:P91">
    <cfRule type="cellIs" dxfId="3451" priority="166" operator="greaterThan">
      <formula>0</formula>
    </cfRule>
  </conditionalFormatting>
  <conditionalFormatting sqref="Q84:Q91">
    <cfRule type="cellIs" dxfId="3450" priority="171" operator="lessThan">
      <formula>0</formula>
    </cfRule>
  </conditionalFormatting>
  <conditionalFormatting sqref="Q84:Q91">
    <cfRule type="cellIs" dxfId="3449" priority="165" operator="lessThan">
      <formula>0</formula>
    </cfRule>
  </conditionalFormatting>
  <conditionalFormatting sqref="R84:R91">
    <cfRule type="cellIs" dxfId="3448" priority="163" operator="lessThan">
      <formula>0.8</formula>
    </cfRule>
    <cfRule type="cellIs" dxfId="3447" priority="164" operator="greaterThan">
      <formula>1</formula>
    </cfRule>
  </conditionalFormatting>
  <conditionalFormatting sqref="R84:R91">
    <cfRule type="cellIs" dxfId="3446" priority="161" operator="greaterThan">
      <formula>1</formula>
    </cfRule>
    <cfRule type="cellIs" dxfId="3445" priority="162" operator="lessThan">
      <formula>0.8</formula>
    </cfRule>
  </conditionalFormatting>
  <conditionalFormatting sqref="P84:P91">
    <cfRule type="cellIs" dxfId="3444" priority="160" operator="greaterThan">
      <formula>0</formula>
    </cfRule>
  </conditionalFormatting>
  <conditionalFormatting sqref="Q84:Q91">
    <cfRule type="cellIs" dxfId="3443" priority="154" operator="lessThan">
      <formula>0</formula>
    </cfRule>
  </conditionalFormatting>
  <conditionalFormatting sqref="R84:R91">
    <cfRule type="cellIs" dxfId="3442" priority="158" operator="lessThan">
      <formula>0.8</formula>
    </cfRule>
    <cfRule type="cellIs" dxfId="3441" priority="159" operator="greaterThan">
      <formula>1</formula>
    </cfRule>
  </conditionalFormatting>
  <conditionalFormatting sqref="R84:R91">
    <cfRule type="cellIs" dxfId="3440" priority="156" operator="greaterThan">
      <formula>1</formula>
    </cfRule>
    <cfRule type="cellIs" dxfId="3439" priority="157" operator="lessThan">
      <formula>0.8</formula>
    </cfRule>
  </conditionalFormatting>
  <conditionalFormatting sqref="P84:P91">
    <cfRule type="cellIs" dxfId="3438" priority="155" operator="greaterThan">
      <formula>0</formula>
    </cfRule>
  </conditionalFormatting>
  <conditionalFormatting sqref="Q84:Q91">
    <cfRule type="cellIs" dxfId="3437" priority="153" operator="lessThan">
      <formula>0</formula>
    </cfRule>
  </conditionalFormatting>
  <conditionalFormatting sqref="R84:R91">
    <cfRule type="cellIs" dxfId="3436" priority="151" operator="lessThan">
      <formula>0.8</formula>
    </cfRule>
    <cfRule type="cellIs" dxfId="3435" priority="152" operator="greaterThan">
      <formula>1</formula>
    </cfRule>
  </conditionalFormatting>
  <conditionalFormatting sqref="R84:R91">
    <cfRule type="cellIs" dxfId="3434" priority="149" operator="greaterThan">
      <formula>1</formula>
    </cfRule>
    <cfRule type="cellIs" dxfId="3433" priority="150" operator="lessThan">
      <formula>0.8</formula>
    </cfRule>
  </conditionalFormatting>
  <conditionalFormatting sqref="P84:P91">
    <cfRule type="cellIs" dxfId="3432" priority="148" operator="greaterThan">
      <formula>0</formula>
    </cfRule>
  </conditionalFormatting>
  <conditionalFormatting sqref="Q84:Q91">
    <cfRule type="cellIs" dxfId="3431" priority="147" operator="lessThan">
      <formula>0</formula>
    </cfRule>
  </conditionalFormatting>
  <conditionalFormatting sqref="R84:R91">
    <cfRule type="cellIs" dxfId="3430" priority="145" operator="lessThan">
      <formula>0.8</formula>
    </cfRule>
    <cfRule type="cellIs" dxfId="3429" priority="146" operator="greaterThan">
      <formula>1</formula>
    </cfRule>
  </conditionalFormatting>
  <conditionalFormatting sqref="R84:R91">
    <cfRule type="cellIs" dxfId="3428" priority="143" operator="greaterThan">
      <formula>1</formula>
    </cfRule>
    <cfRule type="cellIs" dxfId="3427" priority="144" operator="lessThan">
      <formula>0.8</formula>
    </cfRule>
  </conditionalFormatting>
  <conditionalFormatting sqref="P84:P91">
    <cfRule type="cellIs" dxfId="3426" priority="142" operator="greaterThan">
      <formula>0</formula>
    </cfRule>
  </conditionalFormatting>
  <conditionalFormatting sqref="Q84:Q91">
    <cfRule type="cellIs" dxfId="3425" priority="141" operator="lessThan">
      <formula>0</formula>
    </cfRule>
  </conditionalFormatting>
  <conditionalFormatting sqref="R84:R91">
    <cfRule type="cellIs" dxfId="3424" priority="139" operator="lessThan">
      <formula>0.8</formula>
    </cfRule>
    <cfRule type="cellIs" dxfId="3423" priority="140" operator="greaterThan">
      <formula>1</formula>
    </cfRule>
  </conditionalFormatting>
  <conditionalFormatting sqref="R84:R91">
    <cfRule type="cellIs" dxfId="3422" priority="137" operator="greaterThan">
      <formula>1</formula>
    </cfRule>
    <cfRule type="cellIs" dxfId="3421" priority="138" operator="lessThan">
      <formula>0.8</formula>
    </cfRule>
  </conditionalFormatting>
  <conditionalFormatting sqref="P84:P91">
    <cfRule type="cellIs" dxfId="3420" priority="136" operator="greaterThan">
      <formula>0</formula>
    </cfRule>
  </conditionalFormatting>
  <conditionalFormatting sqref="Q84:Q91">
    <cfRule type="cellIs" dxfId="3419" priority="135" operator="lessThan">
      <formula>0</formula>
    </cfRule>
  </conditionalFormatting>
  <conditionalFormatting sqref="R84:R91">
    <cfRule type="cellIs" dxfId="3418" priority="133" operator="lessThan">
      <formula>0.8</formula>
    </cfRule>
    <cfRule type="cellIs" dxfId="3417" priority="134" operator="greaterThan">
      <formula>1</formula>
    </cfRule>
  </conditionalFormatting>
  <conditionalFormatting sqref="R84:R91">
    <cfRule type="cellIs" dxfId="3416" priority="131" operator="greaterThan">
      <formula>1</formula>
    </cfRule>
    <cfRule type="cellIs" dxfId="3415" priority="132" operator="lessThan">
      <formula>0.8</formula>
    </cfRule>
  </conditionalFormatting>
  <conditionalFormatting sqref="P84:P91">
    <cfRule type="cellIs" dxfId="3414" priority="130" operator="greaterThan">
      <formula>0</formula>
    </cfRule>
  </conditionalFormatting>
  <conditionalFormatting sqref="Q84:Q91">
    <cfRule type="cellIs" dxfId="3413" priority="129" operator="lessThan">
      <formula>0</formula>
    </cfRule>
  </conditionalFormatting>
  <conditionalFormatting sqref="R84:R91">
    <cfRule type="cellIs" dxfId="3412" priority="127" operator="lessThan">
      <formula>0.8</formula>
    </cfRule>
    <cfRule type="cellIs" dxfId="3411" priority="128" operator="greaterThan">
      <formula>1</formula>
    </cfRule>
  </conditionalFormatting>
  <conditionalFormatting sqref="R84:R91">
    <cfRule type="cellIs" dxfId="3410" priority="125" operator="greaterThan">
      <formula>1</formula>
    </cfRule>
    <cfRule type="cellIs" dxfId="3409" priority="126" operator="lessThan">
      <formula>0.8</formula>
    </cfRule>
  </conditionalFormatting>
  <conditionalFormatting sqref="P84:P91">
    <cfRule type="cellIs" dxfId="3408" priority="124" operator="greaterThan">
      <formula>0</formula>
    </cfRule>
  </conditionalFormatting>
  <conditionalFormatting sqref="P84:P91">
    <cfRule type="cellIs" dxfId="3407" priority="118" operator="greaterThan">
      <formula>0</formula>
    </cfRule>
  </conditionalFormatting>
  <conditionalFormatting sqref="Q84:Q91">
    <cfRule type="cellIs" dxfId="3406" priority="123" operator="lessThan">
      <formula>0</formula>
    </cfRule>
  </conditionalFormatting>
  <conditionalFormatting sqref="R84:R91">
    <cfRule type="cellIs" dxfId="3405" priority="121" operator="lessThan">
      <formula>0.8</formula>
    </cfRule>
    <cfRule type="cellIs" dxfId="3404" priority="122" operator="greaterThan">
      <formula>1</formula>
    </cfRule>
  </conditionalFormatting>
  <conditionalFormatting sqref="R84:R91">
    <cfRule type="cellIs" dxfId="3403" priority="119" operator="greaterThan">
      <formula>1</formula>
    </cfRule>
    <cfRule type="cellIs" dxfId="3402" priority="120" operator="lessThan">
      <formula>0.8</formula>
    </cfRule>
  </conditionalFormatting>
  <conditionalFormatting sqref="P84:P91">
    <cfRule type="cellIs" dxfId="3401" priority="112" operator="greaterThan">
      <formula>0</formula>
    </cfRule>
  </conditionalFormatting>
  <conditionalFormatting sqref="Q84:Q91">
    <cfRule type="cellIs" dxfId="3400" priority="117" operator="lessThan">
      <formula>0</formula>
    </cfRule>
  </conditionalFormatting>
  <conditionalFormatting sqref="R84:R91">
    <cfRule type="cellIs" dxfId="3399" priority="115" operator="lessThan">
      <formula>0.8</formula>
    </cfRule>
    <cfRule type="cellIs" dxfId="3398" priority="116" operator="greaterThan">
      <formula>1</formula>
    </cfRule>
  </conditionalFormatting>
  <conditionalFormatting sqref="R84:R91">
    <cfRule type="cellIs" dxfId="3397" priority="113" operator="greaterThan">
      <formula>1</formula>
    </cfRule>
    <cfRule type="cellIs" dxfId="3396" priority="114" operator="lessThan">
      <formula>0.8</formula>
    </cfRule>
  </conditionalFormatting>
  <conditionalFormatting sqref="R84:R91">
    <cfRule type="cellIs" dxfId="3395" priority="109" operator="lessThan">
      <formula>0.8</formula>
    </cfRule>
    <cfRule type="cellIs" dxfId="3394" priority="110" operator="greaterThan">
      <formula>1</formula>
    </cfRule>
  </conditionalFormatting>
  <conditionalFormatting sqref="R84:R91">
    <cfRule type="cellIs" dxfId="3393" priority="107" operator="greaterThan">
      <formula>1</formula>
    </cfRule>
    <cfRule type="cellIs" dxfId="3392" priority="108" operator="lessThan">
      <formula>0.8</formula>
    </cfRule>
  </conditionalFormatting>
  <conditionalFormatting sqref="P84:P91">
    <cfRule type="cellIs" dxfId="3391" priority="106" operator="greaterThan">
      <formula>0</formula>
    </cfRule>
  </conditionalFormatting>
  <conditionalFormatting sqref="Q84:Q91">
    <cfRule type="cellIs" dxfId="3390" priority="111" operator="lessThan">
      <formula>0</formula>
    </cfRule>
  </conditionalFormatting>
  <conditionalFormatting sqref="Q84:Q91">
    <cfRule type="cellIs" dxfId="3389" priority="100" operator="lessThan">
      <formula>0</formula>
    </cfRule>
  </conditionalFormatting>
  <conditionalFormatting sqref="P84:P91">
    <cfRule type="cellIs" dxfId="3388" priority="101" operator="greaterThan">
      <formula>0</formula>
    </cfRule>
  </conditionalFormatting>
  <conditionalFormatting sqref="R84:R91">
    <cfRule type="cellIs" dxfId="3387" priority="104" operator="lessThan">
      <formula>0.8</formula>
    </cfRule>
    <cfRule type="cellIs" dxfId="3386" priority="105" operator="greaterThan">
      <formula>1</formula>
    </cfRule>
  </conditionalFormatting>
  <conditionalFormatting sqref="R84:R91">
    <cfRule type="cellIs" dxfId="3385" priority="102" operator="greaterThan">
      <formula>1</formula>
    </cfRule>
    <cfRule type="cellIs" dxfId="3384" priority="103" operator="lessThan">
      <formula>0.8</formula>
    </cfRule>
  </conditionalFormatting>
  <conditionalFormatting sqref="Q84:Q91">
    <cfRule type="cellIs" dxfId="3383" priority="94" operator="lessThan">
      <formula>0</formula>
    </cfRule>
  </conditionalFormatting>
  <conditionalFormatting sqref="R84:R91">
    <cfRule type="cellIs" dxfId="3382" priority="98" operator="lessThan">
      <formula>0.8</formula>
    </cfRule>
    <cfRule type="cellIs" dxfId="3381" priority="99" operator="greaterThan">
      <formula>1</formula>
    </cfRule>
  </conditionalFormatting>
  <conditionalFormatting sqref="R84:R91">
    <cfRule type="cellIs" dxfId="3380" priority="96" operator="greaterThan">
      <formula>1</formula>
    </cfRule>
    <cfRule type="cellIs" dxfId="3379" priority="97" operator="lessThan">
      <formula>0.8</formula>
    </cfRule>
  </conditionalFormatting>
  <conditionalFormatting sqref="P84:P91">
    <cfRule type="cellIs" dxfId="3378" priority="95" operator="greaterThan">
      <formula>0</formula>
    </cfRule>
  </conditionalFormatting>
  <conditionalFormatting sqref="Q84:Q91">
    <cfRule type="cellIs" dxfId="3377" priority="93" operator="lessThan">
      <formula>0</formula>
    </cfRule>
  </conditionalFormatting>
  <conditionalFormatting sqref="R84:R91">
    <cfRule type="cellIs" dxfId="3376" priority="91" operator="lessThan">
      <formula>0.8</formula>
    </cfRule>
    <cfRule type="cellIs" dxfId="3375" priority="92" operator="greaterThan">
      <formula>1</formula>
    </cfRule>
  </conditionalFormatting>
  <conditionalFormatting sqref="R84:R91">
    <cfRule type="cellIs" dxfId="3374" priority="89" operator="greaterThan">
      <formula>1</formula>
    </cfRule>
    <cfRule type="cellIs" dxfId="3373" priority="90" operator="lessThan">
      <formula>0.8</formula>
    </cfRule>
  </conditionalFormatting>
  <conditionalFormatting sqref="P84:P91">
    <cfRule type="cellIs" dxfId="3372" priority="88" operator="greaterThan">
      <formula>0</formula>
    </cfRule>
  </conditionalFormatting>
  <conditionalFormatting sqref="Q84:Q91">
    <cfRule type="cellIs" dxfId="3371" priority="87" operator="lessThan">
      <formula>0</formula>
    </cfRule>
  </conditionalFormatting>
  <conditionalFormatting sqref="R84:R91">
    <cfRule type="cellIs" dxfId="3370" priority="85" operator="lessThan">
      <formula>0.8</formula>
    </cfRule>
    <cfRule type="cellIs" dxfId="3369" priority="86" operator="greaterThan">
      <formula>1</formula>
    </cfRule>
  </conditionalFormatting>
  <conditionalFormatting sqref="R84:R91">
    <cfRule type="cellIs" dxfId="3368" priority="83" operator="greaterThan">
      <formula>1</formula>
    </cfRule>
    <cfRule type="cellIs" dxfId="3367" priority="84" operator="lessThan">
      <formula>0.8</formula>
    </cfRule>
  </conditionalFormatting>
  <conditionalFormatting sqref="P84:P91">
    <cfRule type="cellIs" dxfId="3366" priority="82" operator="greaterThan">
      <formula>0</formula>
    </cfRule>
  </conditionalFormatting>
  <conditionalFormatting sqref="Q84:Q91">
    <cfRule type="cellIs" dxfId="3365" priority="81" operator="lessThan">
      <formula>0</formula>
    </cfRule>
  </conditionalFormatting>
  <conditionalFormatting sqref="R84:R91">
    <cfRule type="cellIs" dxfId="3364" priority="79" operator="lessThan">
      <formula>0.8</formula>
    </cfRule>
    <cfRule type="cellIs" dxfId="3363" priority="80" operator="greaterThan">
      <formula>1</formula>
    </cfRule>
  </conditionalFormatting>
  <conditionalFormatting sqref="R84:R91">
    <cfRule type="cellIs" dxfId="3362" priority="77" operator="greaterThan">
      <formula>1</formula>
    </cfRule>
    <cfRule type="cellIs" dxfId="3361" priority="78" operator="lessThan">
      <formula>0.8</formula>
    </cfRule>
  </conditionalFormatting>
  <conditionalFormatting sqref="P84:P91">
    <cfRule type="cellIs" dxfId="3360" priority="76" operator="greaterThan">
      <formula>0</formula>
    </cfRule>
  </conditionalFormatting>
  <conditionalFormatting sqref="Q162:Q167">
    <cfRule type="cellIs" dxfId="3359" priority="75" operator="lessThan">
      <formula>0</formula>
    </cfRule>
  </conditionalFormatting>
  <conditionalFormatting sqref="R162:R167">
    <cfRule type="cellIs" dxfId="3358" priority="73" operator="lessThan">
      <formula>0.8</formula>
    </cfRule>
    <cfRule type="cellIs" dxfId="3357" priority="74" operator="greaterThan">
      <formula>1</formula>
    </cfRule>
  </conditionalFormatting>
  <conditionalFormatting sqref="R162:R167">
    <cfRule type="cellIs" dxfId="3356" priority="71" operator="greaterThan">
      <formula>1</formula>
    </cfRule>
    <cfRule type="cellIs" dxfId="3355" priority="72" operator="lessThan">
      <formula>0.8</formula>
    </cfRule>
  </conditionalFormatting>
  <conditionalFormatting sqref="P162:P167">
    <cfRule type="cellIs" dxfId="3354" priority="70" operator="greaterThan">
      <formula>0</formula>
    </cfRule>
  </conditionalFormatting>
  <conditionalFormatting sqref="P168">
    <cfRule type="cellIs" dxfId="3353" priority="64" operator="greaterThan">
      <formula>0</formula>
    </cfRule>
  </conditionalFormatting>
  <conditionalFormatting sqref="R168">
    <cfRule type="cellIs" dxfId="3352" priority="67" operator="lessThan">
      <formula>0.8</formula>
    </cfRule>
    <cfRule type="cellIs" dxfId="3351" priority="68" operator="greaterThan">
      <formula>1</formula>
    </cfRule>
  </conditionalFormatting>
  <conditionalFormatting sqref="R168">
    <cfRule type="cellIs" dxfId="3350" priority="65" operator="greaterThan">
      <formula>1</formula>
    </cfRule>
    <cfRule type="cellIs" dxfId="3349" priority="66" operator="lessThan">
      <formula>0.8</formula>
    </cfRule>
  </conditionalFormatting>
  <conditionalFormatting sqref="Q168">
    <cfRule type="cellIs" dxfId="3348" priority="69" operator="lessThan">
      <formula>0</formula>
    </cfRule>
  </conditionalFormatting>
  <conditionalFormatting sqref="Q161">
    <cfRule type="cellIs" dxfId="3347" priority="63" operator="lessThan">
      <formula>0</formula>
    </cfRule>
  </conditionalFormatting>
  <conditionalFormatting sqref="R161">
    <cfRule type="cellIs" dxfId="3346" priority="61" operator="lessThan">
      <formula>0.8</formula>
    </cfRule>
    <cfRule type="cellIs" dxfId="3345" priority="62" operator="greaterThan">
      <formula>1</formula>
    </cfRule>
  </conditionalFormatting>
  <conditionalFormatting sqref="R161">
    <cfRule type="cellIs" dxfId="3344" priority="59" operator="greaterThan">
      <formula>1</formula>
    </cfRule>
    <cfRule type="cellIs" dxfId="3343" priority="60" operator="lessThan">
      <formula>0.8</formula>
    </cfRule>
  </conditionalFormatting>
  <conditionalFormatting sqref="P161">
    <cfRule type="cellIs" dxfId="3342" priority="58" operator="greaterThan">
      <formula>0</formula>
    </cfRule>
  </conditionalFormatting>
  <conditionalFormatting sqref="Q162:Q167">
    <cfRule type="cellIs" dxfId="3341" priority="57" operator="lessThan">
      <formula>0</formula>
    </cfRule>
  </conditionalFormatting>
  <conditionalFormatting sqref="R162:R167">
    <cfRule type="cellIs" dxfId="3340" priority="55" operator="lessThan">
      <formula>0.8</formula>
    </cfRule>
    <cfRule type="cellIs" dxfId="3339" priority="56" operator="greaterThan">
      <formula>1</formula>
    </cfRule>
  </conditionalFormatting>
  <conditionalFormatting sqref="R162:R167">
    <cfRule type="cellIs" dxfId="3338" priority="53" operator="greaterThan">
      <formula>1</formula>
    </cfRule>
    <cfRule type="cellIs" dxfId="3337" priority="54" operator="lessThan">
      <formula>0.8</formula>
    </cfRule>
  </conditionalFormatting>
  <conditionalFormatting sqref="P162:P167">
    <cfRule type="cellIs" dxfId="3336" priority="52" operator="greaterThan">
      <formula>0</formula>
    </cfRule>
  </conditionalFormatting>
  <conditionalFormatting sqref="Q162:Q167">
    <cfRule type="cellIs" dxfId="3335" priority="51" operator="lessThan">
      <formula>0</formula>
    </cfRule>
  </conditionalFormatting>
  <conditionalFormatting sqref="R162:R167">
    <cfRule type="cellIs" dxfId="3334" priority="49" operator="lessThan">
      <formula>0.8</formula>
    </cfRule>
    <cfRule type="cellIs" dxfId="3333" priority="50" operator="greaterThan">
      <formula>1</formula>
    </cfRule>
  </conditionalFormatting>
  <conditionalFormatting sqref="R162:R167">
    <cfRule type="cellIs" dxfId="3332" priority="47" operator="greaterThan">
      <formula>1</formula>
    </cfRule>
    <cfRule type="cellIs" dxfId="3331" priority="48" operator="lessThan">
      <formula>0.8</formula>
    </cfRule>
  </conditionalFormatting>
  <conditionalFormatting sqref="P162:P167">
    <cfRule type="cellIs" dxfId="3330" priority="46" operator="greaterThan">
      <formula>0</formula>
    </cfRule>
  </conditionalFormatting>
  <conditionalFormatting sqref="Q168">
    <cfRule type="cellIs" dxfId="3329" priority="45" operator="lessThan">
      <formula>0</formula>
    </cfRule>
  </conditionalFormatting>
  <conditionalFormatting sqref="R168">
    <cfRule type="cellIs" dxfId="3328" priority="43" operator="lessThan">
      <formula>0.8</formula>
    </cfRule>
    <cfRule type="cellIs" dxfId="3327" priority="44" operator="greaterThan">
      <formula>1</formula>
    </cfRule>
  </conditionalFormatting>
  <conditionalFormatting sqref="R168">
    <cfRule type="cellIs" dxfId="3326" priority="41" operator="greaterThan">
      <formula>1</formula>
    </cfRule>
    <cfRule type="cellIs" dxfId="3325" priority="42" operator="lessThan">
      <formula>0.8</formula>
    </cfRule>
  </conditionalFormatting>
  <conditionalFormatting sqref="P168">
    <cfRule type="cellIs" dxfId="3324" priority="40" operator="greaterThan">
      <formula>0</formula>
    </cfRule>
  </conditionalFormatting>
  <conditionalFormatting sqref="Q161">
    <cfRule type="cellIs" dxfId="3323" priority="39" operator="lessThan">
      <formula>0</formula>
    </cfRule>
  </conditionalFormatting>
  <conditionalFormatting sqref="R161">
    <cfRule type="cellIs" dxfId="3322" priority="37" operator="lessThan">
      <formula>0.8</formula>
    </cfRule>
    <cfRule type="cellIs" dxfId="3321" priority="38" operator="greaterThan">
      <formula>1</formula>
    </cfRule>
  </conditionalFormatting>
  <conditionalFormatting sqref="R161">
    <cfRule type="cellIs" dxfId="3320" priority="35" operator="greaterThan">
      <formula>1</formula>
    </cfRule>
    <cfRule type="cellIs" dxfId="3319" priority="36" operator="lessThan">
      <formula>0.8</formula>
    </cfRule>
  </conditionalFormatting>
  <conditionalFormatting sqref="P161">
    <cfRule type="cellIs" dxfId="3318" priority="34" operator="greaterThan">
      <formula>0</formula>
    </cfRule>
  </conditionalFormatting>
  <conditionalFormatting sqref="Q162:Q167">
    <cfRule type="cellIs" dxfId="3317" priority="33" operator="lessThan">
      <formula>0</formula>
    </cfRule>
  </conditionalFormatting>
  <conditionalFormatting sqref="R162:R167">
    <cfRule type="cellIs" dxfId="3316" priority="31" operator="lessThan">
      <formula>0.8</formula>
    </cfRule>
    <cfRule type="cellIs" dxfId="3315" priority="32" operator="greaterThan">
      <formula>1</formula>
    </cfRule>
  </conditionalFormatting>
  <conditionalFormatting sqref="R162:R167">
    <cfRule type="cellIs" dxfId="3314" priority="29" operator="greaterThan">
      <formula>1</formula>
    </cfRule>
    <cfRule type="cellIs" dxfId="3313" priority="30" operator="lessThan">
      <formula>0.8</formula>
    </cfRule>
  </conditionalFormatting>
  <conditionalFormatting sqref="P162:P167">
    <cfRule type="cellIs" dxfId="3312" priority="28" operator="greaterThan">
      <formula>0</formula>
    </cfRule>
  </conditionalFormatting>
  <conditionalFormatting sqref="Q161">
    <cfRule type="cellIs" dxfId="3311" priority="27" operator="lessThan">
      <formula>0</formula>
    </cfRule>
  </conditionalFormatting>
  <conditionalFormatting sqref="R161">
    <cfRule type="cellIs" dxfId="3310" priority="25" operator="lessThan">
      <formula>0.8</formula>
    </cfRule>
    <cfRule type="cellIs" dxfId="3309" priority="26" operator="greaterThan">
      <formula>1</formula>
    </cfRule>
  </conditionalFormatting>
  <conditionalFormatting sqref="R161">
    <cfRule type="cellIs" dxfId="3308" priority="23" operator="greaterThan">
      <formula>1</formula>
    </cfRule>
    <cfRule type="cellIs" dxfId="3307" priority="24" operator="lessThan">
      <formula>0.8</formula>
    </cfRule>
  </conditionalFormatting>
  <conditionalFormatting sqref="P161">
    <cfRule type="cellIs" dxfId="3306" priority="22" operator="greaterThan">
      <formula>0</formula>
    </cfRule>
  </conditionalFormatting>
  <conditionalFormatting sqref="Q162:Q167">
    <cfRule type="cellIs" dxfId="3305" priority="21" operator="lessThan">
      <formula>0</formula>
    </cfRule>
  </conditionalFormatting>
  <conditionalFormatting sqref="R162:R167">
    <cfRule type="cellIs" dxfId="3304" priority="19" operator="lessThan">
      <formula>0.8</formula>
    </cfRule>
    <cfRule type="cellIs" dxfId="3303" priority="20" operator="greaterThan">
      <formula>1</formula>
    </cfRule>
  </conditionalFormatting>
  <conditionalFormatting sqref="R162:R167">
    <cfRule type="cellIs" dxfId="3302" priority="17" operator="greaterThan">
      <formula>1</formula>
    </cfRule>
    <cfRule type="cellIs" dxfId="3301" priority="18" operator="lessThan">
      <formula>0.8</formula>
    </cfRule>
  </conditionalFormatting>
  <conditionalFormatting sqref="P162:P167">
    <cfRule type="cellIs" dxfId="3300" priority="16" operator="greaterThan">
      <formula>0</formula>
    </cfRule>
  </conditionalFormatting>
  <conditionalFormatting sqref="Q161">
    <cfRule type="cellIs" dxfId="3299" priority="15" operator="lessThan">
      <formula>0</formula>
    </cfRule>
  </conditionalFormatting>
  <conditionalFormatting sqref="R161">
    <cfRule type="cellIs" dxfId="3298" priority="13" operator="lessThan">
      <formula>0.8</formula>
    </cfRule>
    <cfRule type="cellIs" dxfId="3297" priority="14" operator="greaterThan">
      <formula>1</formula>
    </cfRule>
  </conditionalFormatting>
  <conditionalFormatting sqref="R161">
    <cfRule type="cellIs" dxfId="3296" priority="11" operator="greaterThan">
      <formula>1</formula>
    </cfRule>
    <cfRule type="cellIs" dxfId="3295" priority="12" operator="lessThan">
      <formula>0.8</formula>
    </cfRule>
  </conditionalFormatting>
  <conditionalFormatting sqref="P161">
    <cfRule type="cellIs" dxfId="3294" priority="10" operator="greaterThan">
      <formula>0</formula>
    </cfRule>
  </conditionalFormatting>
  <conditionalFormatting sqref="P168">
    <cfRule type="cellIs" dxfId="3293" priority="4" operator="greaterThan">
      <formula>0</formula>
    </cfRule>
  </conditionalFormatting>
  <conditionalFormatting sqref="R168">
    <cfRule type="cellIs" dxfId="3292" priority="7" operator="lessThan">
      <formula>0.8</formula>
    </cfRule>
    <cfRule type="cellIs" dxfId="3291" priority="8" operator="greaterThan">
      <formula>1</formula>
    </cfRule>
  </conditionalFormatting>
  <conditionalFormatting sqref="R168">
    <cfRule type="cellIs" dxfId="3290" priority="5" operator="greaterThan">
      <formula>1</formula>
    </cfRule>
    <cfRule type="cellIs" dxfId="3289" priority="6" operator="lessThan">
      <formula>0.8</formula>
    </cfRule>
  </conditionalFormatting>
  <conditionalFormatting sqref="Q168">
    <cfRule type="cellIs" dxfId="3288" priority="9" operator="lessThan">
      <formula>0</formula>
    </cfRule>
  </conditionalFormatting>
  <conditionalFormatting sqref="AF30">
    <cfRule type="cellIs" dxfId="3287" priority="3" operator="lessThan">
      <formula>0</formula>
    </cfRule>
  </conditionalFormatting>
  <conditionalFormatting sqref="AG30">
    <cfRule type="cellIs" dxfId="3286" priority="1" operator="greaterThan">
      <formula>1</formula>
    </cfRule>
    <cfRule type="cellIs" dxfId="3285" priority="2" operator="lessThan">
      <formula>0.8</formula>
    </cfRule>
  </conditionalFormatting>
  <dataValidations count="1">
    <dataValidation type="list" allowBlank="1" showInputMessage="1" showErrorMessage="1" sqref="AB5:AC173" xr:uid="{00000000-0002-0000-11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W38"/>
  <sheetViews>
    <sheetView zoomScale="40" zoomScaleNormal="40" workbookViewId="0">
      <selection activeCell="AN15" sqref="AN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7" t="s">
        <v>0</v>
      </c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  <c r="N1" s="1"/>
      <c r="O1" s="1"/>
    </row>
    <row r="2" spans="2:17" ht="27.75" customHeight="1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9"/>
      <c r="N2" s="1"/>
      <c r="O2" s="1"/>
    </row>
    <row r="3" spans="2:17" ht="46.5" customHeight="1">
      <c r="B3" s="510" t="s">
        <v>1</v>
      </c>
      <c r="C3" s="511"/>
      <c r="D3" s="512" t="s">
        <v>624</v>
      </c>
      <c r="E3" s="513"/>
      <c r="F3" s="510" t="s">
        <v>2</v>
      </c>
      <c r="G3" s="511"/>
      <c r="H3" s="514">
        <v>300961.39999999991</v>
      </c>
      <c r="I3" s="515"/>
      <c r="J3" s="510" t="s">
        <v>3</v>
      </c>
      <c r="K3" s="511"/>
      <c r="L3" s="505">
        <v>10003108.479974458</v>
      </c>
      <c r="M3" s="506"/>
      <c r="N3" s="372"/>
      <c r="O3" s="372"/>
      <c r="P3" s="372"/>
      <c r="Q3" s="372"/>
    </row>
    <row r="4" spans="2:17" ht="24" customHeight="1">
      <c r="B4" s="510" t="s">
        <v>135</v>
      </c>
      <c r="C4" s="511"/>
      <c r="D4" s="527" t="s">
        <v>135</v>
      </c>
      <c r="E4" s="528"/>
      <c r="F4" s="503" t="s">
        <v>136</v>
      </c>
      <c r="G4" s="504"/>
      <c r="H4" s="503" t="s">
        <v>137</v>
      </c>
      <c r="I4" s="504"/>
      <c r="J4" s="503" t="s">
        <v>138</v>
      </c>
      <c r="K4" s="504"/>
      <c r="L4" s="505" t="s">
        <v>139</v>
      </c>
      <c r="M4" s="506"/>
      <c r="N4" s="519" t="s">
        <v>4</v>
      </c>
      <c r="O4" s="520"/>
      <c r="P4" s="520" t="s">
        <v>5</v>
      </c>
      <c r="Q4" s="520"/>
    </row>
    <row r="5" spans="2:17" ht="24" customHeight="1">
      <c r="B5" s="521" t="s">
        <v>35</v>
      </c>
      <c r="C5" s="522"/>
      <c r="D5" s="527" t="s">
        <v>140</v>
      </c>
      <c r="E5" s="528"/>
      <c r="F5" s="527" t="s">
        <v>6</v>
      </c>
      <c r="G5" s="528"/>
      <c r="H5" s="529" t="s">
        <v>7</v>
      </c>
      <c r="I5" s="530"/>
      <c r="J5" s="531" t="s">
        <v>8</v>
      </c>
      <c r="K5" s="532"/>
      <c r="L5" s="533" t="s">
        <v>9</v>
      </c>
      <c r="M5" s="534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3"/>
      <c r="C6" s="524"/>
      <c r="D6" s="510" t="s">
        <v>10</v>
      </c>
      <c r="E6" s="511"/>
      <c r="F6" s="535">
        <f>AVERAGE(D13:O13,P13:Q13,D30:E30,G30:H30,J30:M30)</f>
        <v>380.65084024222165</v>
      </c>
      <c r="G6" s="536"/>
      <c r="H6" s="548">
        <f>AVERAGE(D13:P13,Q13)</f>
        <v>136.02274895206264</v>
      </c>
      <c r="I6" s="549"/>
      <c r="J6" s="548">
        <f>AVERAGE(D30:E30,G30:H30)</f>
        <v>736.25</v>
      </c>
      <c r="K6" s="549"/>
      <c r="L6" s="550">
        <f>AVERAGE(J30:M30)</f>
        <v>881.25</v>
      </c>
      <c r="M6" s="551"/>
      <c r="N6" s="552">
        <v>0</v>
      </c>
      <c r="O6" s="539">
        <v>0</v>
      </c>
      <c r="P6" s="516">
        <v>11</v>
      </c>
      <c r="Q6" s="539">
        <v>7</v>
      </c>
    </row>
    <row r="7" spans="2:17" s="5" customFormat="1" ht="39.6" customHeight="1">
      <c r="B7" s="523"/>
      <c r="C7" s="524"/>
      <c r="D7" s="540" t="s">
        <v>11</v>
      </c>
      <c r="E7" s="541"/>
      <c r="F7" s="542">
        <f>AVERAGE(D14:O14,P14:Q14,D31:E31,J31:M31,G31:H31)</f>
        <v>365.40694922840197</v>
      </c>
      <c r="G7" s="543"/>
      <c r="H7" s="544">
        <f>AVERAGE(D14:P14,Q14)</f>
        <v>122.25418555878487</v>
      </c>
      <c r="I7" s="545"/>
      <c r="J7" s="544">
        <f>AVERAGE(D31:E31,G31:H31)</f>
        <v>710.39619131179984</v>
      </c>
      <c r="K7" s="545"/>
      <c r="L7" s="546">
        <f>AVERAGE(J31:M31)</f>
        <v>871.45237998866401</v>
      </c>
      <c r="M7" s="547"/>
      <c r="N7" s="552"/>
      <c r="O7" s="539"/>
      <c r="P7" s="516"/>
      <c r="Q7" s="539"/>
    </row>
    <row r="8" spans="2:17" s="5" customFormat="1" ht="39.6" customHeight="1">
      <c r="B8" s="525"/>
      <c r="C8" s="526"/>
      <c r="D8" s="540" t="s">
        <v>12</v>
      </c>
      <c r="E8" s="541"/>
      <c r="F8" s="517">
        <f>AVERAGE(D15:O15,P15:Q15,D32:E32,G32:H32,J32:M32)</f>
        <v>0.90938091054849124</v>
      </c>
      <c r="G8" s="518"/>
      <c r="H8" s="517">
        <f>AVERAGE(D15:O15,P15:Q15)</f>
        <v>0.89055609109496614</v>
      </c>
      <c r="I8" s="518"/>
      <c r="J8" s="517">
        <f>AVERAGE(D32:E32,G32:H32)</f>
        <v>0.89030766091408731</v>
      </c>
      <c r="K8" s="518"/>
      <c r="L8" s="517">
        <f>AVERAGE(J32:M32)</f>
        <v>0.99434102827023252</v>
      </c>
      <c r="M8" s="518"/>
      <c r="N8" s="552"/>
      <c r="O8" s="539"/>
      <c r="P8" s="516"/>
      <c r="Q8" s="539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53" t="s">
        <v>145</v>
      </c>
      <c r="C10" s="554"/>
      <c r="D10" s="555" t="s">
        <v>146</v>
      </c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7"/>
    </row>
    <row r="11" spans="2:17" ht="17.25" customHeight="1">
      <c r="B11" s="558" t="s">
        <v>147</v>
      </c>
      <c r="C11" s="522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559"/>
      <c r="C12" s="526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560" t="s">
        <v>35</v>
      </c>
      <c r="C13" s="14" t="s">
        <v>161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95.136710239651421</v>
      </c>
      <c r="K13" s="19">
        <v>94.572449394430805</v>
      </c>
      <c r="L13" s="19">
        <v>114.27898449828272</v>
      </c>
      <c r="M13" s="19">
        <v>79.775987588017671</v>
      </c>
      <c r="N13" s="19">
        <v>86.498180705030563</v>
      </c>
      <c r="O13" s="19">
        <v>92</v>
      </c>
      <c r="P13" s="19">
        <v>201.44079254079256</v>
      </c>
      <c r="Q13" s="21">
        <v>150</v>
      </c>
    </row>
    <row r="14" spans="2:17" ht="39.9" customHeight="1">
      <c r="B14" s="561"/>
      <c r="C14" s="14" t="s">
        <v>162</v>
      </c>
      <c r="D14" s="19">
        <v>127.9942284641624</v>
      </c>
      <c r="E14" s="19">
        <v>102.05250036580804</v>
      </c>
      <c r="F14" s="19">
        <v>112.24190204047383</v>
      </c>
      <c r="G14" s="19">
        <v>253.86637777360929</v>
      </c>
      <c r="H14" s="19">
        <v>219.34795252778122</v>
      </c>
      <c r="I14" s="19">
        <v>79.839769521993844</v>
      </c>
      <c r="J14" s="19">
        <v>80.837161730036598</v>
      </c>
      <c r="K14" s="19">
        <v>77.349759610150443</v>
      </c>
      <c r="L14" s="19">
        <v>92.219098341929126</v>
      </c>
      <c r="M14" s="19">
        <v>70.54477035851626</v>
      </c>
      <c r="N14" s="19">
        <v>77.176399988272877</v>
      </c>
      <c r="O14" s="19">
        <v>82.452220720695863</v>
      </c>
      <c r="P14" s="19">
        <v>190.08058769305242</v>
      </c>
      <c r="Q14" s="9">
        <v>145.55586868650599</v>
      </c>
    </row>
    <row r="15" spans="2:17" ht="39.9" customHeight="1">
      <c r="B15" s="562"/>
      <c r="C15" s="373" t="s">
        <v>163</v>
      </c>
      <c r="D15" s="10">
        <f t="shared" ref="D15:Q15" si="0">D14/D13</f>
        <v>0.91440457386409124</v>
      </c>
      <c r="E15" s="10">
        <f t="shared" si="0"/>
        <v>0.87076604866992247</v>
      </c>
      <c r="F15" s="10">
        <f t="shared" si="0"/>
        <v>0.83465363115480296</v>
      </c>
      <c r="G15" s="10">
        <f t="shared" si="0"/>
        <v>0.88392852779204911</v>
      </c>
      <c r="H15" s="10">
        <f t="shared" si="0"/>
        <v>0.96974884275440121</v>
      </c>
      <c r="I15" s="10">
        <f t="shared" si="0"/>
        <v>0.93302061690071891</v>
      </c>
      <c r="J15" s="10">
        <f t="shared" si="0"/>
        <v>0.84969473430819764</v>
      </c>
      <c r="K15" s="10">
        <f t="shared" si="0"/>
        <v>0.81788893177070898</v>
      </c>
      <c r="L15" s="10">
        <f t="shared" si="0"/>
        <v>0.80696462912054412</v>
      </c>
      <c r="M15" s="10">
        <f t="shared" si="0"/>
        <v>0.88428576682530546</v>
      </c>
      <c r="N15" s="10">
        <f t="shared" si="0"/>
        <v>0.89223148231815297</v>
      </c>
      <c r="O15" s="10">
        <f t="shared" si="0"/>
        <v>0.89621979044234634</v>
      </c>
      <c r="P15" s="375">
        <f t="shared" si="0"/>
        <v>0.94360524149824498</v>
      </c>
      <c r="Q15" s="11">
        <f t="shared" si="0"/>
        <v>0.9703724579100399</v>
      </c>
    </row>
    <row r="16" spans="2:17" ht="22.8" customHeight="1">
      <c r="B16" s="563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0.66666666666666663</v>
      </c>
      <c r="P16" s="12">
        <v>0.16666666666666666</v>
      </c>
      <c r="Q16" s="376">
        <v>0.17361111111111113</v>
      </c>
    </row>
    <row r="17" spans="2:23" ht="22.8" customHeight="1">
      <c r="B17" s="564"/>
      <c r="C17" s="373" t="s">
        <v>36</v>
      </c>
      <c r="D17" s="12">
        <v>0.75277777777777777</v>
      </c>
      <c r="E17" s="12">
        <v>0.67222222222222205</v>
      </c>
      <c r="F17" s="12">
        <v>0.63888888888888884</v>
      </c>
      <c r="G17" s="12">
        <v>0.69930555555555529</v>
      </c>
      <c r="H17" s="12">
        <v>0.73055555555555562</v>
      </c>
      <c r="I17" s="12">
        <v>0.77847222222222212</v>
      </c>
      <c r="J17" s="12">
        <v>0.85416666666666652</v>
      </c>
      <c r="K17" s="12">
        <v>0.8555555555555554</v>
      </c>
      <c r="L17" s="12">
        <v>0.95972222222222214</v>
      </c>
      <c r="M17" s="12">
        <v>0.97013888888888888</v>
      </c>
      <c r="N17" s="12">
        <v>0.98402777777777772</v>
      </c>
      <c r="O17" s="22">
        <v>0.94861111111111107</v>
      </c>
      <c r="P17" s="12">
        <v>0.67083333333333317</v>
      </c>
      <c r="Q17" s="376">
        <v>0.60416666666666663</v>
      </c>
    </row>
    <row r="18" spans="2:23" ht="22.8" customHeight="1">
      <c r="B18" s="537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538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537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>
        <v>2</v>
      </c>
      <c r="J20" s="378">
        <v>1</v>
      </c>
      <c r="K20" s="378">
        <v>2</v>
      </c>
      <c r="L20" s="378">
        <v>2</v>
      </c>
      <c r="M20" s="378" t="s">
        <v>15</v>
      </c>
      <c r="N20" s="378" t="s">
        <v>15</v>
      </c>
      <c r="O20" s="378">
        <v>1</v>
      </c>
      <c r="P20" s="378">
        <v>1</v>
      </c>
      <c r="Q20" s="379"/>
    </row>
    <row r="21" spans="2:23" ht="22.8" customHeight="1">
      <c r="B21" s="538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>
        <v>2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565" t="s">
        <v>169</v>
      </c>
      <c r="C22" s="511"/>
      <c r="D22" s="380">
        <v>18.5</v>
      </c>
      <c r="E22" s="380">
        <v>17.5</v>
      </c>
      <c r="F22" s="380">
        <v>15.142857142857142</v>
      </c>
      <c r="G22" s="380">
        <v>7.375</v>
      </c>
      <c r="H22" s="380">
        <v>6.666666666666667</v>
      </c>
      <c r="I22" s="380">
        <v>17.166666666666668</v>
      </c>
      <c r="J22" s="380">
        <v>16.777777777777779</v>
      </c>
      <c r="K22" s="380">
        <v>17.272727272727273</v>
      </c>
      <c r="L22" s="380">
        <v>15.555555555555555</v>
      </c>
      <c r="M22" s="380">
        <v>18.857142857142858</v>
      </c>
      <c r="N22" s="380">
        <v>17.333333333333332</v>
      </c>
      <c r="O22" s="380">
        <v>15.6</v>
      </c>
      <c r="P22" s="380">
        <v>11.666666666666666</v>
      </c>
      <c r="Q22" s="381">
        <v>11.333333333333334</v>
      </c>
    </row>
    <row r="23" spans="2:23" ht="22.8" customHeight="1">
      <c r="B23" s="565" t="s">
        <v>170</v>
      </c>
      <c r="C23" s="511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5" t="s">
        <v>171</v>
      </c>
      <c r="C24" s="51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6" t="s">
        <v>172</v>
      </c>
      <c r="C25" s="56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53"/>
      <c r="C27" s="578"/>
      <c r="D27" s="570" t="s">
        <v>173</v>
      </c>
      <c r="E27" s="571"/>
      <c r="F27" s="571"/>
      <c r="G27" s="571"/>
      <c r="H27" s="572"/>
      <c r="I27" s="573" t="s">
        <v>174</v>
      </c>
      <c r="J27" s="574"/>
      <c r="K27" s="574"/>
      <c r="L27" s="574"/>
      <c r="M27" s="575"/>
      <c r="N27" s="372"/>
      <c r="O27" s="372"/>
      <c r="P27" s="372"/>
      <c r="Q27" s="372"/>
    </row>
    <row r="28" spans="2:23" ht="17.25" customHeight="1">
      <c r="B28" s="558" t="s">
        <v>147</v>
      </c>
      <c r="C28" s="57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9"/>
      <c r="C29" s="577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560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561"/>
      <c r="C31" s="386" t="s">
        <v>162</v>
      </c>
      <c r="D31" s="388">
        <v>159.00000000000017</v>
      </c>
      <c r="E31" s="8">
        <v>828.68845447865749</v>
      </c>
      <c r="F31" s="8">
        <v>0</v>
      </c>
      <c r="G31" s="8">
        <v>868.4327666993554</v>
      </c>
      <c r="H31" s="389">
        <v>985.46354406918636</v>
      </c>
      <c r="I31" s="388">
        <v>0</v>
      </c>
      <c r="J31" s="8">
        <v>1031.9999999999955</v>
      </c>
      <c r="K31" s="8">
        <v>627.4761904761915</v>
      </c>
      <c r="L31" s="8">
        <v>915.03534412830481</v>
      </c>
      <c r="M31" s="389">
        <v>911.29798535016414</v>
      </c>
      <c r="N31" s="372"/>
      <c r="O31" s="372"/>
      <c r="P31" s="372"/>
      <c r="Q31" s="372"/>
    </row>
    <row r="32" spans="2:23" ht="39.9" customHeight="1">
      <c r="B32" s="562"/>
      <c r="C32" s="407" t="s">
        <v>163</v>
      </c>
      <c r="D32" s="390">
        <f t="shared" ref="D32:M32" si="1">D31/D30</f>
        <v>0.49687500000000051</v>
      </c>
      <c r="E32" s="10">
        <f t="shared" si="1"/>
        <v>1.0044708539135243</v>
      </c>
      <c r="F32" s="10">
        <f t="shared" si="1"/>
        <v>0</v>
      </c>
      <c r="G32" s="10">
        <f t="shared" si="1"/>
        <v>0.96492529633261714</v>
      </c>
      <c r="H32" s="10">
        <f t="shared" si="1"/>
        <v>1.0949594934102072</v>
      </c>
      <c r="I32" s="388">
        <f t="shared" si="1"/>
        <v>0</v>
      </c>
      <c r="J32" s="10">
        <f t="shared" si="1"/>
        <v>1.2509090909090854</v>
      </c>
      <c r="K32" s="10">
        <f t="shared" si="1"/>
        <v>0.69719576719576837</v>
      </c>
      <c r="L32" s="10">
        <f t="shared" si="1"/>
        <v>1.0167059379203387</v>
      </c>
      <c r="M32" s="11">
        <f t="shared" si="1"/>
        <v>1.0125533170557379</v>
      </c>
      <c r="N32" s="372"/>
      <c r="O32" s="372"/>
      <c r="P32" s="372"/>
      <c r="Q32" s="372"/>
    </row>
    <row r="33" spans="2:17" ht="25.8" customHeight="1">
      <c r="B33" s="563" t="s">
        <v>164</v>
      </c>
      <c r="C33" s="407" t="s">
        <v>165</v>
      </c>
      <c r="D33" s="391">
        <v>0.37847222222222227</v>
      </c>
      <c r="E33" s="12">
        <v>0.18055555555555555</v>
      </c>
      <c r="F33" s="12">
        <v>0</v>
      </c>
      <c r="G33" s="12">
        <v>2916.521739130435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564"/>
      <c r="C34" s="407" t="s">
        <v>36</v>
      </c>
      <c r="D34" s="391">
        <v>0.39930555555555558</v>
      </c>
      <c r="E34" s="12">
        <v>0.36458333333333331</v>
      </c>
      <c r="F34" s="12">
        <v>0</v>
      </c>
      <c r="G34" s="12">
        <v>1051.578947368416</v>
      </c>
      <c r="H34" s="376">
        <v>0.53333333333333333</v>
      </c>
      <c r="I34" s="23">
        <v>0</v>
      </c>
      <c r="J34" s="12">
        <v>0.73611111111111116</v>
      </c>
      <c r="K34" s="12">
        <v>0.79166666666666663</v>
      </c>
      <c r="L34" s="12">
        <v>46181.069444444445</v>
      </c>
      <c r="M34" s="13">
        <v>46181.052083333336</v>
      </c>
      <c r="N34" s="372"/>
      <c r="O34" s="372"/>
      <c r="P34" s="372"/>
      <c r="Q34" s="372"/>
    </row>
    <row r="35" spans="2:17" ht="25.8" customHeight="1">
      <c r="B35" s="565" t="s">
        <v>169</v>
      </c>
      <c r="C35" s="5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565" t="s">
        <v>170</v>
      </c>
      <c r="C36" s="5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565" t="s">
        <v>171</v>
      </c>
      <c r="C37" s="5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566" t="s">
        <v>172</v>
      </c>
      <c r="C38" s="569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1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284" priority="4" operator="lessThan">
      <formula>0.8</formula>
    </cfRule>
  </conditionalFormatting>
  <conditionalFormatting sqref="J32:L32">
    <cfRule type="cellIs" dxfId="3283" priority="3" operator="lessThan">
      <formula>0.8</formula>
    </cfRule>
  </conditionalFormatting>
  <conditionalFormatting sqref="M32">
    <cfRule type="cellIs" dxfId="3282" priority="2" operator="lessThan">
      <formula>0.8</formula>
    </cfRule>
  </conditionalFormatting>
  <conditionalFormatting sqref="H32">
    <cfRule type="cellIs" dxfId="3281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0.79998168889431442"/>
    <pageSetUpPr fitToPage="1"/>
  </sheetPr>
  <dimension ref="A1:R126"/>
  <sheetViews>
    <sheetView zoomScale="85" zoomScaleNormal="85" workbookViewId="0">
      <selection activeCell="M31" sqref="M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800</v>
      </c>
      <c r="B1" s="277"/>
      <c r="C1" s="278"/>
      <c r="D1" s="279" t="s">
        <v>626</v>
      </c>
      <c r="E1" s="280">
        <f>SUM(G5:G124)</f>
        <v>95585</v>
      </c>
      <c r="F1" s="281" t="s">
        <v>3</v>
      </c>
      <c r="G1" s="282">
        <f>SUM(H5:H124)</f>
        <v>1824401.3795921949</v>
      </c>
      <c r="H1" s="283" t="s">
        <v>801</v>
      </c>
      <c r="I1" s="284">
        <f>+J16+J64+J24+J38+J51+J81+J100+J91+J57+J124+J111</f>
        <v>44.828571428571429</v>
      </c>
      <c r="J1" s="487" t="s">
        <v>802</v>
      </c>
      <c r="K1" s="488"/>
      <c r="L1" s="489"/>
      <c r="M1" s="487" t="s">
        <v>628</v>
      </c>
      <c r="N1" s="488"/>
      <c r="O1" s="488"/>
      <c r="P1" s="488"/>
      <c r="Q1" s="488"/>
      <c r="R1" s="489"/>
    </row>
    <row r="2" spans="1:18" ht="26.25" customHeight="1" thickBot="1">
      <c r="A2" s="493" t="s">
        <v>811</v>
      </c>
      <c r="B2" s="494"/>
      <c r="C2" s="286"/>
      <c r="D2" s="414" t="s">
        <v>635</v>
      </c>
      <c r="E2" s="287">
        <f>AVERAGE(L16,L24,L38,L51,L100,L111,L91)</f>
        <v>617.95930962827595</v>
      </c>
      <c r="F2" s="288" t="s">
        <v>40</v>
      </c>
      <c r="G2" s="289">
        <f>G1/E1</f>
        <v>19.086691212974785</v>
      </c>
      <c r="H2" s="290" t="s">
        <v>804</v>
      </c>
      <c r="I2" s="291">
        <f>COUNT(I5:I124)</f>
        <v>0</v>
      </c>
      <c r="J2" s="490"/>
      <c r="K2" s="491"/>
      <c r="L2" s="492"/>
      <c r="M2" s="490"/>
      <c r="N2" s="491"/>
      <c r="O2" s="491"/>
      <c r="P2" s="491"/>
      <c r="Q2" s="491"/>
      <c r="R2" s="492"/>
    </row>
    <row r="3" spans="1:18" ht="23.25" customHeight="1">
      <c r="A3" s="495" t="s">
        <v>636</v>
      </c>
      <c r="B3" s="497" t="s">
        <v>805</v>
      </c>
      <c r="C3" s="416"/>
      <c r="D3" s="498" t="s">
        <v>637</v>
      </c>
      <c r="E3" s="498"/>
      <c r="F3" s="499" t="s">
        <v>43</v>
      </c>
      <c r="G3" s="500" t="s">
        <v>806</v>
      </c>
      <c r="H3" s="498" t="s">
        <v>807</v>
      </c>
      <c r="I3" s="501" t="s">
        <v>638</v>
      </c>
      <c r="J3" s="468" t="s">
        <v>640</v>
      </c>
      <c r="K3" s="480" t="s">
        <v>639</v>
      </c>
      <c r="L3" s="482" t="s">
        <v>635</v>
      </c>
      <c r="M3" s="484" t="s">
        <v>48</v>
      </c>
      <c r="N3" s="484"/>
      <c r="O3" s="468" t="s">
        <v>106</v>
      </c>
      <c r="P3" s="485" t="s">
        <v>643</v>
      </c>
      <c r="Q3" s="468" t="s">
        <v>644</v>
      </c>
      <c r="R3" s="468"/>
    </row>
    <row r="4" spans="1:18" ht="15.75" customHeight="1">
      <c r="A4" s="496"/>
      <c r="B4" s="497"/>
      <c r="C4" s="416"/>
      <c r="D4" s="498"/>
      <c r="E4" s="498"/>
      <c r="F4" s="499"/>
      <c r="G4" s="500"/>
      <c r="H4" s="498"/>
      <c r="I4" s="502"/>
      <c r="J4" s="479"/>
      <c r="K4" s="481"/>
      <c r="L4" s="483"/>
      <c r="M4" s="419" t="s">
        <v>50</v>
      </c>
      <c r="N4" s="419" t="s">
        <v>51</v>
      </c>
      <c r="O4" s="479"/>
      <c r="P4" s="486"/>
      <c r="Q4" s="292" t="s">
        <v>648</v>
      </c>
      <c r="R4" s="292" t="s">
        <v>808</v>
      </c>
    </row>
    <row r="5" spans="1:18">
      <c r="A5" s="469" t="s">
        <v>809</v>
      </c>
      <c r="B5" s="293" t="s">
        <v>131</v>
      </c>
      <c r="C5" s="293"/>
      <c r="D5" s="294" t="s">
        <v>810</v>
      </c>
      <c r="E5" s="294"/>
      <c r="F5" s="295">
        <v>29.965493443754308</v>
      </c>
      <c r="G5" s="416">
        <v>2153</v>
      </c>
      <c r="H5" s="296">
        <f>F5*G5</f>
        <v>64515.707384403024</v>
      </c>
      <c r="I5" s="417"/>
      <c r="J5" s="297">
        <v>13</v>
      </c>
      <c r="K5" s="298">
        <f t="shared" ref="K5:K10" si="0">G5/P5*60</f>
        <v>1230.2857142857144</v>
      </c>
      <c r="L5" s="299">
        <f t="shared" ref="L5:L10" si="1">K5/J5</f>
        <v>94.637362637362656</v>
      </c>
      <c r="M5" s="300">
        <v>0.17361111111111113</v>
      </c>
      <c r="N5" s="300">
        <v>0.24652777777777779</v>
      </c>
      <c r="O5" s="292">
        <v>10</v>
      </c>
      <c r="P5" s="411">
        <f t="shared" ref="P5:P10" si="2">(N5-M5)*24*60</f>
        <v>104.99999999999999</v>
      </c>
      <c r="Q5" s="301"/>
      <c r="R5" s="301"/>
    </row>
    <row r="6" spans="1:18">
      <c r="A6" s="469"/>
      <c r="B6" s="293">
        <v>0</v>
      </c>
      <c r="C6" s="293"/>
      <c r="D6" s="294" t="s">
        <v>192</v>
      </c>
      <c r="E6" s="294"/>
      <c r="F6" s="295" t="s">
        <v>133</v>
      </c>
      <c r="G6" s="416">
        <v>2446</v>
      </c>
      <c r="H6" s="296">
        <f t="shared" ref="H6:H15" si="3">F6*G6</f>
        <v>0</v>
      </c>
      <c r="I6" s="417"/>
      <c r="J6" s="297">
        <v>9</v>
      </c>
      <c r="K6" s="298">
        <f t="shared" si="0"/>
        <v>1630.6666666666665</v>
      </c>
      <c r="L6" s="299">
        <f t="shared" si="1"/>
        <v>181.18518518518516</v>
      </c>
      <c r="M6" s="300">
        <v>0.25</v>
      </c>
      <c r="N6" s="300">
        <v>0.3125</v>
      </c>
      <c r="O6" s="292">
        <v>5</v>
      </c>
      <c r="P6" s="411">
        <f t="shared" si="2"/>
        <v>90</v>
      </c>
      <c r="Q6" s="292"/>
      <c r="R6" s="292"/>
    </row>
    <row r="7" spans="1:18">
      <c r="A7" s="469"/>
      <c r="B7" s="293">
        <v>0</v>
      </c>
      <c r="C7" s="293"/>
      <c r="D7" s="294" t="s">
        <v>193</v>
      </c>
      <c r="E7" s="294"/>
      <c r="F7" s="295" t="s">
        <v>133</v>
      </c>
      <c r="G7" s="416">
        <v>2251</v>
      </c>
      <c r="H7" s="296">
        <f t="shared" si="3"/>
        <v>0</v>
      </c>
      <c r="I7" s="417"/>
      <c r="J7" s="297">
        <v>9</v>
      </c>
      <c r="K7" s="298">
        <f t="shared" si="0"/>
        <v>1588.9411764705878</v>
      </c>
      <c r="L7" s="299">
        <f t="shared" si="1"/>
        <v>176.54901960784309</v>
      </c>
      <c r="M7" s="300">
        <v>0.31597222222222221</v>
      </c>
      <c r="N7" s="300">
        <v>0.375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9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1790</v>
      </c>
      <c r="H8" s="296">
        <f t="shared" si="3"/>
        <v>65245.500000000007</v>
      </c>
      <c r="I8" s="417"/>
      <c r="J8" s="297">
        <v>13</v>
      </c>
      <c r="K8" s="298">
        <f t="shared" si="0"/>
        <v>1534.2857142857126</v>
      </c>
      <c r="L8" s="299">
        <f t="shared" si="1"/>
        <v>118.0219780219779</v>
      </c>
      <c r="M8" s="300">
        <v>0.40277777777777773</v>
      </c>
      <c r="N8" s="300">
        <v>0.4513888888888889</v>
      </c>
      <c r="O8" s="292">
        <v>5</v>
      </c>
      <c r="P8" s="411">
        <f t="shared" si="2"/>
        <v>70.000000000000071</v>
      </c>
      <c r="Q8" s="301">
        <v>0.45833333333333331</v>
      </c>
      <c r="R8" s="301">
        <v>0.48958333333333331</v>
      </c>
    </row>
    <row r="9" spans="1:18">
      <c r="A9" s="469"/>
      <c r="B9" s="293" t="s">
        <v>134</v>
      </c>
      <c r="C9" s="293"/>
      <c r="D9" s="294" t="s">
        <v>195</v>
      </c>
      <c r="E9" s="294"/>
      <c r="F9" s="295">
        <v>29.85</v>
      </c>
      <c r="G9" s="302">
        <v>2446</v>
      </c>
      <c r="H9" s="296">
        <f t="shared" si="3"/>
        <v>73013.100000000006</v>
      </c>
      <c r="I9" s="417"/>
      <c r="J9" s="297">
        <v>12</v>
      </c>
      <c r="K9" s="298">
        <f t="shared" si="0"/>
        <v>1834.500000000003</v>
      </c>
      <c r="L9" s="299">
        <f t="shared" si="1"/>
        <v>152.87500000000026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469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2251</v>
      </c>
      <c r="H10" s="296">
        <f t="shared" si="3"/>
        <v>66449.52</v>
      </c>
      <c r="I10" s="417"/>
      <c r="J10" s="297">
        <v>12</v>
      </c>
      <c r="K10" s="298">
        <f t="shared" si="0"/>
        <v>1800.8000000000027</v>
      </c>
      <c r="L10" s="299">
        <f t="shared" si="1"/>
        <v>150.06666666666689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469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70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70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70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70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71"/>
      <c r="B16" s="293">
        <v>0</v>
      </c>
      <c r="C16" s="293" t="s">
        <v>771</v>
      </c>
      <c r="D16" s="455" t="s">
        <v>655</v>
      </c>
      <c r="E16" s="455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1603.2465452847812</v>
      </c>
      <c r="L16" s="309">
        <f>AVERAGE(L5:L15)</f>
        <v>145.55586868650599</v>
      </c>
      <c r="M16" s="300"/>
      <c r="N16" s="300"/>
      <c r="O16" s="298"/>
      <c r="P16" s="298"/>
      <c r="Q16" s="299"/>
      <c r="R16" s="299"/>
    </row>
    <row r="17" spans="1:18" ht="15.75" customHeight="1">
      <c r="A17" s="472" t="s">
        <v>772</v>
      </c>
      <c r="B17" s="293" t="s">
        <v>134</v>
      </c>
      <c r="C17" s="416"/>
      <c r="D17" s="475" t="s">
        <v>180</v>
      </c>
      <c r="E17" s="476"/>
      <c r="F17" s="295">
        <v>25.64</v>
      </c>
      <c r="G17" s="416">
        <v>795</v>
      </c>
      <c r="H17" s="310">
        <f t="shared" ref="H17:H23" si="4">F17*G17</f>
        <v>20383.8</v>
      </c>
      <c r="I17" s="311"/>
      <c r="J17" s="297">
        <v>10</v>
      </c>
      <c r="K17" s="298">
        <f t="shared" ref="K17" si="5">G17/P17*60</f>
        <v>1590.0000000000016</v>
      </c>
      <c r="L17" s="299">
        <f>K17/J17</f>
        <v>159.00000000000017</v>
      </c>
      <c r="M17" s="300">
        <v>0.37847222222222227</v>
      </c>
      <c r="N17" s="300">
        <v>0.39930555555555558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472"/>
      <c r="B18" s="293">
        <v>0</v>
      </c>
      <c r="C18" s="416"/>
      <c r="D18" s="477"/>
      <c r="E18" s="478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2"/>
      <c r="B19" s="293">
        <v>0</v>
      </c>
      <c r="C19" s="416"/>
      <c r="D19" s="477"/>
      <c r="E19" s="478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3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3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3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3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474"/>
      <c r="B24" s="293">
        <v>0</v>
      </c>
      <c r="C24" s="6" t="s">
        <v>773</v>
      </c>
      <c r="D24" s="455" t="s">
        <v>655</v>
      </c>
      <c r="E24" s="455"/>
      <c r="F24" s="304"/>
      <c r="G24" s="313"/>
      <c r="H24" s="306"/>
      <c r="I24" s="307"/>
      <c r="J24" s="308">
        <f>AVERAGE(J17:J23)</f>
        <v>10</v>
      </c>
      <c r="K24" s="308">
        <f>AVERAGE(K17:K23)</f>
        <v>1590.0000000000016</v>
      </c>
      <c r="L24" s="309">
        <f>AVERAGE(L17:L23)</f>
        <v>159.00000000000017</v>
      </c>
      <c r="M24" s="300"/>
      <c r="N24" s="300"/>
      <c r="O24" s="292"/>
      <c r="P24" s="292"/>
      <c r="Q24" s="292"/>
      <c r="R24" s="292"/>
    </row>
    <row r="25" spans="1:18">
      <c r="A25" s="459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1200</v>
      </c>
      <c r="H25" s="296">
        <f t="shared" ref="H25:H37" si="6">F25*G25</f>
        <v>18036</v>
      </c>
      <c r="I25" s="417"/>
      <c r="J25" s="297">
        <v>4</v>
      </c>
      <c r="K25" s="298">
        <f t="shared" ref="K25:K28" si="7">G25/P25*60</f>
        <v>2769.2307692307709</v>
      </c>
      <c r="L25" s="299">
        <f t="shared" ref="L25:L28" si="8">K25/J25</f>
        <v>692.30769230769272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459"/>
      <c r="B26" s="293" t="s">
        <v>131</v>
      </c>
      <c r="C26" s="314"/>
      <c r="D26" s="312" t="s">
        <v>107</v>
      </c>
      <c r="E26" s="317"/>
      <c r="F26" s="295">
        <v>18.18</v>
      </c>
      <c r="G26" s="416">
        <v>3293</v>
      </c>
      <c r="H26" s="296">
        <f t="shared" si="6"/>
        <v>59866.74</v>
      </c>
      <c r="I26" s="417"/>
      <c r="J26" s="297">
        <v>4</v>
      </c>
      <c r="K26" s="298">
        <f t="shared" si="7"/>
        <v>2782.8169014084497</v>
      </c>
      <c r="L26" s="299">
        <f t="shared" si="8"/>
        <v>695.70422535211242</v>
      </c>
      <c r="M26" s="300">
        <v>0.21249999999999999</v>
      </c>
      <c r="N26" s="300">
        <v>0.26180555555555557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459"/>
      <c r="B27" s="293" t="s">
        <v>131</v>
      </c>
      <c r="C27" s="314"/>
      <c r="D27" s="316" t="s">
        <v>109</v>
      </c>
      <c r="E27" s="317"/>
      <c r="F27" s="295">
        <v>18.53</v>
      </c>
      <c r="G27" s="416">
        <v>1909</v>
      </c>
      <c r="H27" s="296">
        <f t="shared" si="6"/>
        <v>35373.770000000004</v>
      </c>
      <c r="I27" s="417"/>
      <c r="J27" s="297">
        <v>3</v>
      </c>
      <c r="K27" s="298">
        <f t="shared" si="7"/>
        <v>2793.6585365853703</v>
      </c>
      <c r="L27" s="299">
        <f t="shared" si="8"/>
        <v>931.21951219512346</v>
      </c>
      <c r="M27" s="300">
        <v>0.27569444444444446</v>
      </c>
      <c r="N27" s="300">
        <v>0.30416666666666664</v>
      </c>
      <c r="O27" s="292">
        <v>20</v>
      </c>
      <c r="P27" s="411">
        <f t="shared" si="9"/>
        <v>40.999999999999936</v>
      </c>
      <c r="Q27" s="301"/>
      <c r="R27" s="301"/>
    </row>
    <row r="28" spans="1:18">
      <c r="A28" s="459"/>
      <c r="B28" s="293" t="s">
        <v>131</v>
      </c>
      <c r="C28" s="416"/>
      <c r="D28" s="312" t="s">
        <v>776</v>
      </c>
      <c r="E28" s="317"/>
      <c r="F28" s="295">
        <v>24.93</v>
      </c>
      <c r="G28" s="416">
        <v>3335</v>
      </c>
      <c r="H28" s="296">
        <f t="shared" si="6"/>
        <v>83141.55</v>
      </c>
      <c r="I28" s="417"/>
      <c r="J28" s="297">
        <v>3</v>
      </c>
      <c r="K28" s="298">
        <f t="shared" si="7"/>
        <v>2986.5671641791046</v>
      </c>
      <c r="L28" s="299">
        <f t="shared" si="8"/>
        <v>995.52238805970148</v>
      </c>
      <c r="M28" s="300">
        <v>0.31805555555555554</v>
      </c>
      <c r="N28" s="300">
        <v>0.36458333333333331</v>
      </c>
      <c r="O28" s="292">
        <v>20</v>
      </c>
      <c r="P28" s="411">
        <f t="shared" si="9"/>
        <v>67</v>
      </c>
      <c r="Q28" s="301"/>
      <c r="R28" s="301"/>
    </row>
    <row r="29" spans="1:18">
      <c r="A29" s="459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59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59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59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59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59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59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59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59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460"/>
      <c r="B38" s="293">
        <v>0</v>
      </c>
      <c r="C38" s="6" t="s">
        <v>27</v>
      </c>
      <c r="D38" s="450" t="s">
        <v>108</v>
      </c>
      <c r="E38" s="450"/>
      <c r="F38" s="304"/>
      <c r="G38" s="320"/>
      <c r="H38" s="306"/>
      <c r="I38" s="307"/>
      <c r="J38" s="308">
        <f>AVERAGE(J25:J37)</f>
        <v>3.5</v>
      </c>
      <c r="K38" s="308">
        <f>AVERAGE(K25:K37)</f>
        <v>2833.0683428509237</v>
      </c>
      <c r="L38" s="309">
        <f>AVERAGE(L25:L37)</f>
        <v>828.68845447865749</v>
      </c>
      <c r="M38" s="300"/>
      <c r="N38" s="300"/>
      <c r="O38" s="298"/>
      <c r="P38" s="298"/>
      <c r="Q38" s="299"/>
      <c r="R38" s="299"/>
    </row>
    <row r="39" spans="1:18" ht="16.2" customHeight="1">
      <c r="A39" s="461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62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62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62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62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62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62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62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62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63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63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63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64"/>
      <c r="B51" s="293">
        <v>0</v>
      </c>
      <c r="C51" s="6" t="s">
        <v>28</v>
      </c>
      <c r="D51" s="455" t="s">
        <v>655</v>
      </c>
      <c r="E51" s="455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5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999</v>
      </c>
      <c r="H52" s="296">
        <f>F52*G52</f>
        <v>18161.82</v>
      </c>
      <c r="I52" s="417"/>
      <c r="J52" s="297">
        <v>3</v>
      </c>
      <c r="K52" s="298">
        <f>G52/P52*60</f>
        <v>3154.7368421052479</v>
      </c>
      <c r="L52" s="299">
        <f>K52/J52</f>
        <v>1051.578947368416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466"/>
      <c r="B53" s="293" t="s">
        <v>131</v>
      </c>
      <c r="C53" s="416"/>
      <c r="D53" s="315" t="s">
        <v>110</v>
      </c>
      <c r="E53" s="331"/>
      <c r="F53" s="295">
        <v>25.03</v>
      </c>
      <c r="G53" s="302">
        <v>742</v>
      </c>
      <c r="H53" s="296">
        <f t="shared" ref="H53:H116" si="11">F53*G53</f>
        <v>18572.260000000002</v>
      </c>
      <c r="I53" s="417"/>
      <c r="J53" s="297">
        <v>4</v>
      </c>
      <c r="K53" s="298">
        <f t="shared" ref="K53:K57" si="12">G53/P53*60</f>
        <v>3179.9999999999932</v>
      </c>
      <c r="L53" s="299">
        <f t="shared" ref="L53:L57" si="13">K53/J53</f>
        <v>794.99999999999829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466"/>
      <c r="B54" s="293" t="s">
        <v>131</v>
      </c>
      <c r="C54" s="416"/>
      <c r="D54" s="315" t="s">
        <v>111</v>
      </c>
      <c r="E54" s="413"/>
      <c r="F54" s="295">
        <v>24.82</v>
      </c>
      <c r="G54" s="302">
        <v>996</v>
      </c>
      <c r="H54" s="296">
        <f t="shared" si="11"/>
        <v>24720.720000000001</v>
      </c>
      <c r="I54" s="417"/>
      <c r="J54" s="297">
        <v>4</v>
      </c>
      <c r="K54" s="298">
        <f t="shared" si="12"/>
        <v>3145.2631578947344</v>
      </c>
      <c r="L54" s="299">
        <f t="shared" si="13"/>
        <v>786.31578947368359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466"/>
      <c r="B55" s="293" t="s">
        <v>131</v>
      </c>
      <c r="C55" s="416"/>
      <c r="D55" s="315" t="s">
        <v>112</v>
      </c>
      <c r="E55" s="317"/>
      <c r="F55" s="295">
        <v>30</v>
      </c>
      <c r="G55" s="302">
        <v>1440</v>
      </c>
      <c r="H55" s="296">
        <f t="shared" si="11"/>
        <v>43200</v>
      </c>
      <c r="I55" s="417"/>
      <c r="J55" s="297">
        <v>4</v>
      </c>
      <c r="K55" s="298">
        <f t="shared" si="12"/>
        <v>3199.9999999999923</v>
      </c>
      <c r="L55" s="299">
        <f t="shared" si="13"/>
        <v>799.99999999999807</v>
      </c>
      <c r="M55" s="300">
        <v>0.3833333333333333</v>
      </c>
      <c r="N55" s="300">
        <v>0.40208333333333335</v>
      </c>
      <c r="O55" s="298">
        <v>20</v>
      </c>
      <c r="P55" s="411">
        <f t="shared" si="14"/>
        <v>27.000000000000064</v>
      </c>
      <c r="Q55" s="301">
        <v>0.40208333333333335</v>
      </c>
      <c r="R55" s="301">
        <v>0.44375000000000003</v>
      </c>
    </row>
    <row r="56" spans="1:18" ht="15.6" customHeight="1">
      <c r="A56" s="466"/>
      <c r="B56" s="293" t="s">
        <v>131</v>
      </c>
      <c r="C56" s="416"/>
      <c r="D56" s="316" t="s">
        <v>779</v>
      </c>
      <c r="E56" s="317"/>
      <c r="F56" s="295">
        <v>23.72</v>
      </c>
      <c r="G56" s="302">
        <v>1118</v>
      </c>
      <c r="H56" s="296">
        <f t="shared" si="11"/>
        <v>26518.959999999999</v>
      </c>
      <c r="I56" s="417"/>
      <c r="J56" s="297">
        <v>4</v>
      </c>
      <c r="K56" s="298">
        <f t="shared" si="12"/>
        <v>2916.521739130435</v>
      </c>
      <c r="L56" s="299">
        <f t="shared" si="13"/>
        <v>729.13043478260875</v>
      </c>
      <c r="M56" s="300">
        <v>0.46111111111111108</v>
      </c>
      <c r="N56" s="300">
        <v>0.4770833333333333</v>
      </c>
      <c r="O56" s="298">
        <v>20</v>
      </c>
      <c r="P56" s="411">
        <f t="shared" si="14"/>
        <v>23</v>
      </c>
      <c r="Q56" s="301"/>
      <c r="R56" s="301"/>
    </row>
    <row r="57" spans="1:18" ht="15.75" customHeight="1">
      <c r="A57" s="466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2569</v>
      </c>
      <c r="H57" s="296">
        <f t="shared" si="11"/>
        <v>43852.83</v>
      </c>
      <c r="I57" s="417"/>
      <c r="J57" s="297">
        <v>3</v>
      </c>
      <c r="K57" s="298">
        <f t="shared" si="12"/>
        <v>3145.7142857142817</v>
      </c>
      <c r="L57" s="299">
        <f t="shared" si="13"/>
        <v>1048.5714285714273</v>
      </c>
      <c r="M57" s="300">
        <v>0.4909722222222222</v>
      </c>
      <c r="N57" s="300">
        <v>0.52500000000000002</v>
      </c>
      <c r="O57" s="298">
        <v>20</v>
      </c>
      <c r="P57" s="411">
        <f t="shared" si="14"/>
        <v>49.000000000000064</v>
      </c>
      <c r="Q57" s="301"/>
      <c r="R57" s="301"/>
    </row>
    <row r="58" spans="1:18" ht="15.6" customHeight="1">
      <c r="A58" s="46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7"/>
      <c r="B64" s="293">
        <v>0</v>
      </c>
      <c r="C64" s="6" t="s">
        <v>781</v>
      </c>
      <c r="D64" s="455" t="s">
        <v>655</v>
      </c>
      <c r="E64" s="455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3123.7060041407808</v>
      </c>
      <c r="L64" s="309">
        <f>AVERAGE(L52:L63)</f>
        <v>868.4327666993554</v>
      </c>
      <c r="M64" s="300"/>
      <c r="N64" s="300"/>
      <c r="O64" s="292"/>
      <c r="P64" s="292"/>
      <c r="Q64" s="292"/>
      <c r="R64" s="292"/>
    </row>
    <row r="65" spans="1:18" ht="15.6" customHeight="1">
      <c r="A65" s="452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734</v>
      </c>
      <c r="H65" s="296">
        <f>F65*G65</f>
        <v>16354.854545454546</v>
      </c>
      <c r="I65" s="417"/>
      <c r="J65" s="297">
        <v>4</v>
      </c>
      <c r="K65" s="298">
        <f t="shared" ref="K65:K72" si="15">G65/P65*60</f>
        <v>3145.7142857142881</v>
      </c>
      <c r="L65" s="299">
        <f t="shared" ref="L65:L72" si="16">K65/J65</f>
        <v>786.42857142857201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53"/>
      <c r="B66" s="293" t="s">
        <v>131</v>
      </c>
      <c r="C66" s="416"/>
      <c r="D66" s="316" t="s">
        <v>115</v>
      </c>
      <c r="E66" s="331"/>
      <c r="F66" s="295">
        <v>18.18</v>
      </c>
      <c r="G66" s="302">
        <v>1610</v>
      </c>
      <c r="H66" s="296">
        <f t="shared" ref="H66:H74" si="17">F66*G66</f>
        <v>29269.8</v>
      </c>
      <c r="I66" s="417"/>
      <c r="J66" s="297">
        <v>3</v>
      </c>
      <c r="K66" s="298">
        <f t="shared" si="15"/>
        <v>3116.1290322580671</v>
      </c>
      <c r="L66" s="299">
        <f t="shared" si="16"/>
        <v>1038.7096774193558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453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1762</v>
      </c>
      <c r="H67" s="296">
        <f t="shared" si="17"/>
        <v>31523.781818181818</v>
      </c>
      <c r="I67" s="417"/>
      <c r="J67" s="297">
        <v>3</v>
      </c>
      <c r="K67" s="298">
        <f t="shared" si="15"/>
        <v>3109.411764705882</v>
      </c>
      <c r="L67" s="299">
        <f t="shared" si="16"/>
        <v>1036.4705882352939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453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5033</v>
      </c>
      <c r="H68" s="296">
        <f t="shared" si="17"/>
        <v>71899.999999999985</v>
      </c>
      <c r="I68" s="417"/>
      <c r="J68" s="297">
        <v>3</v>
      </c>
      <c r="K68" s="298">
        <f t="shared" si="15"/>
        <v>3178.7368421052638</v>
      </c>
      <c r="L68" s="299">
        <f t="shared" si="16"/>
        <v>1059.5789473684213</v>
      </c>
      <c r="M68" s="300">
        <v>0.32222222222222224</v>
      </c>
      <c r="N68" s="300">
        <v>0.38819444444444445</v>
      </c>
      <c r="O68" s="298">
        <v>20</v>
      </c>
      <c r="P68" s="411">
        <f t="shared" si="18"/>
        <v>94.999999999999986</v>
      </c>
      <c r="Q68" s="301"/>
      <c r="R68" s="301"/>
    </row>
    <row r="69" spans="1:18" ht="15.6" customHeight="1">
      <c r="A69" s="453"/>
      <c r="B69" s="293" t="s">
        <v>131</v>
      </c>
      <c r="C69" s="416"/>
      <c r="D69" s="316" t="s">
        <v>785</v>
      </c>
      <c r="E69" s="317"/>
      <c r="F69" s="295">
        <v>16.66</v>
      </c>
      <c r="G69" s="302">
        <v>3196</v>
      </c>
      <c r="H69" s="296">
        <f t="shared" si="17"/>
        <v>53245.36</v>
      </c>
      <c r="I69" s="417"/>
      <c r="J69" s="297">
        <v>4</v>
      </c>
      <c r="K69" s="298">
        <f t="shared" si="15"/>
        <v>3195.9999999999986</v>
      </c>
      <c r="L69" s="299">
        <f t="shared" si="16"/>
        <v>798.99999999999966</v>
      </c>
      <c r="M69" s="300">
        <v>0.40208333333333335</v>
      </c>
      <c r="N69" s="300">
        <v>0.44375000000000003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453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3048</v>
      </c>
      <c r="H70" s="296">
        <f t="shared" si="17"/>
        <v>42763.439999999995</v>
      </c>
      <c r="I70" s="417"/>
      <c r="J70" s="297">
        <v>3</v>
      </c>
      <c r="K70" s="298">
        <f t="shared" si="15"/>
        <v>3153.1034482758646</v>
      </c>
      <c r="L70" s="299">
        <f t="shared" si="16"/>
        <v>1051.0344827586216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453"/>
      <c r="B71" s="293" t="s">
        <v>131</v>
      </c>
      <c r="C71" s="314"/>
      <c r="D71" s="332" t="s">
        <v>786</v>
      </c>
      <c r="E71" s="317"/>
      <c r="F71" s="295">
        <v>25.2</v>
      </c>
      <c r="G71" s="334">
        <v>1151</v>
      </c>
      <c r="H71" s="296">
        <f t="shared" si="17"/>
        <v>29005.200000000001</v>
      </c>
      <c r="I71" s="417"/>
      <c r="J71" s="297">
        <v>3</v>
      </c>
      <c r="K71" s="298">
        <f t="shared" si="15"/>
        <v>3139.090909090909</v>
      </c>
      <c r="L71" s="299">
        <f t="shared" si="16"/>
        <v>1046.3636363636363</v>
      </c>
      <c r="M71" s="300">
        <v>0.47013888888888888</v>
      </c>
      <c r="N71" s="300">
        <v>0.48541666666666666</v>
      </c>
      <c r="O71" s="298">
        <v>20</v>
      </c>
      <c r="P71" s="411">
        <f t="shared" si="18"/>
        <v>22</v>
      </c>
      <c r="Q71" s="301"/>
      <c r="R71" s="301"/>
    </row>
    <row r="72" spans="1:18" ht="15.6" customHeight="1">
      <c r="A72" s="453"/>
      <c r="B72" s="293" t="s">
        <v>131</v>
      </c>
      <c r="C72" s="416"/>
      <c r="D72" s="332" t="s">
        <v>787</v>
      </c>
      <c r="E72" s="317"/>
      <c r="F72" s="295">
        <v>20.72</v>
      </c>
      <c r="G72" s="302">
        <v>2612</v>
      </c>
      <c r="H72" s="296">
        <f t="shared" si="17"/>
        <v>54120.639999999999</v>
      </c>
      <c r="I72" s="417"/>
      <c r="J72" s="297">
        <v>3</v>
      </c>
      <c r="K72" s="298">
        <f t="shared" si="15"/>
        <v>3198.3673469387713</v>
      </c>
      <c r="L72" s="299">
        <f t="shared" si="16"/>
        <v>1066.1224489795904</v>
      </c>
      <c r="M72" s="300">
        <v>0.4993055555555555</v>
      </c>
      <c r="N72" s="300">
        <v>0.53333333333333333</v>
      </c>
      <c r="O72" s="298">
        <v>20</v>
      </c>
      <c r="P72" s="411">
        <f t="shared" si="18"/>
        <v>49.000000000000064</v>
      </c>
      <c r="Q72" s="301"/>
      <c r="R72" s="301"/>
    </row>
    <row r="73" spans="1:18" ht="15.6" customHeight="1">
      <c r="A73" s="453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53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54"/>
      <c r="B75" s="293">
        <v>0</v>
      </c>
      <c r="C75" s="6" t="s">
        <v>788</v>
      </c>
      <c r="D75" s="455" t="s">
        <v>655</v>
      </c>
      <c r="E75" s="455"/>
      <c r="F75" s="304"/>
      <c r="G75" s="309"/>
      <c r="H75" s="327"/>
      <c r="I75" s="328"/>
      <c r="J75" s="308">
        <f>AVERAGE(J65:J74)</f>
        <v>3.25</v>
      </c>
      <c r="K75" s="308">
        <f>AVERAGE(K65:K74)</f>
        <v>3154.5692036361306</v>
      </c>
      <c r="L75" s="309">
        <f>AVERAGE(L65:L74)</f>
        <v>985.46354406918636</v>
      </c>
      <c r="M75" s="300"/>
      <c r="N75" s="300"/>
      <c r="O75" s="292"/>
      <c r="P75" s="292"/>
      <c r="Q75" s="292"/>
      <c r="R75" s="292"/>
    </row>
    <row r="76" spans="1:18" ht="16.2" customHeight="1">
      <c r="A76" s="456" t="s">
        <v>117</v>
      </c>
      <c r="B76" s="293">
        <v>0</v>
      </c>
      <c r="C76" s="293"/>
      <c r="D76" s="457"/>
      <c r="E76" s="458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56"/>
      <c r="B77" s="293">
        <v>0</v>
      </c>
      <c r="C77" s="293"/>
      <c r="D77" s="457"/>
      <c r="E77" s="458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56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56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56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56"/>
      <c r="B81" s="293">
        <v>0</v>
      </c>
      <c r="C81" s="6" t="s">
        <v>31</v>
      </c>
      <c r="D81" s="450" t="s">
        <v>655</v>
      </c>
      <c r="E81" s="450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41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1032</v>
      </c>
      <c r="H82" s="341">
        <f t="shared" ref="H82:H90" si="19">F82*G82</f>
        <v>17771.039999999997</v>
      </c>
      <c r="I82" s="417"/>
      <c r="J82" s="297">
        <v>3</v>
      </c>
      <c r="K82" s="298">
        <f t="shared" ref="K82" si="20">G82/P82*60</f>
        <v>3095.9999999999864</v>
      </c>
      <c r="L82" s="299">
        <f t="shared" ref="L82" si="21">K82/J82</f>
        <v>1031.9999999999955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42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42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42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42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42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42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42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42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442"/>
      <c r="B91" s="293">
        <v>0</v>
      </c>
      <c r="C91" s="6" t="s">
        <v>774</v>
      </c>
      <c r="D91" s="443" t="s">
        <v>655</v>
      </c>
      <c r="E91" s="443"/>
      <c r="F91" s="304"/>
      <c r="G91" s="344"/>
      <c r="H91" s="345"/>
      <c r="I91" s="307"/>
      <c r="J91" s="308">
        <f>AVERAGE(J82:J90)</f>
        <v>3</v>
      </c>
      <c r="K91" s="308">
        <f>AVERAGE(K82:K90)</f>
        <v>3095.9999999999864</v>
      </c>
      <c r="L91" s="309">
        <f>AVERAGE(L82:L90)</f>
        <v>1031.9999999999955</v>
      </c>
      <c r="M91" s="300"/>
      <c r="N91" s="300"/>
      <c r="O91" s="298"/>
      <c r="P91" s="298"/>
      <c r="Q91" s="299"/>
      <c r="R91" s="299"/>
    </row>
    <row r="92" spans="1:18" ht="16.2" customHeight="1">
      <c r="A92" s="444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1626</v>
      </c>
      <c r="H92" s="296">
        <f t="shared" ref="H92:H99" si="23">F92*G92</f>
        <v>39902.04</v>
      </c>
      <c r="I92" s="417"/>
      <c r="J92" s="297">
        <v>3</v>
      </c>
      <c r="K92" s="298">
        <f>G92/P92*60</f>
        <v>2168</v>
      </c>
      <c r="L92" s="299">
        <f t="shared" ref="L92:L93" si="24">K92/J92</f>
        <v>722.66666666666663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445"/>
      <c r="B93" s="293" t="s">
        <v>131</v>
      </c>
      <c r="C93" s="293"/>
      <c r="D93" s="315" t="s">
        <v>793</v>
      </c>
      <c r="E93" s="335"/>
      <c r="F93" s="295">
        <v>23.27</v>
      </c>
      <c r="G93" s="302">
        <v>1242</v>
      </c>
      <c r="H93" s="296">
        <f t="shared" si="23"/>
        <v>28901.34</v>
      </c>
      <c r="I93" s="417"/>
      <c r="J93" s="297">
        <v>4</v>
      </c>
      <c r="K93" s="298">
        <f t="shared" ref="K93" si="25">G93/P93*60</f>
        <v>2129.1428571428651</v>
      </c>
      <c r="L93" s="299">
        <f t="shared" si="24"/>
        <v>532.28571428571627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445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6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6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6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6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6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6"/>
      <c r="B100" s="293">
        <v>0</v>
      </c>
      <c r="C100" s="6" t="s">
        <v>794</v>
      </c>
      <c r="D100" s="447" t="s">
        <v>655</v>
      </c>
      <c r="E100" s="448"/>
      <c r="F100" s="304"/>
      <c r="G100" s="305"/>
      <c r="H100" s="347"/>
      <c r="I100" s="307"/>
      <c r="J100" s="308">
        <f>AVERAGE(J92:J99)</f>
        <v>3.5</v>
      </c>
      <c r="K100" s="308">
        <f>AVERAGE(K92:K99)</f>
        <v>2148.5714285714325</v>
      </c>
      <c r="L100" s="309">
        <f>AVERAGE(L92:L99)</f>
        <v>627.4761904761915</v>
      </c>
      <c r="M100" s="300"/>
      <c r="N100" s="300"/>
      <c r="O100" s="298"/>
      <c r="P100" s="298"/>
      <c r="Q100" s="299"/>
      <c r="R100" s="299"/>
    </row>
    <row r="101" spans="1:18" ht="16.2" customHeight="1">
      <c r="A101" s="449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1217</v>
      </c>
      <c r="H101" s="296">
        <f t="shared" ref="H101:H110" si="26">F101*G101</f>
        <v>30461.510000000002</v>
      </c>
      <c r="I101" s="417"/>
      <c r="J101" s="297">
        <v>4</v>
      </c>
      <c r="K101" s="298">
        <f>G101/P101*60</f>
        <v>2920.799999999992</v>
      </c>
      <c r="L101" s="299">
        <f t="shared" ref="L101:L105" si="27">K101/J101</f>
        <v>730.199999999998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9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1946</v>
      </c>
      <c r="H102" s="296">
        <f t="shared" si="26"/>
        <v>48299.72</v>
      </c>
      <c r="I102" s="417"/>
      <c r="J102" s="297">
        <v>4</v>
      </c>
      <c r="K102" s="298">
        <f t="shared" ref="K102:K105" si="29">G102/P102*60</f>
        <v>2918.9999999999991</v>
      </c>
      <c r="L102" s="299">
        <f t="shared" si="27"/>
        <v>729.74999999999977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449"/>
      <c r="B103" s="293" t="s">
        <v>131</v>
      </c>
      <c r="C103" s="6"/>
      <c r="D103" s="315" t="s">
        <v>796</v>
      </c>
      <c r="E103" s="315"/>
      <c r="F103" s="295">
        <v>30</v>
      </c>
      <c r="G103" s="416">
        <v>2114</v>
      </c>
      <c r="H103" s="296">
        <f t="shared" si="26"/>
        <v>63420</v>
      </c>
      <c r="I103" s="417"/>
      <c r="J103" s="297">
        <v>3</v>
      </c>
      <c r="K103" s="298">
        <f t="shared" si="29"/>
        <v>3170.9999999999986</v>
      </c>
      <c r="L103" s="299">
        <f t="shared" si="27"/>
        <v>1056.9999999999995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449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3378</v>
      </c>
      <c r="H104" s="296">
        <f t="shared" si="26"/>
        <v>96509.46</v>
      </c>
      <c r="I104" s="417"/>
      <c r="J104" s="297">
        <v>3</v>
      </c>
      <c r="K104" s="298">
        <f t="shared" si="29"/>
        <v>3118.1538461538339</v>
      </c>
      <c r="L104" s="299">
        <f t="shared" si="27"/>
        <v>1039.3846153846114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449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9679</v>
      </c>
      <c r="H105" s="296">
        <f t="shared" si="26"/>
        <v>138271.42857142855</v>
      </c>
      <c r="I105" s="417"/>
      <c r="J105" s="297">
        <v>3</v>
      </c>
      <c r="K105" s="298">
        <f t="shared" si="29"/>
        <v>3056.5263157707459</v>
      </c>
      <c r="L105" s="299">
        <f t="shared" si="27"/>
        <v>1018.8421052569153</v>
      </c>
      <c r="M105" s="300">
        <v>46180.9375</v>
      </c>
      <c r="N105" s="300">
        <v>46181.069444444445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449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9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9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9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9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9"/>
      <c r="B111" s="293">
        <v>0</v>
      </c>
      <c r="C111" s="6" t="s">
        <v>781</v>
      </c>
      <c r="D111" s="450" t="s">
        <v>655</v>
      </c>
      <c r="E111" s="451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3037.096032384914</v>
      </c>
      <c r="L111" s="309">
        <f>AVERAGE(L101:L110)</f>
        <v>915.03534412830481</v>
      </c>
      <c r="M111" s="300"/>
      <c r="N111" s="300"/>
      <c r="O111" s="298"/>
      <c r="P111" s="298"/>
      <c r="Q111" s="299"/>
      <c r="R111" s="292"/>
    </row>
    <row r="112" spans="1:18" ht="16.2" customHeight="1">
      <c r="A112" s="439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1654</v>
      </c>
      <c r="H112" s="341">
        <f t="shared" si="11"/>
        <v>27621.8</v>
      </c>
      <c r="I112" s="417"/>
      <c r="J112" s="297">
        <v>3</v>
      </c>
      <c r="K112" s="298">
        <f t="shared" ref="K112:K118" si="30">G112/P112*60</f>
        <v>3308.0000000000118</v>
      </c>
      <c r="L112" s="299">
        <f t="shared" ref="L112:L118" si="31">K112/J112</f>
        <v>1102.6666666666706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39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1048</v>
      </c>
      <c r="H113" s="341">
        <f t="shared" si="11"/>
        <v>19052.64</v>
      </c>
      <c r="I113" s="417"/>
      <c r="J113" s="297">
        <v>4</v>
      </c>
      <c r="K113" s="298">
        <f t="shared" si="30"/>
        <v>3144.0000000000109</v>
      </c>
      <c r="L113" s="299">
        <f t="shared" si="31"/>
        <v>786.00000000000273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439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1208</v>
      </c>
      <c r="H114" s="341">
        <f t="shared" si="11"/>
        <v>21961.439999999999</v>
      </c>
      <c r="I114" s="417"/>
      <c r="J114" s="297">
        <v>3</v>
      </c>
      <c r="K114" s="298">
        <f t="shared" si="30"/>
        <v>2899.2000000000289</v>
      </c>
      <c r="L114" s="299">
        <f t="shared" si="31"/>
        <v>966.40000000000964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439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6431</v>
      </c>
      <c r="H115" s="341">
        <f t="shared" si="11"/>
        <v>107140.46</v>
      </c>
      <c r="I115" s="417"/>
      <c r="J115" s="297">
        <v>4</v>
      </c>
      <c r="K115" s="298">
        <f t="shared" si="30"/>
        <v>2968.1538461538494</v>
      </c>
      <c r="L115" s="299">
        <f t="shared" si="31"/>
        <v>742.03846153846234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439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2760.00000000001</v>
      </c>
      <c r="L116" s="299">
        <f t="shared" si="31"/>
        <v>690.0000000000025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439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4187</v>
      </c>
      <c r="H117" s="341">
        <f t="shared" ref="H117:H123" si="33">F117*G117</f>
        <v>74909.236363636359</v>
      </c>
      <c r="I117" s="417"/>
      <c r="J117" s="297">
        <v>3</v>
      </c>
      <c r="K117" s="298">
        <f t="shared" si="30"/>
        <v>3140.2500000456967</v>
      </c>
      <c r="L117" s="299">
        <f t="shared" si="31"/>
        <v>1046.7500000152322</v>
      </c>
      <c r="M117" s="300">
        <v>46180.996527777781</v>
      </c>
      <c r="N117" s="300">
        <v>46181.052083333336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439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6794</v>
      </c>
      <c r="H118" s="341">
        <f t="shared" si="33"/>
        <v>95319.819999999992</v>
      </c>
      <c r="I118" s="417"/>
      <c r="J118" s="297">
        <v>3</v>
      </c>
      <c r="K118" s="298">
        <f t="shared" si="30"/>
        <v>3135.6923076923076</v>
      </c>
      <c r="L118" s="299">
        <f t="shared" si="31"/>
        <v>1045.2307692307693</v>
      </c>
      <c r="M118" s="300">
        <v>6.5972222222222224E-2</v>
      </c>
      <c r="N118" s="300">
        <v>0.15625</v>
      </c>
      <c r="O118" s="298">
        <v>20</v>
      </c>
      <c r="P118" s="411">
        <f t="shared" si="32"/>
        <v>130</v>
      </c>
      <c r="Q118" s="301"/>
      <c r="R118" s="301"/>
    </row>
    <row r="119" spans="1:18">
      <c r="A119" s="439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39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39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39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39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439"/>
      <c r="B124" s="293">
        <v>0</v>
      </c>
      <c r="C124" s="6" t="s">
        <v>788</v>
      </c>
      <c r="D124" s="440" t="s">
        <v>655</v>
      </c>
      <c r="E124" s="440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3050.7565934131308</v>
      </c>
      <c r="L124" s="309">
        <f>AVERAGE(L112:L123)</f>
        <v>911.29798535016414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H102" sqref="H102"/>
      <selection pane="bottomLeft" activeCell="Q38" sqref="Q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701</v>
      </c>
      <c r="B1" s="28"/>
      <c r="C1" s="28"/>
      <c r="D1" s="438" t="s">
        <v>702</v>
      </c>
      <c r="E1" s="29">
        <f>SUM(G5:G173)</f>
        <v>205376.39999999994</v>
      </c>
      <c r="F1" s="422" t="s">
        <v>3</v>
      </c>
      <c r="G1" s="30">
        <f>SUM(H5:H173)</f>
        <v>8178707.1003822628</v>
      </c>
      <c r="H1" s="437" t="s">
        <v>37</v>
      </c>
      <c r="I1" s="31">
        <f>M17+M30+M43+M56+M69+M82+M95+M108+M121+M134+M147+M160+M173</f>
        <v>195.41439393939393</v>
      </c>
      <c r="J1" s="579" t="s">
        <v>38</v>
      </c>
      <c r="K1" s="579"/>
      <c r="L1" s="579"/>
      <c r="M1" s="579" t="s">
        <v>39</v>
      </c>
      <c r="N1" s="579"/>
      <c r="O1" s="579"/>
      <c r="P1" s="579" t="s">
        <v>703</v>
      </c>
      <c r="Q1" s="579"/>
      <c r="R1" s="579"/>
      <c r="S1" s="579"/>
      <c r="T1" s="579" t="s">
        <v>704</v>
      </c>
      <c r="U1" s="579"/>
      <c r="V1" s="579"/>
      <c r="W1" s="579"/>
      <c r="X1" s="579"/>
      <c r="Y1" s="579"/>
      <c r="Z1" s="32" t="s">
        <v>705</v>
      </c>
      <c r="AA1" s="32" t="s">
        <v>706</v>
      </c>
      <c r="AB1" s="595" t="s">
        <v>707</v>
      </c>
      <c r="AC1" s="596"/>
      <c r="AD1" s="32" t="s">
        <v>705</v>
      </c>
      <c r="AE1" s="32" t="s">
        <v>708</v>
      </c>
      <c r="AF1" s="579" t="s">
        <v>709</v>
      </c>
      <c r="AG1" s="580"/>
      <c r="AH1" s="580"/>
    </row>
    <row r="2" spans="1:34" ht="26.25" customHeight="1">
      <c r="A2" s="587" t="s">
        <v>710</v>
      </c>
      <c r="B2" s="587"/>
      <c r="C2" s="438"/>
      <c r="D2" s="438" t="s">
        <v>711</v>
      </c>
      <c r="E2" s="34">
        <f>AVERAGE(O17,O30,O43,O56,O69,O82,O95,O108,O121,O134,O147,O160,O173)</f>
        <v>120.461748395114</v>
      </c>
      <c r="F2" s="35" t="s">
        <v>40</v>
      </c>
      <c r="G2" s="36">
        <f>G1/E1</f>
        <v>39.823013259470251</v>
      </c>
      <c r="H2" s="437" t="s">
        <v>41</v>
      </c>
      <c r="I2" s="437">
        <f>COUNT(I5:I173)</f>
        <v>13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712</v>
      </c>
      <c r="B3" s="588" t="s">
        <v>42</v>
      </c>
      <c r="C3" s="589"/>
      <c r="D3" s="588" t="s">
        <v>713</v>
      </c>
      <c r="E3" s="588"/>
      <c r="F3" s="589" t="s">
        <v>43</v>
      </c>
      <c r="G3" s="604" t="s">
        <v>44</v>
      </c>
      <c r="H3" s="589" t="s">
        <v>45</v>
      </c>
      <c r="I3" s="581" t="s">
        <v>714</v>
      </c>
      <c r="J3" s="582" t="s">
        <v>46</v>
      </c>
      <c r="K3" s="583" t="s">
        <v>47</v>
      </c>
      <c r="L3" s="584" t="s">
        <v>35</v>
      </c>
      <c r="M3" s="604" t="s">
        <v>46</v>
      </c>
      <c r="N3" s="583" t="s">
        <v>715</v>
      </c>
      <c r="O3" s="584" t="s">
        <v>711</v>
      </c>
      <c r="P3" s="582" t="s">
        <v>716</v>
      </c>
      <c r="Q3" s="584" t="s">
        <v>711</v>
      </c>
      <c r="R3" s="585" t="s">
        <v>717</v>
      </c>
      <c r="S3" s="586" t="s">
        <v>718</v>
      </c>
      <c r="T3" s="604" t="s">
        <v>48</v>
      </c>
      <c r="U3" s="604"/>
      <c r="V3" s="605" t="s">
        <v>49</v>
      </c>
      <c r="W3" s="581" t="s">
        <v>719</v>
      </c>
      <c r="X3" s="604" t="s">
        <v>720</v>
      </c>
      <c r="Y3" s="604"/>
      <c r="Z3" s="606" t="s">
        <v>721</v>
      </c>
      <c r="AA3" s="607"/>
      <c r="AB3" s="591" t="s">
        <v>722</v>
      </c>
      <c r="AC3" s="592"/>
      <c r="AD3" s="593" t="s">
        <v>723</v>
      </c>
      <c r="AE3" s="594"/>
      <c r="AF3" s="583" t="s">
        <v>715</v>
      </c>
      <c r="AG3" s="585" t="s">
        <v>717</v>
      </c>
      <c r="AH3" s="586" t="s">
        <v>718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50</v>
      </c>
      <c r="U4" s="432" t="s">
        <v>51</v>
      </c>
      <c r="V4" s="604"/>
      <c r="W4" s="581"/>
      <c r="X4" s="422" t="s">
        <v>724</v>
      </c>
      <c r="Y4" s="422" t="s">
        <v>36</v>
      </c>
      <c r="Z4" s="432" t="s">
        <v>725</v>
      </c>
      <c r="AA4" s="432" t="s">
        <v>726</v>
      </c>
      <c r="AB4" s="592"/>
      <c r="AC4" s="592"/>
      <c r="AD4" s="432" t="s">
        <v>727</v>
      </c>
      <c r="AE4" s="39" t="s">
        <v>728</v>
      </c>
      <c r="AF4" s="583"/>
      <c r="AG4" s="585"/>
      <c r="AH4" s="586"/>
    </row>
    <row r="5" spans="1:34" ht="18.75" customHeight="1">
      <c r="A5" s="599" t="s">
        <v>729</v>
      </c>
      <c r="B5" s="40" t="s">
        <v>127</v>
      </c>
      <c r="C5" s="41"/>
      <c r="D5" s="42" t="s">
        <v>52</v>
      </c>
      <c r="E5" s="43"/>
      <c r="F5" s="355">
        <v>37.83</v>
      </c>
      <c r="G5" s="44">
        <v>6836.2</v>
      </c>
      <c r="H5" s="45">
        <f t="shared" ref="H5:H16" si="0">F5*G5</f>
        <v>258613.44599999997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2343.8399999999997</v>
      </c>
      <c r="O5" s="47">
        <f t="shared" ref="O5:O12" si="2">N5/M5</f>
        <v>117.19199999999998</v>
      </c>
      <c r="P5" s="48">
        <f t="shared" ref="P5:P12" si="3">M5-J5</f>
        <v>0</v>
      </c>
      <c r="Q5" s="49">
        <f t="shared" ref="Q5:Q12" si="4">O5-L5</f>
        <v>-2.8080000000000211</v>
      </c>
      <c r="R5" s="424">
        <f t="shared" ref="R5:R12" si="5">O5/L5</f>
        <v>0.9765999999999998</v>
      </c>
      <c r="S5" s="602">
        <f>R17</f>
        <v>0.91440457386409124</v>
      </c>
      <c r="T5" s="89">
        <v>0.25</v>
      </c>
      <c r="U5" s="89">
        <v>0.37152777777777779</v>
      </c>
      <c r="V5" s="422">
        <v>5</v>
      </c>
      <c r="W5" s="433">
        <f>(U5-T5)*24*60</f>
        <v>175.00000000000003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-56.160000000000309</v>
      </c>
      <c r="AG5" s="424">
        <f t="shared" ref="AG5:AG70" si="7">N5/K5</f>
        <v>0.97659999999999991</v>
      </c>
      <c r="AH5" s="602">
        <f>AG17</f>
        <v>0.92370447577700165</v>
      </c>
    </row>
    <row r="6" spans="1:34" ht="19.2" customHeight="1">
      <c r="A6" s="600"/>
      <c r="B6" s="40" t="s">
        <v>127</v>
      </c>
      <c r="C6" s="41"/>
      <c r="D6" s="42" t="s">
        <v>188</v>
      </c>
      <c r="E6" s="43"/>
      <c r="F6" s="355">
        <v>38.99</v>
      </c>
      <c r="G6" s="44">
        <v>1953</v>
      </c>
      <c r="H6" s="45">
        <f t="shared" si="0"/>
        <v>76147.47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2391.428571428572</v>
      </c>
      <c r="O6" s="47">
        <f t="shared" si="2"/>
        <v>140.67226890756305</v>
      </c>
      <c r="P6" s="48">
        <f t="shared" si="3"/>
        <v>0</v>
      </c>
      <c r="Q6" s="49">
        <f t="shared" si="4"/>
        <v>-18.151260504201645</v>
      </c>
      <c r="R6" s="424">
        <f t="shared" si="5"/>
        <v>0.8857142857142859</v>
      </c>
      <c r="S6" s="602"/>
      <c r="T6" s="89">
        <v>0.38819444444444445</v>
      </c>
      <c r="U6" s="89">
        <v>0.42222222222222222</v>
      </c>
      <c r="V6" s="422">
        <v>24</v>
      </c>
      <c r="W6" s="433">
        <f t="shared" ref="W6:W17" si="8">(U6-T6)*24*60</f>
        <v>48.999999999999986</v>
      </c>
      <c r="X6" s="53">
        <v>0.37638888888888888</v>
      </c>
      <c r="Y6" s="53">
        <v>0.38750000000000001</v>
      </c>
      <c r="Z6" s="54"/>
      <c r="AA6" s="54"/>
      <c r="AB6" s="588"/>
      <c r="AC6" s="588"/>
      <c r="AD6" s="420"/>
      <c r="AE6" s="420"/>
      <c r="AF6" s="48">
        <f t="shared" si="6"/>
        <v>-308.57142857142799</v>
      </c>
      <c r="AG6" s="424">
        <f t="shared" si="7"/>
        <v>0.8857142857142859</v>
      </c>
      <c r="AH6" s="602"/>
    </row>
    <row r="7" spans="1:34" ht="19.2" customHeight="1">
      <c r="A7" s="600"/>
      <c r="B7" s="40" t="s">
        <v>127</v>
      </c>
      <c r="C7" s="41"/>
      <c r="D7" s="42" t="s">
        <v>184</v>
      </c>
      <c r="E7" s="43"/>
      <c r="F7" s="355">
        <v>28.86</v>
      </c>
      <c r="G7" s="44">
        <v>2282</v>
      </c>
      <c r="H7" s="45">
        <f t="shared" si="0"/>
        <v>65858.52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2402.1052631578932</v>
      </c>
      <c r="O7" s="47">
        <f t="shared" si="2"/>
        <v>141.30030959752312</v>
      </c>
      <c r="P7" s="48">
        <f t="shared" si="3"/>
        <v>0</v>
      </c>
      <c r="Q7" s="49">
        <f t="shared" si="4"/>
        <v>-17.523219814241571</v>
      </c>
      <c r="R7" s="424">
        <f t="shared" si="5"/>
        <v>0.88966861598440494</v>
      </c>
      <c r="S7" s="602"/>
      <c r="T7" s="89">
        <v>0.42708333333333331</v>
      </c>
      <c r="U7" s="89">
        <v>0.46666666666666667</v>
      </c>
      <c r="V7" s="422">
        <v>7</v>
      </c>
      <c r="W7" s="433">
        <f t="shared" si="8"/>
        <v>57.000000000000036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-297.89473684210679</v>
      </c>
      <c r="AG7" s="424">
        <f t="shared" si="7"/>
        <v>0.88966861598440494</v>
      </c>
      <c r="AH7" s="602"/>
    </row>
    <row r="8" spans="1:34" ht="19.2" customHeight="1">
      <c r="A8" s="600"/>
      <c r="B8" s="40" t="s">
        <v>127</v>
      </c>
      <c r="C8" s="41"/>
      <c r="D8" s="42" t="s">
        <v>53</v>
      </c>
      <c r="E8" s="43"/>
      <c r="F8" s="355">
        <v>31.11</v>
      </c>
      <c r="G8" s="44">
        <v>3397</v>
      </c>
      <c r="H8" s="45">
        <f t="shared" si="0"/>
        <v>105680.67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2579.9999999999986</v>
      </c>
      <c r="O8" s="47">
        <f t="shared" si="2"/>
        <v>135.78947368421046</v>
      </c>
      <c r="P8" s="48">
        <f t="shared" si="3"/>
        <v>1</v>
      </c>
      <c r="Q8" s="49">
        <f t="shared" si="4"/>
        <v>-14.210526315789537</v>
      </c>
      <c r="R8" s="424">
        <f t="shared" si="5"/>
        <v>0.90526315789473644</v>
      </c>
      <c r="S8" s="602"/>
      <c r="T8" s="89">
        <v>0.50694444444444442</v>
      </c>
      <c r="U8" s="89">
        <v>0.56180555555555556</v>
      </c>
      <c r="V8" s="422">
        <v>5</v>
      </c>
      <c r="W8" s="433">
        <f t="shared" si="8"/>
        <v>79.000000000000043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-120.00000000000136</v>
      </c>
      <c r="AG8" s="424">
        <f t="shared" si="7"/>
        <v>0.95555555555555505</v>
      </c>
      <c r="AH8" s="602"/>
    </row>
    <row r="9" spans="1:34" ht="19.2" customHeight="1">
      <c r="A9" s="600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602"/>
      <c r="T9" s="89">
        <v>0.56666666666666665</v>
      </c>
      <c r="U9" s="89">
        <v>0.6166666666666667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602"/>
    </row>
    <row r="10" spans="1:34" ht="19.2" customHeight="1">
      <c r="A10" s="601"/>
      <c r="B10" s="40" t="s">
        <v>127</v>
      </c>
      <c r="C10" s="41"/>
      <c r="D10" s="42" t="s">
        <v>205</v>
      </c>
      <c r="E10" s="43"/>
      <c r="F10" s="355">
        <v>46.93</v>
      </c>
      <c r="G10" s="44">
        <v>1759</v>
      </c>
      <c r="H10" s="45">
        <f t="shared" si="0"/>
        <v>82549.87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2110.8000000000002</v>
      </c>
      <c r="O10" s="47">
        <f t="shared" si="2"/>
        <v>117.26666666666668</v>
      </c>
      <c r="P10" s="48">
        <f t="shared" si="3"/>
        <v>0</v>
      </c>
      <c r="Q10" s="49">
        <f t="shared" si="4"/>
        <v>-16.066666666666663</v>
      </c>
      <c r="R10" s="424">
        <f t="shared" si="5"/>
        <v>0.87950000000000006</v>
      </c>
      <c r="S10" s="603"/>
      <c r="T10" s="89">
        <v>0.63263888888888897</v>
      </c>
      <c r="U10" s="89">
        <v>0.66736111111111118</v>
      </c>
      <c r="V10" s="422">
        <v>23</v>
      </c>
      <c r="W10" s="433">
        <f t="shared" si="8"/>
        <v>49.999999999999986</v>
      </c>
      <c r="X10" s="53">
        <v>0.62152777777777779</v>
      </c>
      <c r="Y10" s="53">
        <v>0.63194444444444442</v>
      </c>
      <c r="Z10" s="54"/>
      <c r="AA10" s="54"/>
      <c r="AB10" s="588"/>
      <c r="AC10" s="588"/>
      <c r="AD10" s="420">
        <v>1</v>
      </c>
      <c r="AE10" s="420"/>
      <c r="AF10" s="48">
        <f t="shared" si="6"/>
        <v>-289.19999999999982</v>
      </c>
      <c r="AG10" s="424">
        <f t="shared" si="7"/>
        <v>0.87950000000000006</v>
      </c>
      <c r="AH10" s="603"/>
    </row>
    <row r="11" spans="1:34" ht="19.2" customHeight="1">
      <c r="A11" s="601"/>
      <c r="B11" s="40" t="s">
        <v>127</v>
      </c>
      <c r="C11" s="41"/>
      <c r="D11" s="42" t="s">
        <v>367</v>
      </c>
      <c r="E11" s="43"/>
      <c r="F11" s="355">
        <v>43.96</v>
      </c>
      <c r="G11" s="44">
        <v>2219.2000000000003</v>
      </c>
      <c r="H11" s="45">
        <f t="shared" si="0"/>
        <v>97556.032000000021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2295.7241379310362</v>
      </c>
      <c r="O11" s="47">
        <f t="shared" si="2"/>
        <v>114.78620689655182</v>
      </c>
      <c r="P11" s="48">
        <f t="shared" si="3"/>
        <v>0</v>
      </c>
      <c r="Q11" s="49">
        <f t="shared" si="4"/>
        <v>-5.2137931034481824</v>
      </c>
      <c r="R11" s="424">
        <f t="shared" si="5"/>
        <v>0.95655172413793177</v>
      </c>
      <c r="S11" s="603"/>
      <c r="T11" s="89">
        <v>0.67222222222222228</v>
      </c>
      <c r="U11" s="89">
        <v>0.71250000000000002</v>
      </c>
      <c r="V11" s="422">
        <v>7</v>
      </c>
      <c r="W11" s="433">
        <f t="shared" si="8"/>
        <v>57.999999999999957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-104.27586206896376</v>
      </c>
      <c r="AG11" s="424">
        <f t="shared" si="7"/>
        <v>0.95655172413793177</v>
      </c>
      <c r="AH11" s="603"/>
    </row>
    <row r="12" spans="1:34" ht="19.2" customHeight="1">
      <c r="A12" s="601"/>
      <c r="B12" s="40" t="s">
        <v>127</v>
      </c>
      <c r="C12" s="41"/>
      <c r="D12" s="59" t="s">
        <v>52</v>
      </c>
      <c r="E12" s="43"/>
      <c r="F12" s="355">
        <v>37.83</v>
      </c>
      <c r="G12" s="44">
        <v>1953.2</v>
      </c>
      <c r="H12" s="45">
        <f t="shared" si="0"/>
        <v>73889.555999999997</v>
      </c>
      <c r="I12" s="433"/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2343.8400000000011</v>
      </c>
      <c r="O12" s="47">
        <f t="shared" si="2"/>
        <v>117.19200000000005</v>
      </c>
      <c r="P12" s="48">
        <f t="shared" si="3"/>
        <v>0</v>
      </c>
      <c r="Q12" s="49">
        <f t="shared" si="4"/>
        <v>-2.8079999999999501</v>
      </c>
      <c r="R12" s="424">
        <f t="shared" si="5"/>
        <v>0.97660000000000047</v>
      </c>
      <c r="S12" s="603"/>
      <c r="T12" s="89">
        <v>0.71805555555555556</v>
      </c>
      <c r="U12" s="89">
        <v>0.75277777777777777</v>
      </c>
      <c r="V12" s="422">
        <v>8</v>
      </c>
      <c r="W12" s="433">
        <f t="shared" si="8"/>
        <v>49.999999999999986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-56.159999999998945</v>
      </c>
      <c r="AG12" s="424">
        <f t="shared" si="7"/>
        <v>0.97660000000000047</v>
      </c>
      <c r="AH12" s="603"/>
    </row>
    <row r="13" spans="1:34" ht="19.2" customHeight="1">
      <c r="A13" s="601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2" customHeight="1">
      <c r="A14" s="601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2" customHeight="1">
      <c r="A15" s="601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2" customHeight="1">
      <c r="A16" s="601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2" customHeight="1">
      <c r="A17" s="601"/>
      <c r="B17" s="69">
        <v>0</v>
      </c>
      <c r="C17" s="69" t="s">
        <v>242</v>
      </c>
      <c r="D17" s="608" t="s">
        <v>243</v>
      </c>
      <c r="E17" s="608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2355.4464132313542</v>
      </c>
      <c r="O17" s="73">
        <f t="shared" si="9"/>
        <v>127.9942284641624</v>
      </c>
      <c r="P17" s="65">
        <f t="shared" ref="P17:P28" si="10">M17-J17</f>
        <v>0.125</v>
      </c>
      <c r="Q17" s="74">
        <f t="shared" ref="Q17:Q23" si="11">O17-L17</f>
        <v>-11.981261731916049</v>
      </c>
      <c r="R17" s="75">
        <f>O17/L17</f>
        <v>0.91440457386409124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-194.5535867686458</v>
      </c>
      <c r="AG17" s="425">
        <f t="shared" si="7"/>
        <v>0.92370447577700165</v>
      </c>
      <c r="AH17" s="603"/>
    </row>
    <row r="18" spans="1:34" ht="19.2" customHeight="1">
      <c r="A18" s="610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4602.6500000000005</v>
      </c>
      <c r="H18" s="84">
        <f t="shared" ref="H18:H29" si="12">F18*G18</f>
        <v>169653.679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2157.4921875000009</v>
      </c>
      <c r="O18" s="86">
        <f t="shared" ref="O18:O23" si="14">N18/M18</f>
        <v>119.86067708333339</v>
      </c>
      <c r="P18" s="54">
        <f t="shared" si="10"/>
        <v>1</v>
      </c>
      <c r="Q18" s="88">
        <f t="shared" si="11"/>
        <v>-12.492264093137194</v>
      </c>
      <c r="R18" s="421">
        <f t="shared" ref="R18:R23" si="15">O18/L18</f>
        <v>0.90561400462963004</v>
      </c>
      <c r="S18" s="611">
        <f>R30</f>
        <v>0.87076604866992247</v>
      </c>
      <c r="T18" s="89">
        <v>0.16666666666666666</v>
      </c>
      <c r="U18" s="89">
        <v>0.25555555555555554</v>
      </c>
      <c r="V18" s="420">
        <v>5</v>
      </c>
      <c r="W18" s="90">
        <f>(U18-T18)*24*60</f>
        <v>127.99999999999997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-92.507812499999091</v>
      </c>
      <c r="AG18" s="92">
        <f t="shared" si="7"/>
        <v>0.95888541666666705</v>
      </c>
      <c r="AH18" s="612">
        <f>AG30</f>
        <v>0.90801857327981794</v>
      </c>
    </row>
    <row r="19" spans="1:34" ht="19.2" customHeight="1">
      <c r="A19" s="610"/>
      <c r="B19" s="430" t="s">
        <v>129</v>
      </c>
      <c r="C19" s="429"/>
      <c r="D19" s="82" t="s">
        <v>62</v>
      </c>
      <c r="E19" s="83"/>
      <c r="F19" s="355">
        <v>38.39</v>
      </c>
      <c r="G19" s="57">
        <v>1812.8500000000001</v>
      </c>
      <c r="H19" s="84">
        <f t="shared" si="12"/>
        <v>69595.311500000011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1376.8481012658237</v>
      </c>
      <c r="O19" s="95">
        <f t="shared" si="14"/>
        <v>80.991064780342569</v>
      </c>
      <c r="P19" s="54">
        <f t="shared" si="10"/>
        <v>1</v>
      </c>
      <c r="Q19" s="88">
        <f t="shared" si="11"/>
        <v>-21.258935219657431</v>
      </c>
      <c r="R19" s="421">
        <f t="shared" si="15"/>
        <v>0.79208865310848475</v>
      </c>
      <c r="S19" s="611"/>
      <c r="T19" s="89">
        <v>0.27152777777777776</v>
      </c>
      <c r="U19" s="89">
        <v>0.32638888888888884</v>
      </c>
      <c r="V19" s="420">
        <v>23</v>
      </c>
      <c r="W19" s="90">
        <f>(U19-T19)*24*60</f>
        <v>78.999999999999957</v>
      </c>
      <c r="X19" s="96">
        <v>0.26041666666666669</v>
      </c>
      <c r="Y19" s="96">
        <v>0.27083333333333331</v>
      </c>
      <c r="Z19" s="54"/>
      <c r="AA19" s="54"/>
      <c r="AB19" s="588"/>
      <c r="AC19" s="588"/>
      <c r="AD19" s="420"/>
      <c r="AE19" s="420"/>
      <c r="AF19" s="48">
        <f t="shared" si="6"/>
        <v>-259.15189873417626</v>
      </c>
      <c r="AG19" s="424">
        <f t="shared" si="7"/>
        <v>0.84159419392776513</v>
      </c>
      <c r="AH19" s="613"/>
    </row>
    <row r="20" spans="1:34" ht="19.2" customHeight="1">
      <c r="A20" s="610"/>
      <c r="B20" s="430" t="s">
        <v>130</v>
      </c>
      <c r="C20" s="55"/>
      <c r="D20" s="42" t="s">
        <v>61</v>
      </c>
      <c r="E20" s="83"/>
      <c r="F20" s="355">
        <v>43.14</v>
      </c>
      <c r="G20" s="57">
        <v>1282.45</v>
      </c>
      <c r="H20" s="84">
        <f t="shared" si="12"/>
        <v>55324.893000000004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1349.9473684210536</v>
      </c>
      <c r="O20" s="95">
        <f t="shared" si="14"/>
        <v>84.371710526315852</v>
      </c>
      <c r="P20" s="54">
        <f t="shared" si="10"/>
        <v>0</v>
      </c>
      <c r="Q20" s="88">
        <f t="shared" si="11"/>
        <v>-5.6282894736841484</v>
      </c>
      <c r="R20" s="421">
        <f t="shared" si="15"/>
        <v>0.9374634502923983</v>
      </c>
      <c r="S20" s="611"/>
      <c r="T20" s="89">
        <v>0.33124999999999993</v>
      </c>
      <c r="U20" s="89">
        <v>0.37083333333333324</v>
      </c>
      <c r="V20" s="420">
        <v>7</v>
      </c>
      <c r="W20" s="90">
        <f t="shared" ref="W20:W29" si="16">(U20-T20)*24*60</f>
        <v>56.999999999999957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-90.052631578946375</v>
      </c>
      <c r="AG20" s="92">
        <f t="shared" si="7"/>
        <v>0.9374634502923983</v>
      </c>
      <c r="AH20" s="613"/>
    </row>
    <row r="21" spans="1:34" ht="19.2" customHeight="1">
      <c r="A21" s="610"/>
      <c r="B21" s="430" t="s">
        <v>129</v>
      </c>
      <c r="C21" s="97"/>
      <c r="D21" s="98" t="s">
        <v>210</v>
      </c>
      <c r="E21" s="43"/>
      <c r="F21" s="355">
        <v>44.3</v>
      </c>
      <c r="G21" s="44">
        <v>3601.92</v>
      </c>
      <c r="H21" s="84">
        <f t="shared" si="12"/>
        <v>159565.05599999998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1385.3538461538462</v>
      </c>
      <c r="O21" s="95">
        <f t="shared" si="14"/>
        <v>81.491402714932136</v>
      </c>
      <c r="P21" s="54">
        <f t="shared" si="10"/>
        <v>0</v>
      </c>
      <c r="Q21" s="88">
        <f t="shared" si="11"/>
        <v>-14.743891402714922</v>
      </c>
      <c r="R21" s="421">
        <f t="shared" si="15"/>
        <v>0.84679330449501611</v>
      </c>
      <c r="S21" s="611"/>
      <c r="T21" s="89">
        <v>0.38611111111111102</v>
      </c>
      <c r="U21" s="89">
        <v>0.49444444444444435</v>
      </c>
      <c r="V21" s="420">
        <v>22</v>
      </c>
      <c r="W21" s="90">
        <f t="shared" si="16"/>
        <v>156</v>
      </c>
      <c r="X21" s="96">
        <v>0.375</v>
      </c>
      <c r="Y21" s="96">
        <v>0.38541666666666669</v>
      </c>
      <c r="Z21" s="54"/>
      <c r="AA21" s="54"/>
      <c r="AB21" s="588"/>
      <c r="AC21" s="588"/>
      <c r="AD21" s="420"/>
      <c r="AE21" s="420"/>
      <c r="AF21" s="48">
        <f t="shared" si="6"/>
        <v>-250.64615384615377</v>
      </c>
      <c r="AG21" s="424">
        <f t="shared" si="7"/>
        <v>0.846793304495016</v>
      </c>
      <c r="AH21" s="614"/>
    </row>
    <row r="22" spans="1:34" ht="19.2" customHeight="1">
      <c r="A22" s="610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4265</v>
      </c>
      <c r="H22" s="84">
        <f t="shared" si="12"/>
        <v>164117.19999999998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2391.5887850467302</v>
      </c>
      <c r="O22" s="95">
        <f t="shared" si="14"/>
        <v>125.8730939498279</v>
      </c>
      <c r="P22" s="54">
        <f t="shared" si="10"/>
        <v>1</v>
      </c>
      <c r="Q22" s="88">
        <f t="shared" si="11"/>
        <v>-24.126906050172096</v>
      </c>
      <c r="R22" s="421">
        <f t="shared" si="15"/>
        <v>0.83915395966551931</v>
      </c>
      <c r="S22" s="611"/>
      <c r="T22" s="89">
        <v>0.5347222222222221</v>
      </c>
      <c r="U22" s="89">
        <v>0.60902777777777761</v>
      </c>
      <c r="V22" s="420">
        <v>5</v>
      </c>
      <c r="W22" s="90">
        <f t="shared" si="16"/>
        <v>106.99999999999994</v>
      </c>
      <c r="X22" s="96"/>
      <c r="Y22" s="96"/>
      <c r="Z22" s="54"/>
      <c r="AA22" s="54"/>
      <c r="AB22" s="588"/>
      <c r="AC22" s="588"/>
      <c r="AD22" s="420"/>
      <c r="AE22" s="420">
        <v>1</v>
      </c>
      <c r="AF22" s="91">
        <f t="shared" si="6"/>
        <v>-308.41121495326979</v>
      </c>
      <c r="AG22" s="92">
        <f t="shared" si="7"/>
        <v>0.88577362409138161</v>
      </c>
      <c r="AH22" s="614"/>
    </row>
    <row r="23" spans="1:34" ht="19.2" customHeight="1">
      <c r="A23" s="610"/>
      <c r="B23" s="430" t="s">
        <v>127</v>
      </c>
      <c r="C23" s="97"/>
      <c r="D23" s="42" t="s">
        <v>60</v>
      </c>
      <c r="E23" s="43"/>
      <c r="F23" s="355">
        <v>36.86</v>
      </c>
      <c r="G23" s="44">
        <v>2478.35</v>
      </c>
      <c r="H23" s="84">
        <f t="shared" si="12"/>
        <v>91351.981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2155.0869565217367</v>
      </c>
      <c r="O23" s="95">
        <f t="shared" si="14"/>
        <v>119.72705314009649</v>
      </c>
      <c r="P23" s="54">
        <f t="shared" si="10"/>
        <v>1</v>
      </c>
      <c r="Q23" s="88">
        <f t="shared" si="11"/>
        <v>-12.625888036374093</v>
      </c>
      <c r="R23" s="421">
        <f t="shared" si="15"/>
        <v>0.90460440150295129</v>
      </c>
      <c r="S23" s="611"/>
      <c r="T23" s="89">
        <v>0.62430555555555534</v>
      </c>
      <c r="U23" s="89">
        <v>0.67222222222222205</v>
      </c>
      <c r="V23" s="420">
        <v>22</v>
      </c>
      <c r="W23" s="90">
        <f t="shared" si="16"/>
        <v>69.000000000000071</v>
      </c>
      <c r="X23" s="96">
        <v>0.61388888888888882</v>
      </c>
      <c r="Y23" s="96">
        <v>0.62361111111111112</v>
      </c>
      <c r="Z23" s="54"/>
      <c r="AA23" s="54"/>
      <c r="AB23" s="588"/>
      <c r="AC23" s="588"/>
      <c r="AD23" s="420"/>
      <c r="AE23" s="420"/>
      <c r="AF23" s="48">
        <f t="shared" si="6"/>
        <v>-94.913043478263262</v>
      </c>
      <c r="AG23" s="424">
        <f t="shared" si="7"/>
        <v>0.95781642512077192</v>
      </c>
      <c r="AH23" s="614"/>
    </row>
    <row r="24" spans="1:34" ht="19.2" customHeight="1">
      <c r="A24" s="610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2" customHeight="1">
      <c r="A25" s="610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2" customHeight="1">
      <c r="A26" s="610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2" customHeight="1">
      <c r="A27" s="610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2" customHeight="1">
      <c r="A28" s="610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2" customHeight="1">
      <c r="A29" s="610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2" customHeight="1">
      <c r="A30" s="610"/>
      <c r="B30" s="99">
        <v>0</v>
      </c>
      <c r="C30" s="100" t="s">
        <v>245</v>
      </c>
      <c r="D30" s="609" t="s">
        <v>243</v>
      </c>
      <c r="E30" s="609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17.5</v>
      </c>
      <c r="N30" s="101">
        <f t="shared" si="17"/>
        <v>1802.7195408181985</v>
      </c>
      <c r="O30" s="104">
        <f t="shared" si="17"/>
        <v>102.05250036580804</v>
      </c>
      <c r="P30" s="54">
        <f t="shared" ref="P30:P37" si="18">M30-J30</f>
        <v>0.66666666666666785</v>
      </c>
      <c r="Q30" s="88">
        <f t="shared" ref="Q30:Q37" si="19">O30-L30</f>
        <v>-15.146029045956666</v>
      </c>
      <c r="R30" s="105">
        <f t="shared" ref="R30:R37" si="20">O30/L30</f>
        <v>0.87076604866992247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-182.61379251513472</v>
      </c>
      <c r="AG30" s="109">
        <f t="shared" ref="AG30" si="21">N30/K30</f>
        <v>0.90801857327981794</v>
      </c>
      <c r="AH30" s="615"/>
    </row>
    <row r="31" spans="1:34" ht="19.2" customHeight="1">
      <c r="A31" s="618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1640.67</v>
      </c>
      <c r="H31" s="112">
        <f t="shared" ref="H31:H40" si="22">F31*G31</f>
        <v>43477.755000000005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1426.6695652173914</v>
      </c>
      <c r="O31" s="115">
        <f t="shared" ref="O31:O37" si="24">N31/M31</f>
        <v>118.88913043478261</v>
      </c>
      <c r="P31" s="116">
        <f t="shared" si="18"/>
        <v>0</v>
      </c>
      <c r="Q31" s="117">
        <f t="shared" si="19"/>
        <v>-47.777536231884042</v>
      </c>
      <c r="R31" s="423">
        <f t="shared" si="20"/>
        <v>0.71333478260869576</v>
      </c>
      <c r="S31" s="620">
        <f>R43</f>
        <v>0.83465363115480296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-573.33043478260856</v>
      </c>
      <c r="AG31" s="120">
        <f t="shared" si="7"/>
        <v>0.71333478260869576</v>
      </c>
      <c r="AH31" s="616">
        <f>AG43</f>
        <v>0.84306089936345319</v>
      </c>
    </row>
    <row r="32" spans="1:34" ht="19.2" customHeight="1">
      <c r="A32" s="619"/>
      <c r="B32" s="121" t="s">
        <v>131</v>
      </c>
      <c r="C32" s="122"/>
      <c r="D32" s="42" t="s">
        <v>63</v>
      </c>
      <c r="E32" s="43"/>
      <c r="F32" s="355">
        <v>35.33</v>
      </c>
      <c r="G32" s="134">
        <v>1719.1999999999998</v>
      </c>
      <c r="H32" s="84">
        <f t="shared" si="22"/>
        <v>60739.335999999988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1875.4909090909086</v>
      </c>
      <c r="O32" s="47">
        <f t="shared" si="24"/>
        <v>156.29090909090905</v>
      </c>
      <c r="P32" s="116">
        <f t="shared" si="18"/>
        <v>0</v>
      </c>
      <c r="Q32" s="49">
        <f t="shared" si="19"/>
        <v>-20.209090909090946</v>
      </c>
      <c r="R32" s="424">
        <f t="shared" si="20"/>
        <v>0.88550090136492376</v>
      </c>
      <c r="S32" s="611"/>
      <c r="T32" s="89">
        <v>0.17847222222222223</v>
      </c>
      <c r="U32" s="89">
        <v>0.21666666666666667</v>
      </c>
      <c r="V32" s="142">
        <v>8</v>
      </c>
      <c r="W32" s="90">
        <f t="shared" si="25"/>
        <v>55.000000000000007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-242.50909090909136</v>
      </c>
      <c r="AG32" s="424">
        <f t="shared" si="7"/>
        <v>0.88550090136492376</v>
      </c>
      <c r="AH32" s="602"/>
    </row>
    <row r="33" spans="1:34" ht="19.2" customHeight="1">
      <c r="A33" s="61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1927</v>
      </c>
      <c r="H33" s="84">
        <f t="shared" si="22"/>
        <v>65961.209999999992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1864.83870967742</v>
      </c>
      <c r="O33" s="47">
        <f t="shared" si="24"/>
        <v>155.40322580645167</v>
      </c>
      <c r="P33" s="116">
        <f t="shared" si="18"/>
        <v>0</v>
      </c>
      <c r="Q33" s="49">
        <f t="shared" si="19"/>
        <v>-21.096774193548328</v>
      </c>
      <c r="R33" s="424">
        <f t="shared" si="20"/>
        <v>0.8804715343141738</v>
      </c>
      <c r="S33" s="611"/>
      <c r="T33" s="89">
        <v>0.22083333333333335</v>
      </c>
      <c r="U33" s="89">
        <v>0.2638888888888889</v>
      </c>
      <c r="V33" s="142">
        <v>6</v>
      </c>
      <c r="W33" s="90">
        <f t="shared" si="25"/>
        <v>61.999999999999979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-253.16129032258004</v>
      </c>
      <c r="AG33" s="125">
        <f t="shared" si="7"/>
        <v>0.88047153431417369</v>
      </c>
      <c r="AH33" s="602"/>
    </row>
    <row r="34" spans="1:34" ht="19.2" customHeight="1">
      <c r="A34" s="619"/>
      <c r="B34" s="121" t="s">
        <v>132</v>
      </c>
      <c r="C34" s="126"/>
      <c r="D34" s="147" t="s">
        <v>144</v>
      </c>
      <c r="E34" s="83"/>
      <c r="F34" s="355">
        <v>54.09</v>
      </c>
      <c r="G34" s="137">
        <v>608.6</v>
      </c>
      <c r="H34" s="84">
        <f t="shared" si="22"/>
        <v>32919.174000000006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1259.1724137931044</v>
      </c>
      <c r="O34" s="47">
        <f t="shared" si="24"/>
        <v>69.954022988505798</v>
      </c>
      <c r="P34" s="116">
        <f t="shared" si="18"/>
        <v>0</v>
      </c>
      <c r="Q34" s="49">
        <f t="shared" si="19"/>
        <v>-13.37931034482753</v>
      </c>
      <c r="R34" s="424">
        <f t="shared" si="20"/>
        <v>0.8394482758620696</v>
      </c>
      <c r="S34" s="611"/>
      <c r="T34" s="89">
        <v>0.27986111111111112</v>
      </c>
      <c r="U34" s="89">
        <v>0.3</v>
      </c>
      <c r="V34" s="137">
        <v>23</v>
      </c>
      <c r="W34" s="90">
        <f t="shared" si="25"/>
        <v>28.999999999999979</v>
      </c>
      <c r="X34" s="123">
        <v>0.26805555555555555</v>
      </c>
      <c r="Y34" s="123">
        <v>0.27916666666666667</v>
      </c>
      <c r="Z34" s="124"/>
      <c r="AA34" s="124"/>
      <c r="AB34" s="588"/>
      <c r="AC34" s="588"/>
      <c r="AD34" s="420"/>
      <c r="AE34" s="420"/>
      <c r="AF34" s="48">
        <f t="shared" si="6"/>
        <v>-240.8275862068956</v>
      </c>
      <c r="AG34" s="125">
        <f t="shared" si="7"/>
        <v>0.8394482758620696</v>
      </c>
      <c r="AH34" s="602"/>
    </row>
    <row r="35" spans="1:34" ht="19.2" customHeight="1">
      <c r="A35" s="619"/>
      <c r="B35" s="121" t="s">
        <v>129</v>
      </c>
      <c r="C35" s="41"/>
      <c r="D35" s="150" t="s">
        <v>189</v>
      </c>
      <c r="E35" s="43"/>
      <c r="F35" s="355">
        <v>56.43</v>
      </c>
      <c r="G35" s="137">
        <v>2208</v>
      </c>
      <c r="H35" s="84">
        <f t="shared" si="22"/>
        <v>124597.44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1324.7999999999995</v>
      </c>
      <c r="O35" s="47">
        <f t="shared" si="24"/>
        <v>77.929411764705847</v>
      </c>
      <c r="P35" s="116">
        <f t="shared" si="18"/>
        <v>0</v>
      </c>
      <c r="Q35" s="49">
        <f t="shared" si="19"/>
        <v>-18.305882352941211</v>
      </c>
      <c r="R35" s="424">
        <f t="shared" si="20"/>
        <v>0.80977995110024414</v>
      </c>
      <c r="S35" s="611"/>
      <c r="T35" s="89">
        <v>0.30486111111111108</v>
      </c>
      <c r="U35" s="89">
        <v>0.37430555555555556</v>
      </c>
      <c r="V35" s="134">
        <v>7</v>
      </c>
      <c r="W35" s="90">
        <f t="shared" si="25"/>
        <v>100.00000000000004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-311.2000000000005</v>
      </c>
      <c r="AG35" s="120">
        <f t="shared" si="7"/>
        <v>0.80977995110024414</v>
      </c>
      <c r="AH35" s="603"/>
    </row>
    <row r="36" spans="1:34" ht="19.2" customHeight="1">
      <c r="A36" s="619"/>
      <c r="B36" s="121" t="s">
        <v>129</v>
      </c>
      <c r="C36" s="128"/>
      <c r="D36" s="150" t="s">
        <v>179</v>
      </c>
      <c r="E36" s="83"/>
      <c r="F36" s="355">
        <v>49.91</v>
      </c>
      <c r="G36" s="134">
        <v>3173.9500000000003</v>
      </c>
      <c r="H36" s="84">
        <f t="shared" si="22"/>
        <v>158411.84450000001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1313.3586206896548</v>
      </c>
      <c r="O36" s="47">
        <f t="shared" si="24"/>
        <v>82.084913793103425</v>
      </c>
      <c r="P36" s="116">
        <f t="shared" si="18"/>
        <v>1</v>
      </c>
      <c r="Q36" s="49">
        <f t="shared" si="19"/>
        <v>-17.915086206896575</v>
      </c>
      <c r="R36" s="424">
        <f t="shared" si="20"/>
        <v>0.8208491379310342</v>
      </c>
      <c r="S36" s="611"/>
      <c r="T36" s="89">
        <v>0.38958333333333334</v>
      </c>
      <c r="U36" s="89">
        <v>0.49027777777777781</v>
      </c>
      <c r="V36" s="134">
        <v>22</v>
      </c>
      <c r="W36" s="90">
        <f t="shared" si="25"/>
        <v>145.00000000000006</v>
      </c>
      <c r="X36" s="123">
        <v>0.37847222222222227</v>
      </c>
      <c r="Y36" s="123">
        <v>0.3888888888888889</v>
      </c>
      <c r="Z36" s="124"/>
      <c r="AA36" s="124"/>
      <c r="AB36" s="588"/>
      <c r="AC36" s="588"/>
      <c r="AD36" s="420"/>
      <c r="AE36" s="420"/>
      <c r="AF36" s="48">
        <f t="shared" si="6"/>
        <v>-186.6413793103452</v>
      </c>
      <c r="AG36" s="424">
        <f t="shared" si="7"/>
        <v>0.87557241379310324</v>
      </c>
      <c r="AH36" s="603"/>
    </row>
    <row r="37" spans="1:34" ht="19.2" customHeight="1">
      <c r="A37" s="61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6182</v>
      </c>
      <c r="H37" s="84">
        <f t="shared" si="22"/>
        <v>233679.59999999998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2377.692307692309</v>
      </c>
      <c r="O37" s="47">
        <f t="shared" si="24"/>
        <v>125.14170040485837</v>
      </c>
      <c r="P37" s="116">
        <f t="shared" si="18"/>
        <v>0</v>
      </c>
      <c r="Q37" s="49">
        <f t="shared" si="19"/>
        <v>-16.963562753036371</v>
      </c>
      <c r="R37" s="424">
        <f t="shared" si="20"/>
        <v>0.88062678062678112</v>
      </c>
      <c r="S37" s="611"/>
      <c r="T37" s="89">
        <v>0.53055555555555556</v>
      </c>
      <c r="U37" s="89">
        <v>0.63888888888888884</v>
      </c>
      <c r="V37" s="134">
        <v>5</v>
      </c>
      <c r="W37" s="90">
        <f t="shared" si="25"/>
        <v>155.99999999999991</v>
      </c>
      <c r="X37" s="123"/>
      <c r="Y37" s="123"/>
      <c r="Z37" s="124"/>
      <c r="AA37" s="124"/>
      <c r="AB37" s="588"/>
      <c r="AC37" s="588"/>
      <c r="AD37" s="420">
        <v>1</v>
      </c>
      <c r="AE37" s="420">
        <v>1</v>
      </c>
      <c r="AF37" s="48">
        <f t="shared" si="6"/>
        <v>-322.30769230769101</v>
      </c>
      <c r="AG37" s="125">
        <f t="shared" si="7"/>
        <v>0.88062678062678112</v>
      </c>
      <c r="AH37" s="603"/>
    </row>
    <row r="38" spans="1:34" ht="19.2" customHeight="1">
      <c r="A38" s="61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2" customHeight="1">
      <c r="A39" s="61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2" customHeight="1">
      <c r="A40" s="61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2" customHeight="1">
      <c r="A41" s="61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2" customHeight="1">
      <c r="A42" s="61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2" customHeight="1">
      <c r="A43" s="619"/>
      <c r="B43" s="121">
        <v>0</v>
      </c>
      <c r="C43" s="100" t="s">
        <v>247</v>
      </c>
      <c r="D43" s="617" t="s">
        <v>243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1634.574646594398</v>
      </c>
      <c r="O43" s="104">
        <f t="shared" si="26"/>
        <v>112.24190204047383</v>
      </c>
      <c r="P43" s="54">
        <f>M43-J43</f>
        <v>0.14285714285714235</v>
      </c>
      <c r="Q43" s="88">
        <f>N43-K43</f>
        <v>-304.28249626274487</v>
      </c>
      <c r="R43" s="105">
        <f t="shared" ref="R43:R51" si="27">O43/L43</f>
        <v>0.83465363115480296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-304.28249626274487</v>
      </c>
      <c r="AG43" s="425">
        <f t="shared" si="7"/>
        <v>0.84306089936345319</v>
      </c>
      <c r="AH43" s="603"/>
    </row>
    <row r="44" spans="1:34" s="145" customFormat="1" ht="19.2" customHeight="1">
      <c r="A44" s="622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1333</v>
      </c>
      <c r="H44" s="45">
        <f>F44*G44</f>
        <v>36657.5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1538.0769230769238</v>
      </c>
      <c r="O44" s="138">
        <f t="shared" ref="O44:O51" si="30">N44/M44</f>
        <v>128.17307692307699</v>
      </c>
      <c r="P44" s="51">
        <f t="shared" ref="P44:P51" si="31">M44-J44</f>
        <v>0</v>
      </c>
      <c r="Q44" s="139">
        <f t="shared" ref="Q44:Q51" si="32">O44-L44</f>
        <v>-38.493589743589666</v>
      </c>
      <c r="R44" s="140">
        <f t="shared" si="27"/>
        <v>0.769038461538462</v>
      </c>
      <c r="S44" s="602">
        <f>R56</f>
        <v>0.88392852779204911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-461.92307692307622</v>
      </c>
      <c r="AG44" s="428">
        <f t="shared" si="7"/>
        <v>0.76903846153846189</v>
      </c>
      <c r="AH44" s="625">
        <f>AG56</f>
        <v>0.93577808513145044</v>
      </c>
    </row>
    <row r="45" spans="1:34" s="145" customFormat="1" ht="19.2" customHeight="1">
      <c r="A45" s="623"/>
      <c r="B45" s="97" t="s">
        <v>131</v>
      </c>
      <c r="C45" s="133"/>
      <c r="D45" s="42" t="s">
        <v>76</v>
      </c>
      <c r="E45" s="43"/>
      <c r="F45" s="362">
        <v>24.73</v>
      </c>
      <c r="G45" s="134">
        <v>2459</v>
      </c>
      <c r="H45" s="45">
        <f>F45*G45</f>
        <v>60811.07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2107.7142857142862</v>
      </c>
      <c r="O45" s="138">
        <f t="shared" si="30"/>
        <v>421.54285714285726</v>
      </c>
      <c r="P45" s="51">
        <f t="shared" si="31"/>
        <v>1</v>
      </c>
      <c r="Q45" s="139">
        <f t="shared" si="32"/>
        <v>-78.457142857142742</v>
      </c>
      <c r="R45" s="140">
        <f t="shared" si="27"/>
        <v>0.84308571428571455</v>
      </c>
      <c r="S45" s="602"/>
      <c r="T45" s="89">
        <v>0.1645833333333333</v>
      </c>
      <c r="U45" s="89">
        <v>0.21319444444444441</v>
      </c>
      <c r="V45" s="142">
        <v>5</v>
      </c>
      <c r="W45" s="143">
        <f t="shared" si="33"/>
        <v>69.999999999999986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107.71428571428623</v>
      </c>
      <c r="AG45" s="428">
        <f t="shared" si="7"/>
        <v>1.053857142857143</v>
      </c>
      <c r="AH45" s="625"/>
    </row>
    <row r="46" spans="1:34" s="145" customFormat="1" ht="19.2" customHeight="1">
      <c r="A46" s="623"/>
      <c r="B46" s="97" t="s">
        <v>131</v>
      </c>
      <c r="C46" s="133"/>
      <c r="D46" s="42" t="s">
        <v>77</v>
      </c>
      <c r="E46" s="43"/>
      <c r="F46" s="362">
        <v>24.73</v>
      </c>
      <c r="G46" s="134">
        <v>2237</v>
      </c>
      <c r="H46" s="45">
        <f t="shared" ref="H46:H51" si="34">F46*G46</f>
        <v>55321.01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2130.4761904761899</v>
      </c>
      <c r="O46" s="138">
        <f t="shared" si="30"/>
        <v>426.09523809523796</v>
      </c>
      <c r="P46" s="51">
        <f t="shared" si="31"/>
        <v>1</v>
      </c>
      <c r="Q46" s="139">
        <f t="shared" si="32"/>
        <v>-73.90476190476204</v>
      </c>
      <c r="R46" s="140">
        <f t="shared" si="27"/>
        <v>0.85219047619047594</v>
      </c>
      <c r="S46" s="602"/>
      <c r="T46" s="89">
        <v>0.21666666666666662</v>
      </c>
      <c r="U46" s="89">
        <v>0.26041666666666663</v>
      </c>
      <c r="V46" s="142">
        <v>5</v>
      </c>
      <c r="W46" s="143">
        <f t="shared" si="33"/>
        <v>63.000000000000014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130.47619047618991</v>
      </c>
      <c r="AG46" s="428">
        <f t="shared" si="7"/>
        <v>1.0652380952380949</v>
      </c>
      <c r="AH46" s="625"/>
    </row>
    <row r="47" spans="1:34" s="145" customFormat="1" ht="19.2" customHeight="1">
      <c r="A47" s="623"/>
      <c r="B47" s="97" t="s">
        <v>130</v>
      </c>
      <c r="C47" s="133"/>
      <c r="D47" s="42" t="s">
        <v>67</v>
      </c>
      <c r="E47" s="148"/>
      <c r="F47" s="362">
        <v>31.43</v>
      </c>
      <c r="G47" s="137">
        <v>1768</v>
      </c>
      <c r="H47" s="45">
        <f t="shared" si="34"/>
        <v>55568.24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1433.5135135135142</v>
      </c>
      <c r="O47" s="138">
        <f t="shared" si="30"/>
        <v>204.78764478764489</v>
      </c>
      <c r="P47" s="51">
        <f t="shared" si="31"/>
        <v>0</v>
      </c>
      <c r="Q47" s="139">
        <f t="shared" si="32"/>
        <v>-9.4980694980693841</v>
      </c>
      <c r="R47" s="140">
        <f t="shared" si="27"/>
        <v>0.95567567567567624</v>
      </c>
      <c r="S47" s="602"/>
      <c r="T47" s="89">
        <v>0.27777777777777773</v>
      </c>
      <c r="U47" s="89">
        <v>0.32916666666666661</v>
      </c>
      <c r="V47" s="137">
        <v>25</v>
      </c>
      <c r="W47" s="143">
        <f t="shared" si="33"/>
        <v>73.999999999999972</v>
      </c>
      <c r="X47" s="123">
        <v>0.26527777777777778</v>
      </c>
      <c r="Y47" s="123">
        <v>0.27638888888888885</v>
      </c>
      <c r="Z47" s="124"/>
      <c r="AA47" s="124"/>
      <c r="AB47" s="588"/>
      <c r="AC47" s="588"/>
      <c r="AD47" s="420"/>
      <c r="AE47" s="420">
        <v>1</v>
      </c>
      <c r="AF47" s="144">
        <f t="shared" si="28"/>
        <v>-66.486486486485774</v>
      </c>
      <c r="AG47" s="428">
        <f t="shared" si="7"/>
        <v>0.95567567567567613</v>
      </c>
      <c r="AH47" s="625"/>
    </row>
    <row r="48" spans="1:34" s="145" customFormat="1" ht="19.2" customHeight="1">
      <c r="A48" s="623"/>
      <c r="B48" s="97" t="s">
        <v>130</v>
      </c>
      <c r="C48" s="133"/>
      <c r="D48" s="42" t="s">
        <v>178</v>
      </c>
      <c r="E48" s="148"/>
      <c r="F48" s="362">
        <v>11.86</v>
      </c>
      <c r="G48" s="137">
        <v>1676</v>
      </c>
      <c r="H48" s="45">
        <f t="shared" si="34"/>
        <v>19877.36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1457.3913043478262</v>
      </c>
      <c r="O48" s="138">
        <f t="shared" si="30"/>
        <v>242.89855072463772</v>
      </c>
      <c r="P48" s="51">
        <f t="shared" si="31"/>
        <v>0</v>
      </c>
      <c r="Q48" s="139">
        <f t="shared" si="32"/>
        <v>-7.1014492753622847</v>
      </c>
      <c r="R48" s="140">
        <f t="shared" si="27"/>
        <v>0.97159420289855081</v>
      </c>
      <c r="S48" s="602"/>
      <c r="T48" s="89">
        <v>0.33611111111111103</v>
      </c>
      <c r="U48" s="89">
        <v>0.38402777777777769</v>
      </c>
      <c r="V48" s="134">
        <v>10</v>
      </c>
      <c r="W48" s="143">
        <f t="shared" si="33"/>
        <v>69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-42.608695652173765</v>
      </c>
      <c r="AG48" s="428">
        <f t="shared" si="7"/>
        <v>0.97159420289855081</v>
      </c>
      <c r="AH48" s="625"/>
    </row>
    <row r="49" spans="1:34" s="145" customFormat="1" ht="19.2" customHeight="1">
      <c r="A49" s="623"/>
      <c r="B49" s="97" t="s">
        <v>132</v>
      </c>
      <c r="C49" s="133"/>
      <c r="D49" s="42" t="s">
        <v>66</v>
      </c>
      <c r="E49" s="148"/>
      <c r="F49" s="362">
        <v>10.09</v>
      </c>
      <c r="G49" s="134">
        <v>4019.76</v>
      </c>
      <c r="H49" s="45">
        <f t="shared" si="34"/>
        <v>40559.378400000001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1418.7388235294122</v>
      </c>
      <c r="O49" s="138">
        <f t="shared" si="30"/>
        <v>236.45647058823536</v>
      </c>
      <c r="P49" s="51">
        <f t="shared" si="31"/>
        <v>0</v>
      </c>
      <c r="Q49" s="139">
        <f t="shared" si="32"/>
        <v>-13.543529411764638</v>
      </c>
      <c r="R49" s="140">
        <f t="shared" si="27"/>
        <v>0.9458258823529414</v>
      </c>
      <c r="S49" s="602"/>
      <c r="T49" s="89">
        <v>0.42430555555555544</v>
      </c>
      <c r="U49" s="89">
        <v>0.54236111111111096</v>
      </c>
      <c r="V49" s="134">
        <v>5</v>
      </c>
      <c r="W49" s="143">
        <f t="shared" si="33"/>
        <v>169.99999999999994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-81.26117647058777</v>
      </c>
      <c r="AG49" s="428">
        <f t="shared" si="7"/>
        <v>0.94582588235294152</v>
      </c>
      <c r="AH49" s="625"/>
    </row>
    <row r="50" spans="1:34" s="145" customFormat="1" ht="19.2" customHeight="1">
      <c r="A50" s="623"/>
      <c r="B50" s="97" t="s">
        <v>132</v>
      </c>
      <c r="C50" s="133"/>
      <c r="D50" s="42" t="s">
        <v>66</v>
      </c>
      <c r="E50" s="148"/>
      <c r="F50" s="362">
        <v>10.09</v>
      </c>
      <c r="G50" s="134">
        <v>3424.2400000000002</v>
      </c>
      <c r="H50" s="45">
        <f t="shared" si="34"/>
        <v>34550.581600000005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1436.7440559440565</v>
      </c>
      <c r="O50" s="138">
        <f t="shared" si="30"/>
        <v>239.45734265734276</v>
      </c>
      <c r="P50" s="51">
        <f t="shared" si="31"/>
        <v>0</v>
      </c>
      <c r="Q50" s="139">
        <f t="shared" si="32"/>
        <v>-10.542657342657236</v>
      </c>
      <c r="R50" s="140">
        <f t="shared" si="27"/>
        <v>0.95782937062937101</v>
      </c>
      <c r="S50" s="602"/>
      <c r="T50" s="89">
        <v>0.54930555555555538</v>
      </c>
      <c r="U50" s="89">
        <v>0.64861111111111092</v>
      </c>
      <c r="V50" s="134">
        <v>10</v>
      </c>
      <c r="W50" s="143">
        <f t="shared" si="33"/>
        <v>142.99999999999997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-63.255944055943473</v>
      </c>
      <c r="AG50" s="428">
        <f t="shared" si="7"/>
        <v>0.95782937062937101</v>
      </c>
      <c r="AH50" s="625"/>
    </row>
    <row r="51" spans="1:34" s="145" customFormat="1" ht="19.2" customHeight="1">
      <c r="A51" s="623"/>
      <c r="B51" s="97" t="s">
        <v>130</v>
      </c>
      <c r="C51" s="133"/>
      <c r="D51" s="150" t="s">
        <v>143</v>
      </c>
      <c r="E51" s="148"/>
      <c r="F51" s="362">
        <v>36.92</v>
      </c>
      <c r="G51" s="134">
        <v>1657.15</v>
      </c>
      <c r="H51" s="45">
        <f t="shared" si="34"/>
        <v>61181.978000000003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1578.238095238097</v>
      </c>
      <c r="O51" s="138">
        <f t="shared" si="30"/>
        <v>131.51984126984141</v>
      </c>
      <c r="P51" s="51">
        <f t="shared" si="31"/>
        <v>0</v>
      </c>
      <c r="Q51" s="139">
        <f t="shared" si="32"/>
        <v>-35.14682539682525</v>
      </c>
      <c r="R51" s="140">
        <f t="shared" si="27"/>
        <v>0.7891190476190485</v>
      </c>
      <c r="S51" s="602"/>
      <c r="T51" s="151">
        <v>0.65555555555555534</v>
      </c>
      <c r="U51" s="151">
        <v>0.69930555555555529</v>
      </c>
      <c r="V51" s="134">
        <v>10</v>
      </c>
      <c r="W51" s="143">
        <f t="shared" si="33"/>
        <v>62.999999999999936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-421.761904761903</v>
      </c>
      <c r="AG51" s="428">
        <f t="shared" si="7"/>
        <v>0.7891190476190485</v>
      </c>
      <c r="AH51" s="625"/>
    </row>
    <row r="52" spans="1:34" s="145" customFormat="1" ht="19.2" customHeight="1">
      <c r="A52" s="623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2" customHeight="1">
      <c r="A53" s="623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2" customHeight="1">
      <c r="A54" s="623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2" customHeight="1">
      <c r="A55" s="623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2" customHeight="1">
      <c r="A56" s="624"/>
      <c r="B56" s="157">
        <v>0</v>
      </c>
      <c r="C56" s="268" t="s">
        <v>730</v>
      </c>
      <c r="D56" s="621" t="s">
        <v>731</v>
      </c>
      <c r="E56" s="617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1637.6116489800384</v>
      </c>
      <c r="O56" s="104">
        <f t="shared" si="35"/>
        <v>253.86637777360929</v>
      </c>
      <c r="P56" s="158">
        <f>M56-J56</f>
        <v>0.25</v>
      </c>
      <c r="Q56" s="117">
        <f>N56-K56</f>
        <v>-112.38835101996165</v>
      </c>
      <c r="R56" s="159">
        <f t="shared" ref="R56:R62" si="36">O56/L56</f>
        <v>0.88392852779204911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-112.38835101996165</v>
      </c>
      <c r="AG56" s="421">
        <f>N56/K56</f>
        <v>0.93577808513145044</v>
      </c>
      <c r="AH56" s="625"/>
    </row>
    <row r="57" spans="1:34" ht="19.2" customHeight="1">
      <c r="A57" s="628" t="s">
        <v>732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1314</v>
      </c>
      <c r="H57" s="84">
        <f t="shared" ref="H57:H66" si="37">F57*G57</f>
        <v>37133.64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1459.9999999999998</v>
      </c>
      <c r="O57" s="86">
        <f t="shared" ref="O57:O62" si="39">N57/M57</f>
        <v>208.57142857142853</v>
      </c>
      <c r="P57" s="165">
        <f t="shared" ref="P57:P62" si="40">M57-J57</f>
        <v>0</v>
      </c>
      <c r="Q57" s="49">
        <f t="shared" ref="Q57:Q62" si="41">O57-L57</f>
        <v>-5.7142857142857508</v>
      </c>
      <c r="R57" s="424">
        <f t="shared" si="36"/>
        <v>0.97333333333333316</v>
      </c>
      <c r="S57" s="602">
        <f>R69</f>
        <v>0.96974884275440121</v>
      </c>
      <c r="T57" s="50">
        <v>0.125</v>
      </c>
      <c r="U57" s="50">
        <v>0.16250000000000001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-40.000000000000227</v>
      </c>
      <c r="AG57" s="423">
        <f t="shared" si="7"/>
        <v>0.97333333333333316</v>
      </c>
      <c r="AH57" s="616">
        <f>AG69</f>
        <v>0.96953338364400288</v>
      </c>
    </row>
    <row r="58" spans="1:34" ht="19.2" customHeight="1">
      <c r="A58" s="619"/>
      <c r="B58" s="121" t="s">
        <v>130</v>
      </c>
      <c r="C58" s="420"/>
      <c r="D58" s="42" t="s">
        <v>69</v>
      </c>
      <c r="E58" s="43"/>
      <c r="F58" s="355">
        <v>27.88</v>
      </c>
      <c r="G58" s="44">
        <v>3759</v>
      </c>
      <c r="H58" s="45">
        <f t="shared" si="37"/>
        <v>104800.92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1464.5454545454545</v>
      </c>
      <c r="O58" s="47">
        <f t="shared" si="39"/>
        <v>209.22077922077921</v>
      </c>
      <c r="P58" s="165">
        <f t="shared" si="40"/>
        <v>0</v>
      </c>
      <c r="Q58" s="49">
        <f t="shared" si="41"/>
        <v>-5.0649350649350708</v>
      </c>
      <c r="R58" s="424">
        <f t="shared" si="36"/>
        <v>0.97636363636363632</v>
      </c>
      <c r="S58" s="602"/>
      <c r="T58" s="50">
        <v>0.16805555555555557</v>
      </c>
      <c r="U58" s="50">
        <v>0.27500000000000002</v>
      </c>
      <c r="V58" s="422">
        <v>8</v>
      </c>
      <c r="W58" s="433">
        <f>(U58-T58)*24*60</f>
        <v>154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-35.454545454545496</v>
      </c>
      <c r="AG58" s="424">
        <f t="shared" si="7"/>
        <v>0.97636363636363632</v>
      </c>
      <c r="AH58" s="602"/>
    </row>
    <row r="59" spans="1:34" ht="19.2" customHeight="1">
      <c r="A59" s="619"/>
      <c r="B59" s="121" t="s">
        <v>130</v>
      </c>
      <c r="C59" s="420"/>
      <c r="D59" s="42" t="s">
        <v>70</v>
      </c>
      <c r="E59" s="43"/>
      <c r="F59" s="355">
        <v>28</v>
      </c>
      <c r="G59" s="44">
        <v>3560</v>
      </c>
      <c r="H59" s="45">
        <f t="shared" si="37"/>
        <v>99680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1443.2432432432429</v>
      </c>
      <c r="O59" s="47">
        <f t="shared" si="39"/>
        <v>206.17760617760612</v>
      </c>
      <c r="P59" s="165">
        <f t="shared" si="40"/>
        <v>0</v>
      </c>
      <c r="Q59" s="49">
        <f t="shared" si="41"/>
        <v>-8.108108108108155</v>
      </c>
      <c r="R59" s="424">
        <f t="shared" si="36"/>
        <v>0.96216216216216199</v>
      </c>
      <c r="S59" s="602"/>
      <c r="T59" s="50">
        <v>0.29236111111111113</v>
      </c>
      <c r="U59" s="50">
        <v>0.39513888888888893</v>
      </c>
      <c r="V59" s="142">
        <v>25</v>
      </c>
      <c r="W59" s="433">
        <f t="shared" ref="W59:W69" si="42">(U59-T59)*24*60</f>
        <v>148.00000000000003</v>
      </c>
      <c r="X59" s="53">
        <v>0.27916666666666667</v>
      </c>
      <c r="Y59" s="53">
        <v>0.29166666666666669</v>
      </c>
      <c r="Z59" s="54"/>
      <c r="AA59" s="54"/>
      <c r="AB59" s="588"/>
      <c r="AC59" s="588"/>
      <c r="AD59" s="420"/>
      <c r="AE59" s="420">
        <v>1</v>
      </c>
      <c r="AF59" s="48">
        <f t="shared" si="6"/>
        <v>-56.756756756757113</v>
      </c>
      <c r="AG59" s="424">
        <f t="shared" si="7"/>
        <v>0.96216216216216188</v>
      </c>
      <c r="AH59" s="602"/>
    </row>
    <row r="60" spans="1:34" ht="19.2" customHeight="1">
      <c r="A60" s="619"/>
      <c r="B60" s="121" t="s">
        <v>130</v>
      </c>
      <c r="C60" s="420"/>
      <c r="D60" s="42" t="s">
        <v>387</v>
      </c>
      <c r="E60" s="43"/>
      <c r="F60" s="355">
        <v>28.47</v>
      </c>
      <c r="G60" s="44">
        <v>1652.7</v>
      </c>
      <c r="H60" s="45">
        <f t="shared" si="37"/>
        <v>47052.368999999999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1437.1304347826087</v>
      </c>
      <c r="O60" s="47">
        <f t="shared" si="39"/>
        <v>205.30434782608697</v>
      </c>
      <c r="P60" s="165">
        <f t="shared" si="40"/>
        <v>0</v>
      </c>
      <c r="Q60" s="49">
        <f t="shared" si="41"/>
        <v>-8.98136645962731</v>
      </c>
      <c r="R60" s="424">
        <f t="shared" si="36"/>
        <v>0.95808695652173925</v>
      </c>
      <c r="S60" s="602"/>
      <c r="T60" s="50">
        <v>0.41250000000000003</v>
      </c>
      <c r="U60" s="50">
        <v>0.4604166666666667</v>
      </c>
      <c r="V60" s="142">
        <v>25</v>
      </c>
      <c r="W60" s="433">
        <f t="shared" si="42"/>
        <v>69</v>
      </c>
      <c r="X60" s="53">
        <v>0.39930555555555558</v>
      </c>
      <c r="Y60" s="53">
        <v>0.41111111111111115</v>
      </c>
      <c r="Z60" s="54"/>
      <c r="AA60" s="54"/>
      <c r="AB60" s="588"/>
      <c r="AC60" s="588"/>
      <c r="AD60" s="420"/>
      <c r="AE60" s="420"/>
      <c r="AF60" s="48">
        <f t="shared" si="6"/>
        <v>-62.869565217391255</v>
      </c>
      <c r="AG60" s="423">
        <f t="shared" si="7"/>
        <v>0.95808695652173914</v>
      </c>
      <c r="AH60" s="602"/>
    </row>
    <row r="61" spans="1:34" ht="19.2" customHeight="1">
      <c r="A61" s="619"/>
      <c r="B61" s="121" t="s">
        <v>132</v>
      </c>
      <c r="C61" s="420"/>
      <c r="D61" s="42" t="s">
        <v>66</v>
      </c>
      <c r="E61" s="43"/>
      <c r="F61" s="355">
        <v>10.09</v>
      </c>
      <c r="G61" s="44">
        <v>4317.5199999999995</v>
      </c>
      <c r="H61" s="45">
        <f t="shared" si="37"/>
        <v>43563.776799999992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1455.3438202247189</v>
      </c>
      <c r="O61" s="47">
        <f t="shared" si="39"/>
        <v>242.55730337078649</v>
      </c>
      <c r="P61" s="165">
        <f t="shared" si="40"/>
        <v>0</v>
      </c>
      <c r="Q61" s="49">
        <f t="shared" si="41"/>
        <v>-7.4426966292135148</v>
      </c>
      <c r="R61" s="424">
        <f t="shared" si="36"/>
        <v>0.97022921348314595</v>
      </c>
      <c r="S61" s="602"/>
      <c r="T61" s="50">
        <v>0.50069444444444444</v>
      </c>
      <c r="U61" s="50">
        <v>0.62430555555555556</v>
      </c>
      <c r="V61" s="142">
        <v>5</v>
      </c>
      <c r="W61" s="433">
        <f t="shared" si="42"/>
        <v>178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-44.656179775281089</v>
      </c>
      <c r="AG61" s="424">
        <f t="shared" si="7"/>
        <v>0.97022921348314595</v>
      </c>
      <c r="AH61" s="602"/>
    </row>
    <row r="62" spans="1:34" ht="19.2" customHeight="1">
      <c r="A62" s="619"/>
      <c r="B62" s="121" t="s">
        <v>132</v>
      </c>
      <c r="C62" s="420"/>
      <c r="D62" s="42" t="s">
        <v>66</v>
      </c>
      <c r="E62" s="43"/>
      <c r="F62" s="355">
        <v>10.09</v>
      </c>
      <c r="G62" s="134">
        <v>3126.48</v>
      </c>
      <c r="H62" s="45">
        <f t="shared" si="37"/>
        <v>31546.183199999999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1465.5374999999997</v>
      </c>
      <c r="O62" s="47">
        <f t="shared" si="39"/>
        <v>244.25624999999994</v>
      </c>
      <c r="P62" s="165">
        <f t="shared" si="40"/>
        <v>0</v>
      </c>
      <c r="Q62" s="49">
        <f t="shared" si="41"/>
        <v>-5.7437500000000625</v>
      </c>
      <c r="R62" s="424">
        <f t="shared" si="36"/>
        <v>0.9770249999999997</v>
      </c>
      <c r="S62" s="602"/>
      <c r="T62" s="166">
        <v>0.64166666666666672</v>
      </c>
      <c r="U62" s="166">
        <v>0.73055555555555562</v>
      </c>
      <c r="V62" s="142">
        <v>25</v>
      </c>
      <c r="W62" s="433">
        <f t="shared" si="42"/>
        <v>128.00000000000003</v>
      </c>
      <c r="X62" s="53">
        <v>0.62916666666666665</v>
      </c>
      <c r="Y62" s="53">
        <v>0.64027777777777783</v>
      </c>
      <c r="Z62" s="54"/>
      <c r="AA62" s="54"/>
      <c r="AB62" s="588"/>
      <c r="AC62" s="588"/>
      <c r="AD62" s="420"/>
      <c r="AE62" s="420">
        <v>1</v>
      </c>
      <c r="AF62" s="48">
        <f t="shared" si="6"/>
        <v>-34.462500000000318</v>
      </c>
      <c r="AG62" s="424">
        <f t="shared" si="7"/>
        <v>0.97702499999999981</v>
      </c>
      <c r="AH62" s="602"/>
    </row>
    <row r="63" spans="1:34" ht="19.2" customHeight="1">
      <c r="A63" s="61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2" customHeight="1">
      <c r="A64" s="584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2" customHeight="1">
      <c r="A65" s="584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2" customHeight="1">
      <c r="A66" s="584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2" customHeight="1">
      <c r="A67" s="584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2" customHeight="1">
      <c r="A68" s="584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2" customHeight="1">
      <c r="A69" s="584"/>
      <c r="B69" s="168">
        <v>0</v>
      </c>
      <c r="C69" s="6" t="s">
        <v>733</v>
      </c>
      <c r="D69" s="617" t="s">
        <v>734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1454.3000754660043</v>
      </c>
      <c r="O69" s="73">
        <f t="shared" si="43"/>
        <v>219.34795252778122</v>
      </c>
      <c r="P69" s="48">
        <f>M69-J69</f>
        <v>0</v>
      </c>
      <c r="Q69" s="49">
        <f>N69-K69</f>
        <v>-45.699924533995727</v>
      </c>
      <c r="R69" s="172">
        <f t="shared" ref="R69:R75" si="44">O69/L69</f>
        <v>0.96974884275440121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2</v>
      </c>
      <c r="AF69" s="48">
        <f t="shared" si="6"/>
        <v>-45.699924533995727</v>
      </c>
      <c r="AG69" s="424">
        <f t="shared" si="7"/>
        <v>0.96953338364400288</v>
      </c>
      <c r="AH69" s="602"/>
    </row>
    <row r="70" spans="1:34" ht="19.2" customHeight="1">
      <c r="A70" s="586" t="s">
        <v>735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1679.25</v>
      </c>
      <c r="H70" s="45">
        <f>F70*G70</f>
        <v>104331.80250000001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1399.3750000000002</v>
      </c>
      <c r="O70" s="47">
        <f t="shared" ref="O70:O75" si="46">N70/M70</f>
        <v>99.955357142857153</v>
      </c>
      <c r="P70" s="48">
        <f t="shared" ref="P70:P75" si="47">M70-J70</f>
        <v>0</v>
      </c>
      <c r="Q70" s="49">
        <f t="shared" ref="Q70:Q75" si="48">O70-L70</f>
        <v>-7.1874999999999858</v>
      </c>
      <c r="R70" s="424">
        <f t="shared" si="44"/>
        <v>0.93291666666666684</v>
      </c>
      <c r="S70" s="602">
        <f>R82</f>
        <v>0.93302061690071891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-100.62499999999977</v>
      </c>
      <c r="AG70" s="424">
        <f t="shared" si="7"/>
        <v>0.93291666666666684</v>
      </c>
      <c r="AH70" s="602">
        <f>AG82</f>
        <v>0.93337378962886053</v>
      </c>
    </row>
    <row r="71" spans="1:34" ht="19.2" customHeight="1">
      <c r="A71" s="586"/>
      <c r="B71" s="422" t="s">
        <v>128</v>
      </c>
      <c r="C71" s="41"/>
      <c r="D71" s="173" t="s">
        <v>71</v>
      </c>
      <c r="E71" s="43"/>
      <c r="F71" s="355">
        <v>47.65</v>
      </c>
      <c r="G71" s="44">
        <v>2470</v>
      </c>
      <c r="H71" s="45">
        <f>F71*G71</f>
        <v>117695.5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1335.135135135135</v>
      </c>
      <c r="O71" s="47">
        <f t="shared" si="46"/>
        <v>74.174174174174169</v>
      </c>
      <c r="P71" s="48">
        <f t="shared" si="47"/>
        <v>0</v>
      </c>
      <c r="Q71" s="49">
        <f t="shared" si="48"/>
        <v>-5.8258258258258309</v>
      </c>
      <c r="R71" s="424">
        <f t="shared" si="44"/>
        <v>0.92717717717717707</v>
      </c>
      <c r="S71" s="602"/>
      <c r="T71" s="50">
        <v>0.30555555555555552</v>
      </c>
      <c r="U71" s="50">
        <v>0.38263888888888886</v>
      </c>
      <c r="V71" s="422">
        <v>8</v>
      </c>
      <c r="W71" s="433">
        <f t="shared" ref="W71:W81" si="49">(U71-T71)*24*60</f>
        <v>111</v>
      </c>
      <c r="X71" s="53"/>
      <c r="Y71" s="53"/>
      <c r="Z71" s="54"/>
      <c r="AA71" s="54"/>
      <c r="AB71" s="588"/>
      <c r="AC71" s="588"/>
      <c r="AD71" s="420">
        <v>1</v>
      </c>
      <c r="AE71" s="420"/>
      <c r="AF71" s="48">
        <f>N71-K71</f>
        <v>-104.86486486486501</v>
      </c>
      <c r="AG71" s="424">
        <f>N71/K71</f>
        <v>0.92717717717717707</v>
      </c>
      <c r="AH71" s="602"/>
    </row>
    <row r="72" spans="1:34" ht="19.2" customHeight="1">
      <c r="A72" s="586"/>
      <c r="B72" s="422" t="s">
        <v>128</v>
      </c>
      <c r="C72" s="66"/>
      <c r="D72" s="173" t="s">
        <v>72</v>
      </c>
      <c r="E72" s="43"/>
      <c r="F72" s="355">
        <v>53.36</v>
      </c>
      <c r="G72" s="44">
        <v>3236.4</v>
      </c>
      <c r="H72" s="45">
        <f t="shared" ref="H72:H80" si="50">F72*G72</f>
        <v>172694.304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1357.9300699300702</v>
      </c>
      <c r="O72" s="47">
        <f t="shared" si="46"/>
        <v>71.470003680530013</v>
      </c>
      <c r="P72" s="48">
        <f t="shared" si="47"/>
        <v>0</v>
      </c>
      <c r="Q72" s="49">
        <f t="shared" si="48"/>
        <v>-4.3194700036805074</v>
      </c>
      <c r="R72" s="424">
        <f t="shared" si="44"/>
        <v>0.94300699300699331</v>
      </c>
      <c r="S72" s="602"/>
      <c r="T72" s="50">
        <v>0.39861111111111108</v>
      </c>
      <c r="U72" s="50">
        <v>0.49791666666666662</v>
      </c>
      <c r="V72" s="422">
        <v>23</v>
      </c>
      <c r="W72" s="433">
        <f t="shared" si="49"/>
        <v>142.99999999999997</v>
      </c>
      <c r="X72" s="53">
        <v>0.38750000000000001</v>
      </c>
      <c r="Y72" s="53">
        <v>0.3972222222222222</v>
      </c>
      <c r="Z72" s="54"/>
      <c r="AA72" s="54"/>
      <c r="AB72" s="588"/>
      <c r="AC72" s="588"/>
      <c r="AD72" s="420"/>
      <c r="AE72" s="420"/>
      <c r="AF72" s="48">
        <f>N72-K72</f>
        <v>-82.069930069929796</v>
      </c>
      <c r="AG72" s="424">
        <f>N72/K72</f>
        <v>0.9430069930069932</v>
      </c>
      <c r="AH72" s="602"/>
    </row>
    <row r="73" spans="1:34" ht="19.2" customHeight="1">
      <c r="A73" s="586"/>
      <c r="B73" s="422" t="s">
        <v>128</v>
      </c>
      <c r="C73" s="175"/>
      <c r="D73" s="176" t="s">
        <v>73</v>
      </c>
      <c r="E73" s="177"/>
      <c r="F73" s="355">
        <v>53.76</v>
      </c>
      <c r="G73" s="44">
        <v>2948</v>
      </c>
      <c r="H73" s="45">
        <f t="shared" si="50"/>
        <v>158484.47999999998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1320</v>
      </c>
      <c r="O73" s="47">
        <f t="shared" si="46"/>
        <v>82.5</v>
      </c>
      <c r="P73" s="48">
        <f t="shared" si="47"/>
        <v>0</v>
      </c>
      <c r="Q73" s="49">
        <f t="shared" si="48"/>
        <v>-7.5</v>
      </c>
      <c r="R73" s="424">
        <f t="shared" si="44"/>
        <v>0.91666666666666663</v>
      </c>
      <c r="S73" s="602"/>
      <c r="T73" s="50">
        <v>0.53819444444444442</v>
      </c>
      <c r="U73" s="50">
        <v>0.63124999999999998</v>
      </c>
      <c r="V73" s="422">
        <v>5</v>
      </c>
      <c r="W73" s="433">
        <f t="shared" si="49"/>
        <v>134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-120</v>
      </c>
      <c r="AG73" s="424">
        <f>N73/K73</f>
        <v>0.91666666666666663</v>
      </c>
      <c r="AH73" s="602"/>
    </row>
    <row r="74" spans="1:34" ht="19.2" customHeight="1">
      <c r="A74" s="586"/>
      <c r="B74" s="422" t="s">
        <v>128</v>
      </c>
      <c r="C74" s="175"/>
      <c r="D74" s="176" t="s">
        <v>74</v>
      </c>
      <c r="E74" s="177"/>
      <c r="F74" s="355">
        <v>47.51</v>
      </c>
      <c r="G74" s="44">
        <v>2311</v>
      </c>
      <c r="H74" s="45">
        <f t="shared" si="50"/>
        <v>109795.61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1359.4117647058829</v>
      </c>
      <c r="O74" s="47">
        <f t="shared" si="46"/>
        <v>79.965397923875457</v>
      </c>
      <c r="P74" s="48">
        <f t="shared" si="47"/>
        <v>0</v>
      </c>
      <c r="Q74" s="49">
        <f t="shared" si="48"/>
        <v>-4.7404844290657167</v>
      </c>
      <c r="R74" s="424">
        <f t="shared" si="44"/>
        <v>0.94403594771241861</v>
      </c>
      <c r="S74" s="602"/>
      <c r="T74" s="50">
        <v>0.6465277777777777</v>
      </c>
      <c r="U74" s="50">
        <v>0.71736111111111101</v>
      </c>
      <c r="V74" s="422">
        <v>22</v>
      </c>
      <c r="W74" s="433">
        <f t="shared" si="49"/>
        <v>101.99999999999996</v>
      </c>
      <c r="X74" s="180">
        <v>0.63541666666666663</v>
      </c>
      <c r="Y74" s="180">
        <v>0.64583333333333337</v>
      </c>
      <c r="Z74" s="124"/>
      <c r="AA74" s="124"/>
      <c r="AB74" s="588"/>
      <c r="AC74" s="588"/>
      <c r="AD74" s="420">
        <v>1</v>
      </c>
      <c r="AE74" s="420"/>
      <c r="AF74" s="48">
        <f t="shared" ref="AF74:AF80" si="51">N74-K74</f>
        <v>-80.588235294117112</v>
      </c>
      <c r="AG74" s="424">
        <f t="shared" ref="AG74:AG80" si="52">N74/K74</f>
        <v>0.94403594771241872</v>
      </c>
      <c r="AH74" s="602"/>
    </row>
    <row r="75" spans="1:34" ht="19.2" customHeight="1">
      <c r="A75" s="586"/>
      <c r="B75" s="422" t="s">
        <v>128</v>
      </c>
      <c r="C75" s="66"/>
      <c r="D75" s="173" t="s">
        <v>72</v>
      </c>
      <c r="E75" s="43"/>
      <c r="F75" s="355">
        <v>53.36</v>
      </c>
      <c r="G75" s="57">
        <v>1798</v>
      </c>
      <c r="H75" s="45">
        <f t="shared" si="50"/>
        <v>95941.28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1348.4999999999995</v>
      </c>
      <c r="O75" s="47">
        <f t="shared" si="46"/>
        <v>70.973684210526287</v>
      </c>
      <c r="P75" s="48">
        <f t="shared" si="47"/>
        <v>0</v>
      </c>
      <c r="Q75" s="49">
        <f t="shared" si="48"/>
        <v>-4.8157894736842337</v>
      </c>
      <c r="R75" s="424">
        <f t="shared" si="44"/>
        <v>0.93645833333333306</v>
      </c>
      <c r="S75" s="602"/>
      <c r="T75" s="50">
        <v>0.72291666666666654</v>
      </c>
      <c r="U75" s="50">
        <v>0.77847222222222212</v>
      </c>
      <c r="V75" s="422">
        <v>8</v>
      </c>
      <c r="W75" s="433">
        <f t="shared" si="49"/>
        <v>80.000000000000028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-91.500000000000455</v>
      </c>
      <c r="AG75" s="424">
        <f t="shared" si="52"/>
        <v>0.93645833333333306</v>
      </c>
      <c r="AH75" s="602"/>
    </row>
    <row r="76" spans="1:34" ht="19.2" customHeight="1">
      <c r="A76" s="586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2" customHeight="1">
      <c r="A77" s="586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2" customHeight="1">
      <c r="A78" s="586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2" customHeight="1">
      <c r="A79" s="586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2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2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2" customHeight="1">
      <c r="A82" s="629"/>
      <c r="B82" s="168">
        <v>0</v>
      </c>
      <c r="C82" s="100" t="s">
        <v>736</v>
      </c>
      <c r="D82" s="617" t="s">
        <v>737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1353.3919949618478</v>
      </c>
      <c r="O82" s="184">
        <f t="shared" si="53"/>
        <v>79.839769521993844</v>
      </c>
      <c r="P82" s="116">
        <f>M82-J82</f>
        <v>0</v>
      </c>
      <c r="Q82" s="117">
        <f>N82-K82</f>
        <v>-96.608005038152214</v>
      </c>
      <c r="R82" s="172">
        <f>O82/L82</f>
        <v>0.93302061690071891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2</v>
      </c>
      <c r="AE82" s="107">
        <f>SUM(AE70:AE81)</f>
        <v>0</v>
      </c>
      <c r="AF82" s="48">
        <f>N82-K82</f>
        <v>-96.608005038152214</v>
      </c>
      <c r="AG82" s="424">
        <f>N82/K82</f>
        <v>0.93337378962886053</v>
      </c>
      <c r="AH82" s="602"/>
    </row>
    <row r="83" spans="1:34" ht="19.2" customHeight="1">
      <c r="A83" s="630" t="s">
        <v>738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2321.15</v>
      </c>
      <c r="H83" s="84">
        <f t="shared" ref="H83:H94" si="54">F83*G83</f>
        <v>117612.67050000001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1352.1262135922327</v>
      </c>
      <c r="O83" s="183">
        <f t="shared" ref="O83:O91" si="56">N83/M83</f>
        <v>75.11812297734626</v>
      </c>
      <c r="P83" s="54">
        <f t="shared" ref="P83:P91" si="57">M83-J83</f>
        <v>0</v>
      </c>
      <c r="Q83" s="88">
        <f t="shared" ref="Q83:Q91" si="58">O83-L83</f>
        <v>-8.2152103559870682</v>
      </c>
      <c r="R83" s="185">
        <f t="shared" ref="R83:R91" si="59">O83/L83</f>
        <v>0.90141747572815523</v>
      </c>
      <c r="S83" s="602">
        <f>R95</f>
        <v>0.84969473430819764</v>
      </c>
      <c r="T83" s="50">
        <v>0.33333333333333331</v>
      </c>
      <c r="U83" s="50">
        <v>0.40486111111111112</v>
      </c>
      <c r="V83" s="422">
        <v>5</v>
      </c>
      <c r="W83" s="433">
        <f t="shared" ref="W83:W93" si="60">(U83-T83)*24*60</f>
        <v>103.00000000000003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-147.87378640776728</v>
      </c>
      <c r="AG83" s="424">
        <f t="shared" ref="AG83:AG173" si="62">N83/K83</f>
        <v>0.90141747572815512</v>
      </c>
      <c r="AH83" s="602">
        <f>AG95</f>
        <v>0.85633011511666546</v>
      </c>
    </row>
    <row r="84" spans="1:34" ht="19.2" customHeight="1">
      <c r="A84" s="631"/>
      <c r="B84" s="110" t="s">
        <v>128</v>
      </c>
      <c r="C84" s="429"/>
      <c r="D84" s="186" t="s">
        <v>185</v>
      </c>
      <c r="E84" s="43"/>
      <c r="F84" s="362">
        <v>61.02</v>
      </c>
      <c r="G84" s="44">
        <v>1658.8</v>
      </c>
      <c r="H84" s="84">
        <f t="shared" si="54"/>
        <v>101219.97600000001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1344.9729729729734</v>
      </c>
      <c r="O84" s="183">
        <f t="shared" si="56"/>
        <v>79.116057233704311</v>
      </c>
      <c r="P84" s="54">
        <f t="shared" si="57"/>
        <v>0</v>
      </c>
      <c r="Q84" s="88">
        <f t="shared" si="58"/>
        <v>-5.5898251192368633</v>
      </c>
      <c r="R84" s="185">
        <f t="shared" si="59"/>
        <v>0.93400900900900929</v>
      </c>
      <c r="S84" s="602"/>
      <c r="T84" s="50">
        <v>0.41041666666666665</v>
      </c>
      <c r="U84" s="50">
        <v>0.46180555555555552</v>
      </c>
      <c r="V84" s="422">
        <v>8</v>
      </c>
      <c r="W84" s="433">
        <f t="shared" si="60"/>
        <v>73.999999999999972</v>
      </c>
      <c r="X84" s="53"/>
      <c r="Y84" s="53"/>
      <c r="Z84" s="54"/>
      <c r="AA84" s="54"/>
      <c r="AB84" s="588"/>
      <c r="AC84" s="588"/>
      <c r="AD84" s="420"/>
      <c r="AE84" s="420"/>
      <c r="AF84" s="48">
        <f t="shared" si="61"/>
        <v>-95.027027027026634</v>
      </c>
      <c r="AG84" s="424">
        <f t="shared" si="62"/>
        <v>0.93400900900900929</v>
      </c>
      <c r="AH84" s="602"/>
    </row>
    <row r="85" spans="1:34" ht="19.2" customHeight="1">
      <c r="A85" s="631"/>
      <c r="B85" s="110" t="s">
        <v>130</v>
      </c>
      <c r="C85" s="122"/>
      <c r="D85" s="186" t="s">
        <v>143</v>
      </c>
      <c r="E85" s="43"/>
      <c r="F85" s="362">
        <v>36.92</v>
      </c>
      <c r="G85" s="44">
        <v>1355.8500000000001</v>
      </c>
      <c r="H85" s="84">
        <f t="shared" si="54"/>
        <v>50057.982000000011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1479.1090909090919</v>
      </c>
      <c r="O85" s="183">
        <f t="shared" si="56"/>
        <v>123.259090909091</v>
      </c>
      <c r="P85" s="54">
        <f t="shared" si="57"/>
        <v>0</v>
      </c>
      <c r="Q85" s="88">
        <f t="shared" si="58"/>
        <v>-43.407575757575657</v>
      </c>
      <c r="R85" s="185">
        <f t="shared" si="59"/>
        <v>0.73955454545454602</v>
      </c>
      <c r="S85" s="602"/>
      <c r="T85" s="50">
        <v>0.4770833333333333</v>
      </c>
      <c r="U85" s="50">
        <v>0.51527777777777772</v>
      </c>
      <c r="V85" s="422">
        <v>22</v>
      </c>
      <c r="W85" s="433">
        <f t="shared" si="60"/>
        <v>54.999999999999964</v>
      </c>
      <c r="X85" s="53">
        <v>0.46666666666666662</v>
      </c>
      <c r="Y85" s="53">
        <v>0.47638888888888892</v>
      </c>
      <c r="Z85" s="54"/>
      <c r="AA85" s="54"/>
      <c r="AB85" s="588"/>
      <c r="AC85" s="588"/>
      <c r="AD85" s="420"/>
      <c r="AE85" s="420"/>
      <c r="AF85" s="48">
        <f t="shared" si="61"/>
        <v>-520.89090909090805</v>
      </c>
      <c r="AG85" s="424">
        <f t="shared" si="62"/>
        <v>0.73955454545454602</v>
      </c>
      <c r="AH85" s="602"/>
    </row>
    <row r="86" spans="1:34" ht="19.2" customHeight="1">
      <c r="A86" s="631"/>
      <c r="B86" s="110" t="s">
        <v>132</v>
      </c>
      <c r="C86" s="97"/>
      <c r="D86" s="186" t="s">
        <v>190</v>
      </c>
      <c r="E86" s="43"/>
      <c r="F86" s="362">
        <v>54.09</v>
      </c>
      <c r="G86" s="44">
        <v>1120</v>
      </c>
      <c r="H86" s="84">
        <f t="shared" si="54"/>
        <v>60580.800000000003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1083.8709677419365</v>
      </c>
      <c r="O86" s="183">
        <f t="shared" si="56"/>
        <v>54.193548387096826</v>
      </c>
      <c r="P86" s="54">
        <f t="shared" si="57"/>
        <v>0</v>
      </c>
      <c r="Q86" s="88">
        <f t="shared" si="58"/>
        <v>-10.806451612903174</v>
      </c>
      <c r="R86" s="185">
        <f t="shared" si="59"/>
        <v>0.83374689826302806</v>
      </c>
      <c r="S86" s="602"/>
      <c r="T86" s="50">
        <v>0.55555555555555547</v>
      </c>
      <c r="U86" s="50">
        <v>0.59861111111111098</v>
      </c>
      <c r="V86" s="422">
        <v>5</v>
      </c>
      <c r="W86" s="433">
        <f t="shared" si="60"/>
        <v>61.999999999999943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-216.12903225806349</v>
      </c>
      <c r="AG86" s="424">
        <f t="shared" si="62"/>
        <v>0.83374689826302806</v>
      </c>
      <c r="AH86" s="602"/>
    </row>
    <row r="87" spans="1:34" ht="19.2" customHeight="1">
      <c r="A87" s="631"/>
      <c r="B87" s="110" t="s">
        <v>128</v>
      </c>
      <c r="C87" s="97"/>
      <c r="D87" s="186" t="s">
        <v>203</v>
      </c>
      <c r="E87" s="43"/>
      <c r="F87" s="362">
        <v>61.09</v>
      </c>
      <c r="G87" s="44">
        <v>2286</v>
      </c>
      <c r="H87" s="84">
        <f t="shared" si="54"/>
        <v>139651.74000000002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1281.8691588785055</v>
      </c>
      <c r="O87" s="183">
        <f t="shared" si="56"/>
        <v>75.40406816932385</v>
      </c>
      <c r="P87" s="54">
        <f t="shared" si="57"/>
        <v>0</v>
      </c>
      <c r="Q87" s="88">
        <f t="shared" si="58"/>
        <v>-9.3018141836173243</v>
      </c>
      <c r="R87" s="185">
        <f t="shared" si="59"/>
        <v>0.89018691588785104</v>
      </c>
      <c r="S87" s="602"/>
      <c r="T87" s="50">
        <v>0.60347222222222208</v>
      </c>
      <c r="U87" s="50">
        <v>0.67777777777777759</v>
      </c>
      <c r="V87" s="422">
        <v>7</v>
      </c>
      <c r="W87" s="433">
        <f t="shared" si="60"/>
        <v>106.99999999999994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-158.13084112149454</v>
      </c>
      <c r="AG87" s="424">
        <f t="shared" si="62"/>
        <v>0.89018691588785104</v>
      </c>
      <c r="AH87" s="602"/>
    </row>
    <row r="88" spans="1:34" ht="19.2" customHeight="1">
      <c r="A88" s="631"/>
      <c r="B88" s="110" t="s">
        <v>130</v>
      </c>
      <c r="C88" s="429"/>
      <c r="D88" s="186" t="s">
        <v>61</v>
      </c>
      <c r="E88" s="43"/>
      <c r="F88" s="362">
        <v>43.14</v>
      </c>
      <c r="G88" s="57">
        <v>690.55</v>
      </c>
      <c r="H88" s="84">
        <f t="shared" si="54"/>
        <v>29790.326999999997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1336.5483870967719</v>
      </c>
      <c r="O88" s="183">
        <f t="shared" si="56"/>
        <v>83.534274193548242</v>
      </c>
      <c r="P88" s="54">
        <f t="shared" si="57"/>
        <v>0</v>
      </c>
      <c r="Q88" s="88">
        <f t="shared" si="58"/>
        <v>-6.4657258064517578</v>
      </c>
      <c r="R88" s="185">
        <f t="shared" si="59"/>
        <v>0.92815860215053603</v>
      </c>
      <c r="S88" s="602"/>
      <c r="T88" s="50">
        <v>0.69374999999999987</v>
      </c>
      <c r="U88" s="50">
        <v>0.71527777777777768</v>
      </c>
      <c r="V88" s="422">
        <v>23</v>
      </c>
      <c r="W88" s="433">
        <f t="shared" si="60"/>
        <v>31.00000000000005</v>
      </c>
      <c r="X88" s="53">
        <v>0.68194444444444446</v>
      </c>
      <c r="Y88" s="53">
        <v>0.69305555555555554</v>
      </c>
      <c r="Z88" s="54"/>
      <c r="AA88" s="54"/>
      <c r="AB88" s="588"/>
      <c r="AC88" s="588"/>
      <c r="AD88" s="420"/>
      <c r="AE88" s="420"/>
      <c r="AF88" s="48">
        <f t="shared" si="61"/>
        <v>-103.45161290322812</v>
      </c>
      <c r="AG88" s="424">
        <f t="shared" si="62"/>
        <v>0.92815860215053603</v>
      </c>
      <c r="AH88" s="602"/>
    </row>
    <row r="89" spans="1:34" ht="19.2" customHeight="1">
      <c r="A89" s="631"/>
      <c r="B89" s="110" t="s">
        <v>129</v>
      </c>
      <c r="C89" s="429"/>
      <c r="D89" s="42" t="s">
        <v>210</v>
      </c>
      <c r="E89" s="43"/>
      <c r="F89" s="362">
        <v>44.3</v>
      </c>
      <c r="G89" s="114">
        <v>1774.0800000000002</v>
      </c>
      <c r="H89" s="84">
        <f t="shared" si="54"/>
        <v>78591.744000000006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16</v>
      </c>
      <c r="N89" s="57">
        <f t="shared" si="55"/>
        <v>1347.4025316455691</v>
      </c>
      <c r="O89" s="183">
        <f t="shared" si="56"/>
        <v>84.212658227848067</v>
      </c>
      <c r="P89" s="54">
        <f t="shared" si="57"/>
        <v>-1</v>
      </c>
      <c r="Q89" s="88">
        <f t="shared" si="58"/>
        <v>-12.022635889798991</v>
      </c>
      <c r="R89" s="185">
        <f t="shared" si="59"/>
        <v>0.8750704094580789</v>
      </c>
      <c r="S89" s="602"/>
      <c r="T89" s="50">
        <v>0.72013888888888877</v>
      </c>
      <c r="U89" s="50">
        <v>0.77499999999999991</v>
      </c>
      <c r="V89" s="422">
        <v>7</v>
      </c>
      <c r="W89" s="433">
        <f t="shared" si="60"/>
        <v>79.000000000000043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-288.59746835443093</v>
      </c>
      <c r="AG89" s="424">
        <f t="shared" si="62"/>
        <v>0.8235956794899566</v>
      </c>
      <c r="AH89" s="602"/>
    </row>
    <row r="90" spans="1:34" ht="19.2" customHeight="1">
      <c r="A90" s="631"/>
      <c r="B90" s="110" t="s">
        <v>129</v>
      </c>
      <c r="C90" s="429"/>
      <c r="D90" s="42" t="s">
        <v>62</v>
      </c>
      <c r="E90" s="43"/>
      <c r="F90" s="362">
        <v>38.39</v>
      </c>
      <c r="G90" s="127">
        <v>976.15</v>
      </c>
      <c r="H90" s="84">
        <f t="shared" si="54"/>
        <v>37474.398500000003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1331.1136363636363</v>
      </c>
      <c r="O90" s="183">
        <f t="shared" si="56"/>
        <v>78.30080213903743</v>
      </c>
      <c r="P90" s="54">
        <f t="shared" si="57"/>
        <v>1</v>
      </c>
      <c r="Q90" s="88">
        <f t="shared" si="58"/>
        <v>-23.94919786096257</v>
      </c>
      <c r="R90" s="185">
        <f t="shared" si="59"/>
        <v>0.76577801602970597</v>
      </c>
      <c r="S90" s="602"/>
      <c r="T90" s="50">
        <v>0.77986111111111101</v>
      </c>
      <c r="U90" s="50">
        <v>0.81041666666666656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-304.88636363636374</v>
      </c>
      <c r="AG90" s="424">
        <f t="shared" si="62"/>
        <v>0.81363914203156251</v>
      </c>
      <c r="AH90" s="602"/>
    </row>
    <row r="91" spans="1:34" ht="19.2" customHeight="1">
      <c r="A91" s="631"/>
      <c r="B91" s="110" t="s">
        <v>129</v>
      </c>
      <c r="C91" s="429"/>
      <c r="D91" s="42" t="s">
        <v>206</v>
      </c>
      <c r="E91" s="43"/>
      <c r="F91" s="362">
        <v>50.67</v>
      </c>
      <c r="G91" s="44">
        <v>1249.8499999999999</v>
      </c>
      <c r="H91" s="84">
        <f t="shared" si="54"/>
        <v>63329.8995</v>
      </c>
      <c r="I91" s="189">
        <v>1</v>
      </c>
      <c r="J91" s="87">
        <v>18</v>
      </c>
      <c r="K91" s="57">
        <v>1500</v>
      </c>
      <c r="L91" s="86">
        <v>83.333333333333329</v>
      </c>
      <c r="M91" s="431">
        <v>18</v>
      </c>
      <c r="N91" s="57">
        <f t="shared" si="55"/>
        <v>1339.1250000000009</v>
      </c>
      <c r="O91" s="183">
        <f t="shared" si="56"/>
        <v>74.395833333333385</v>
      </c>
      <c r="P91" s="54">
        <f t="shared" si="57"/>
        <v>0</v>
      </c>
      <c r="Q91" s="88">
        <f t="shared" si="58"/>
        <v>-8.9374999999999432</v>
      </c>
      <c r="R91" s="185">
        <f t="shared" si="59"/>
        <v>0.89275000000000071</v>
      </c>
      <c r="S91" s="603"/>
      <c r="T91" s="50">
        <v>0.81527777777777766</v>
      </c>
      <c r="U91" s="50">
        <v>0.85416666666666652</v>
      </c>
      <c r="V91" s="422">
        <v>7</v>
      </c>
      <c r="W91" s="433">
        <f t="shared" si="60"/>
        <v>55.999999999999957</v>
      </c>
      <c r="X91" s="115"/>
      <c r="Y91" s="115"/>
      <c r="Z91" s="54"/>
      <c r="AA91" s="54"/>
      <c r="AB91" s="588"/>
      <c r="AC91" s="588"/>
      <c r="AD91" s="420">
        <v>1</v>
      </c>
      <c r="AE91" s="420"/>
      <c r="AF91" s="48">
        <f t="shared" si="61"/>
        <v>-160.87499999999909</v>
      </c>
      <c r="AG91" s="424">
        <f t="shared" si="62"/>
        <v>0.8927500000000006</v>
      </c>
      <c r="AH91" s="603"/>
    </row>
    <row r="92" spans="1:34" ht="19.2" customHeight="1">
      <c r="A92" s="631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2" customHeight="1">
      <c r="A93" s="631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2" customHeight="1">
      <c r="A94" s="631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2" customHeight="1">
      <c r="A95" s="631"/>
      <c r="B95" s="200">
        <v>0</v>
      </c>
      <c r="C95" s="100" t="s">
        <v>739</v>
      </c>
      <c r="D95" s="617" t="s">
        <v>731</v>
      </c>
      <c r="E95" s="617"/>
      <c r="F95" s="356"/>
      <c r="G95" s="70"/>
      <c r="H95" s="201"/>
      <c r="I95" s="103"/>
      <c r="J95" s="202">
        <v>16.777777777777779</v>
      </c>
      <c r="K95" s="202">
        <v>1543.5555555555557</v>
      </c>
      <c r="L95" s="203">
        <v>95.136710239651421</v>
      </c>
      <c r="M95" s="202">
        <f t="shared" ref="M95:O95" si="63">AVERAGE(M83:M94)</f>
        <v>16.777777777777779</v>
      </c>
      <c r="N95" s="202">
        <f t="shared" si="63"/>
        <v>1321.7931065778575</v>
      </c>
      <c r="O95" s="203">
        <f t="shared" si="63"/>
        <v>80.837161730036598</v>
      </c>
      <c r="P95" s="204">
        <f>M95-J95</f>
        <v>0</v>
      </c>
      <c r="Q95" s="205">
        <f t="shared" ref="Q95:Q106" si="64">O95-L95</f>
        <v>-14.299548509614823</v>
      </c>
      <c r="R95" s="206">
        <f>O95/L95</f>
        <v>0.84969473430819764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-221.76244897769811</v>
      </c>
      <c r="AG95" s="425">
        <f t="shared" si="62"/>
        <v>0.85633011511666546</v>
      </c>
      <c r="AH95" s="603"/>
    </row>
    <row r="96" spans="1:34" ht="19.2" customHeight="1">
      <c r="A96" s="633" t="s">
        <v>740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1398.8</v>
      </c>
      <c r="H96" s="45">
        <f t="shared" ref="H96:H105" si="65">F96*G96</f>
        <v>41208.648000000001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1134.1621621621625</v>
      </c>
      <c r="O96" s="47">
        <f t="shared" ref="O96:O106" si="67">N96/M96</f>
        <v>70.885135135135158</v>
      </c>
      <c r="P96" s="48">
        <f t="shared" ref="P96:P106" si="68">M96-J96</f>
        <v>0</v>
      </c>
      <c r="Q96" s="49">
        <f t="shared" si="64"/>
        <v>-19.114864864864842</v>
      </c>
      <c r="R96" s="424">
        <f t="shared" ref="R96:R106" si="69">O96/L96</f>
        <v>0.78761261261261284</v>
      </c>
      <c r="S96" s="602">
        <f>R108</f>
        <v>0.81788893177070898</v>
      </c>
      <c r="T96" s="89">
        <v>0.33333333333333331</v>
      </c>
      <c r="U96" s="89">
        <v>0.38472222222222219</v>
      </c>
      <c r="V96" s="420">
        <v>5</v>
      </c>
      <c r="W96" s="90">
        <f t="shared" ref="W96:W133" si="70">(U96-T96)*24*60</f>
        <v>73.999999999999972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-305.83783783783747</v>
      </c>
      <c r="AG96" s="421">
        <f t="shared" si="62"/>
        <v>0.78761261261261284</v>
      </c>
      <c r="AH96" s="611">
        <f>AG108</f>
        <v>0.88811990258134876</v>
      </c>
    </row>
    <row r="97" spans="1:34" s="215" customFormat="1" ht="19.2" customHeight="1">
      <c r="A97" s="633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2747.2000000000003</v>
      </c>
      <c r="H97" s="210">
        <f t="shared" si="65"/>
        <v>79979.645259938829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1351.0819672131151</v>
      </c>
      <c r="O97" s="47">
        <f t="shared" si="67"/>
        <v>67.554098360655757</v>
      </c>
      <c r="P97" s="48">
        <f t="shared" si="68"/>
        <v>0</v>
      </c>
      <c r="Q97" s="49">
        <f t="shared" si="64"/>
        <v>-7.4459016393442425</v>
      </c>
      <c r="R97" s="424">
        <f t="shared" si="69"/>
        <v>0.90072131147541012</v>
      </c>
      <c r="S97" s="602"/>
      <c r="T97" s="211">
        <v>0.40069444444444441</v>
      </c>
      <c r="U97" s="211">
        <v>0.48541666666666661</v>
      </c>
      <c r="V97" s="212">
        <v>23</v>
      </c>
      <c r="W97" s="90">
        <f t="shared" si="70"/>
        <v>121.99999999999997</v>
      </c>
      <c r="X97" s="53">
        <v>0.3888888888888889</v>
      </c>
      <c r="Y97" s="53">
        <v>0.39999999999999997</v>
      </c>
      <c r="Z97" s="54"/>
      <c r="AA97" s="54"/>
      <c r="AB97" s="588"/>
      <c r="AC97" s="588"/>
      <c r="AD97" s="212">
        <v>1</v>
      </c>
      <c r="AE97" s="212"/>
      <c r="AF97" s="213">
        <f t="shared" si="61"/>
        <v>-148.91803278688485</v>
      </c>
      <c r="AG97" s="214">
        <f t="shared" si="62"/>
        <v>0.90072131147541012</v>
      </c>
      <c r="AH97" s="611"/>
    </row>
    <row r="98" spans="1:34" s="218" customFormat="1" ht="19.2" customHeight="1">
      <c r="A98" s="633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419</v>
      </c>
      <c r="H98" s="210">
        <f t="shared" si="65"/>
        <v>32409.649999999998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1093.0434782608736</v>
      </c>
      <c r="O98" s="47">
        <f t="shared" si="67"/>
        <v>60.724637681159642</v>
      </c>
      <c r="P98" s="48">
        <f t="shared" si="68"/>
        <v>-1</v>
      </c>
      <c r="Q98" s="49">
        <f t="shared" si="64"/>
        <v>-15.064836003050878</v>
      </c>
      <c r="R98" s="424">
        <f t="shared" si="69"/>
        <v>0.80122785829307863</v>
      </c>
      <c r="S98" s="602"/>
      <c r="T98" s="89">
        <v>0.52569444444444435</v>
      </c>
      <c r="U98" s="89">
        <v>0.54166666666666652</v>
      </c>
      <c r="V98" s="420">
        <v>5</v>
      </c>
      <c r="W98" s="90">
        <f t="shared" si="70"/>
        <v>22.999999999999918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-346.9565217391264</v>
      </c>
      <c r="AG98" s="421">
        <f t="shared" si="62"/>
        <v>0.75905797101449557</v>
      </c>
      <c r="AH98" s="611"/>
    </row>
    <row r="99" spans="1:34" ht="19.2" customHeight="1">
      <c r="A99" s="633"/>
      <c r="B99" s="422" t="s">
        <v>128</v>
      </c>
      <c r="C99" s="81"/>
      <c r="D99" s="82" t="s">
        <v>58</v>
      </c>
      <c r="E99" s="83"/>
      <c r="F99" s="366">
        <v>77.34</v>
      </c>
      <c r="G99" s="57">
        <v>1056</v>
      </c>
      <c r="H99" s="210">
        <f t="shared" si="65"/>
        <v>81671.040000000008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1320.0000000000005</v>
      </c>
      <c r="O99" s="47">
        <f t="shared" si="67"/>
        <v>73.333333333333357</v>
      </c>
      <c r="P99" s="48">
        <f t="shared" si="68"/>
        <v>0</v>
      </c>
      <c r="Q99" s="49">
        <f t="shared" si="64"/>
        <v>-6.666666666666643</v>
      </c>
      <c r="R99" s="424">
        <f t="shared" si="69"/>
        <v>0.91666666666666696</v>
      </c>
      <c r="S99" s="602"/>
      <c r="T99" s="89">
        <v>0.54652777777777761</v>
      </c>
      <c r="U99" s="89">
        <v>0.57986111111111094</v>
      </c>
      <c r="V99" s="420">
        <v>7</v>
      </c>
      <c r="W99" s="90">
        <f t="shared" si="70"/>
        <v>47.999999999999986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-119.99999999999955</v>
      </c>
      <c r="AG99" s="214">
        <f t="shared" si="62"/>
        <v>0.91666666666666696</v>
      </c>
      <c r="AH99" s="611"/>
    </row>
    <row r="100" spans="1:34" s="218" customFormat="1" ht="19.2" customHeight="1">
      <c r="A100" s="633"/>
      <c r="B100" s="422" t="s">
        <v>128</v>
      </c>
      <c r="C100" s="55"/>
      <c r="D100" s="42" t="s">
        <v>57</v>
      </c>
      <c r="E100" s="83"/>
      <c r="F100" s="366">
        <v>71.55</v>
      </c>
      <c r="G100" s="57">
        <v>891</v>
      </c>
      <c r="H100" s="210">
        <f t="shared" si="65"/>
        <v>63751.049999999996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1243.2558139534881</v>
      </c>
      <c r="O100" s="47">
        <f t="shared" si="67"/>
        <v>69.069767441860449</v>
      </c>
      <c r="P100" s="48">
        <f t="shared" si="68"/>
        <v>0</v>
      </c>
      <c r="Q100" s="49">
        <f t="shared" si="64"/>
        <v>-7.8746770025839936</v>
      </c>
      <c r="R100" s="424">
        <f t="shared" si="69"/>
        <v>0.89765762740324051</v>
      </c>
      <c r="S100" s="602"/>
      <c r="T100" s="211">
        <v>0.58541666666666647</v>
      </c>
      <c r="U100" s="211">
        <v>0.61527777777777759</v>
      </c>
      <c r="V100" s="212">
        <v>8</v>
      </c>
      <c r="W100" s="90">
        <f t="shared" si="70"/>
        <v>43.000000000000007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-141.74418604651191</v>
      </c>
      <c r="AG100" s="421">
        <f t="shared" si="62"/>
        <v>0.89765762740324051</v>
      </c>
      <c r="AH100" s="611"/>
    </row>
    <row r="101" spans="1:34" s="218" customFormat="1" ht="19.2" customHeight="1">
      <c r="A101" s="633"/>
      <c r="B101" s="422" t="s">
        <v>128</v>
      </c>
      <c r="C101" s="55"/>
      <c r="D101" s="82" t="s">
        <v>56</v>
      </c>
      <c r="E101" s="83"/>
      <c r="F101" s="366">
        <v>59.34</v>
      </c>
      <c r="G101" s="57">
        <v>691</v>
      </c>
      <c r="H101" s="210">
        <f t="shared" si="65"/>
        <v>41003.94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1295.6249999999982</v>
      </c>
      <c r="O101" s="47">
        <f t="shared" si="67"/>
        <v>76.213235294117538</v>
      </c>
      <c r="P101" s="48">
        <f t="shared" si="68"/>
        <v>0</v>
      </c>
      <c r="Q101" s="49">
        <f t="shared" si="64"/>
        <v>-8.4926470588236356</v>
      </c>
      <c r="R101" s="424">
        <f t="shared" si="69"/>
        <v>0.89973958333333204</v>
      </c>
      <c r="S101" s="602"/>
      <c r="T101" s="211">
        <v>0.62013888888888868</v>
      </c>
      <c r="U101" s="89">
        <v>0.64236111111111094</v>
      </c>
      <c r="V101" s="212">
        <v>7</v>
      </c>
      <c r="W101" s="90">
        <f t="shared" si="70"/>
        <v>32.000000000000043</v>
      </c>
      <c r="X101" s="220"/>
      <c r="Y101" s="220"/>
      <c r="Z101" s="217"/>
      <c r="AA101" s="217"/>
      <c r="AB101" s="588"/>
      <c r="AC101" s="588"/>
      <c r="AD101" s="420">
        <v>1</v>
      </c>
      <c r="AE101" s="420"/>
      <c r="AF101" s="213">
        <f t="shared" si="61"/>
        <v>-144.37500000000182</v>
      </c>
      <c r="AG101" s="214">
        <f t="shared" si="62"/>
        <v>0.89973958333333204</v>
      </c>
      <c r="AH101" s="611"/>
    </row>
    <row r="102" spans="1:34" s="218" customFormat="1" ht="19.2" customHeight="1">
      <c r="A102" s="633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921</v>
      </c>
      <c r="H102" s="210">
        <f t="shared" si="65"/>
        <v>47661.75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1285.1162790697672</v>
      </c>
      <c r="O102" s="47">
        <f t="shared" si="67"/>
        <v>61.196013289036536</v>
      </c>
      <c r="P102" s="48">
        <f t="shared" si="68"/>
        <v>0</v>
      </c>
      <c r="Q102" s="49">
        <f t="shared" si="64"/>
        <v>-10.232558139534895</v>
      </c>
      <c r="R102" s="424">
        <f t="shared" si="69"/>
        <v>0.85674418604651148</v>
      </c>
      <c r="S102" s="602"/>
      <c r="T102" s="211">
        <v>0.65833333333333321</v>
      </c>
      <c r="U102" s="211">
        <v>0.68819444444444433</v>
      </c>
      <c r="V102" s="212">
        <v>23</v>
      </c>
      <c r="W102" s="90">
        <f t="shared" si="70"/>
        <v>43.000000000000007</v>
      </c>
      <c r="X102" s="220">
        <v>0.64722222222222225</v>
      </c>
      <c r="Y102" s="220">
        <v>0.65694444444444444</v>
      </c>
      <c r="Z102" s="217"/>
      <c r="AA102" s="217"/>
      <c r="AB102" s="588"/>
      <c r="AC102" s="588"/>
      <c r="AD102" s="420"/>
      <c r="AE102" s="420"/>
      <c r="AF102" s="54">
        <f t="shared" si="61"/>
        <v>-214.88372093023281</v>
      </c>
      <c r="AG102" s="421">
        <f t="shared" si="62"/>
        <v>0.85674418604651148</v>
      </c>
      <c r="AH102" s="611"/>
    </row>
    <row r="103" spans="1:34" s="218" customFormat="1" ht="19.2" customHeight="1">
      <c r="A103" s="633"/>
      <c r="B103" s="422" t="s">
        <v>129</v>
      </c>
      <c r="C103" s="221"/>
      <c r="D103" s="82" t="s">
        <v>197</v>
      </c>
      <c r="E103" s="83"/>
      <c r="F103" s="366">
        <v>62.13</v>
      </c>
      <c r="G103" s="57">
        <v>559.75</v>
      </c>
      <c r="H103" s="210">
        <f t="shared" si="65"/>
        <v>34777.267500000002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1399.3749999999957</v>
      </c>
      <c r="O103" s="47">
        <f t="shared" si="67"/>
        <v>99.95535714285684</v>
      </c>
      <c r="P103" s="48">
        <f t="shared" si="68"/>
        <v>0</v>
      </c>
      <c r="Q103" s="49">
        <f t="shared" si="64"/>
        <v>-7.1875000000002984</v>
      </c>
      <c r="R103" s="424">
        <f t="shared" si="69"/>
        <v>0.93291666666666384</v>
      </c>
      <c r="S103" s="602"/>
      <c r="T103" s="211">
        <v>0.69305555555555542</v>
      </c>
      <c r="U103" s="211">
        <v>0.70972222222222214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-100.62500000000432</v>
      </c>
      <c r="AG103" s="421">
        <f t="shared" si="62"/>
        <v>0.93291666666666384</v>
      </c>
      <c r="AH103" s="611"/>
    </row>
    <row r="104" spans="1:34" s="218" customFormat="1" ht="19.2" customHeight="1">
      <c r="A104" s="633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1292.8</v>
      </c>
      <c r="H104" s="210">
        <f t="shared" si="65"/>
        <v>37637.480122324152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1436.4444444444453</v>
      </c>
      <c r="O104" s="47">
        <f t="shared" si="67"/>
        <v>71.822222222222265</v>
      </c>
      <c r="P104" s="48">
        <f t="shared" si="68"/>
        <v>0</v>
      </c>
      <c r="Q104" s="49">
        <f t="shared" si="64"/>
        <v>-3.1777777777777345</v>
      </c>
      <c r="R104" s="424">
        <f t="shared" si="69"/>
        <v>0.95762962962963016</v>
      </c>
      <c r="S104" s="603"/>
      <c r="T104" s="211">
        <v>0.71458333333333324</v>
      </c>
      <c r="U104" s="211">
        <v>0.75208333333333321</v>
      </c>
      <c r="V104" s="212">
        <v>7</v>
      </c>
      <c r="W104" s="90">
        <f t="shared" si="70"/>
        <v>53.999999999999972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-63.555555555554747</v>
      </c>
      <c r="AG104" s="214">
        <f t="shared" si="62"/>
        <v>0.95762962962963016</v>
      </c>
      <c r="AH104" s="611"/>
    </row>
    <row r="105" spans="1:34" s="218" customFormat="1" ht="19.2" customHeight="1">
      <c r="A105" s="633"/>
      <c r="B105" s="422" t="s">
        <v>130</v>
      </c>
      <c r="C105" s="223"/>
      <c r="D105" s="82" t="s">
        <v>387</v>
      </c>
      <c r="E105" s="83"/>
      <c r="F105" s="366">
        <v>28.47</v>
      </c>
      <c r="G105" s="209">
        <v>1873.0600000000002</v>
      </c>
      <c r="H105" s="210">
        <f t="shared" si="65"/>
        <v>53326.018200000006</v>
      </c>
      <c r="I105" s="221"/>
      <c r="J105" s="46">
        <v>7</v>
      </c>
      <c r="K105" s="44">
        <v>1500</v>
      </c>
      <c r="L105" s="47">
        <v>214.28571428571428</v>
      </c>
      <c r="M105" s="87">
        <v>12</v>
      </c>
      <c r="N105" s="44">
        <f t="shared" si="66"/>
        <v>1422.5772151898727</v>
      </c>
      <c r="O105" s="47">
        <f t="shared" si="67"/>
        <v>118.54810126582272</v>
      </c>
      <c r="P105" s="48">
        <f t="shared" si="68"/>
        <v>5</v>
      </c>
      <c r="Q105" s="49">
        <f t="shared" si="64"/>
        <v>-95.737613019891555</v>
      </c>
      <c r="R105" s="424">
        <f t="shared" si="69"/>
        <v>0.55322447257383944</v>
      </c>
      <c r="S105" s="603"/>
      <c r="T105" s="211">
        <v>0.75694444444444431</v>
      </c>
      <c r="U105" s="211">
        <v>0.81180555555555545</v>
      </c>
      <c r="V105" s="212">
        <v>7</v>
      </c>
      <c r="W105" s="90">
        <f t="shared" si="70"/>
        <v>79.000000000000043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-77.422784810127268</v>
      </c>
      <c r="AG105" s="421">
        <f t="shared" si="62"/>
        <v>0.94838481012658182</v>
      </c>
      <c r="AH105" s="611"/>
    </row>
    <row r="106" spans="1:34" s="218" customFormat="1" ht="19.2" customHeight="1">
      <c r="A106" s="633"/>
      <c r="B106" s="221" t="s">
        <v>132</v>
      </c>
      <c r="C106" s="223"/>
      <c r="D106" s="82" t="s">
        <v>81</v>
      </c>
      <c r="E106" s="83"/>
      <c r="F106" s="355">
        <v>55.56</v>
      </c>
      <c r="G106" s="209">
        <v>1196</v>
      </c>
      <c r="H106" s="225">
        <f>F106*G106</f>
        <v>66449.760000000009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1304.7272727272737</v>
      </c>
      <c r="O106" s="47">
        <f t="shared" si="67"/>
        <v>81.545454545454604</v>
      </c>
      <c r="P106" s="48">
        <f t="shared" si="68"/>
        <v>0</v>
      </c>
      <c r="Q106" s="49">
        <f t="shared" si="64"/>
        <v>-8.4545454545453964</v>
      </c>
      <c r="R106" s="424">
        <f t="shared" si="69"/>
        <v>0.90606060606060668</v>
      </c>
      <c r="S106" s="632"/>
      <c r="T106" s="211">
        <v>0.81736111111111098</v>
      </c>
      <c r="U106" s="211">
        <v>0.8555555555555554</v>
      </c>
      <c r="V106" s="212">
        <v>8</v>
      </c>
      <c r="W106" s="90">
        <f t="shared" si="70"/>
        <v>54.999999999999964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-135.27272727272634</v>
      </c>
      <c r="AG106" s="421">
        <f t="shared" si="62"/>
        <v>0.90606060606060668</v>
      </c>
      <c r="AH106" s="611"/>
    </row>
    <row r="107" spans="1:34" s="218" customFormat="1" ht="19.2" customHeight="1">
      <c r="A107" s="633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2" customHeight="1">
      <c r="A108" s="633"/>
      <c r="B108" s="110">
        <v>0</v>
      </c>
      <c r="C108" s="100" t="s">
        <v>257</v>
      </c>
      <c r="D108" s="617" t="s">
        <v>243</v>
      </c>
      <c r="E108" s="617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17.272727272727273</v>
      </c>
      <c r="N108" s="101">
        <f t="shared" si="71"/>
        <v>1298.6735120928176</v>
      </c>
      <c r="O108" s="104">
        <f t="shared" si="71"/>
        <v>77.349759610150443</v>
      </c>
      <c r="P108" s="54">
        <f t="shared" ref="P108:P117" si="72">M108-J108</f>
        <v>0.36363636363636331</v>
      </c>
      <c r="Q108" s="88">
        <f t="shared" ref="Q108:Q117" si="73">O108-L108</f>
        <v>-17.222689784280362</v>
      </c>
      <c r="R108" s="105">
        <f t="shared" ref="R108:R117" si="74">O108/L108</f>
        <v>0.81788893177070898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2</v>
      </c>
      <c r="AE108" s="107">
        <f>SUM(AE96:AE107)</f>
        <v>0</v>
      </c>
      <c r="AF108" s="54">
        <f t="shared" si="61"/>
        <v>-163.59921517990961</v>
      </c>
      <c r="AG108" s="421">
        <f t="shared" si="62"/>
        <v>0.88811990258134876</v>
      </c>
      <c r="AH108" s="611"/>
    </row>
    <row r="109" spans="1:34" ht="19.2" customHeight="1">
      <c r="A109" s="634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997</v>
      </c>
      <c r="H109" s="45">
        <f t="shared" ref="H109:H119" si="75">F109*G109</f>
        <v>56260.71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1300.4347826086957</v>
      </c>
      <c r="O109" s="47">
        <f t="shared" ref="O109:O117" si="77">N109/M109</f>
        <v>72.246376811594203</v>
      </c>
      <c r="P109" s="48">
        <f t="shared" si="72"/>
        <v>0</v>
      </c>
      <c r="Q109" s="49">
        <f t="shared" si="73"/>
        <v>-11.086956521739125</v>
      </c>
      <c r="R109" s="424">
        <f t="shared" si="74"/>
        <v>0.86695652173913051</v>
      </c>
      <c r="S109" s="637">
        <f>R121</f>
        <v>0.80696462912054412</v>
      </c>
      <c r="T109" s="226">
        <v>0.5</v>
      </c>
      <c r="U109" s="226">
        <v>0.53194444444444444</v>
      </c>
      <c r="V109" s="227">
        <v>5</v>
      </c>
      <c r="W109" s="433">
        <f t="shared" si="70"/>
        <v>46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-199.56521739130426</v>
      </c>
      <c r="AG109" s="125">
        <f t="shared" si="62"/>
        <v>0.86695652173913051</v>
      </c>
      <c r="AH109" s="611">
        <f>AG121</f>
        <v>0.86889009084804736</v>
      </c>
    </row>
    <row r="110" spans="1:34" ht="19.2" customHeight="1">
      <c r="A110" s="635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1631</v>
      </c>
      <c r="H110" s="45">
        <f t="shared" si="75"/>
        <v>97109.74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1270.9090909090901</v>
      </c>
      <c r="O110" s="47">
        <f t="shared" si="77"/>
        <v>70.606060606060566</v>
      </c>
      <c r="P110" s="48">
        <f t="shared" si="72"/>
        <v>0</v>
      </c>
      <c r="Q110" s="49">
        <f t="shared" si="73"/>
        <v>-6.3383838383838764</v>
      </c>
      <c r="R110" s="424">
        <f t="shared" si="74"/>
        <v>0.91762389235313369</v>
      </c>
      <c r="S110" s="638"/>
      <c r="T110" s="226">
        <v>0.53749999999999998</v>
      </c>
      <c r="U110" s="226">
        <v>0.59097222222222223</v>
      </c>
      <c r="V110" s="227">
        <v>8</v>
      </c>
      <c r="W110" s="433">
        <f t="shared" si="70"/>
        <v>77.000000000000043</v>
      </c>
      <c r="X110" s="188"/>
      <c r="Y110" s="188"/>
      <c r="Z110" s="54"/>
      <c r="AA110" s="54"/>
      <c r="AB110" s="588"/>
      <c r="AC110" s="588"/>
      <c r="AD110" s="420">
        <v>1</v>
      </c>
      <c r="AE110" s="420"/>
      <c r="AF110" s="48">
        <f t="shared" si="61"/>
        <v>-114.09090909090992</v>
      </c>
      <c r="AG110" s="125">
        <f t="shared" si="62"/>
        <v>0.91762389235313369</v>
      </c>
      <c r="AH110" s="611"/>
    </row>
    <row r="111" spans="1:34" ht="19.2" customHeight="1">
      <c r="A111" s="635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1703</v>
      </c>
      <c r="H111" s="45">
        <f t="shared" si="75"/>
        <v>86291.010000000009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1362.399999999999</v>
      </c>
      <c r="O111" s="47">
        <f t="shared" si="77"/>
        <v>75.688888888888826</v>
      </c>
      <c r="P111" s="48">
        <f t="shared" si="72"/>
        <v>0</v>
      </c>
      <c r="Q111" s="49">
        <f t="shared" si="73"/>
        <v>-7.6444444444445026</v>
      </c>
      <c r="R111" s="424">
        <f t="shared" si="74"/>
        <v>0.908266666666666</v>
      </c>
      <c r="S111" s="638"/>
      <c r="T111" s="226">
        <v>0.60694444444444451</v>
      </c>
      <c r="U111" s="226">
        <v>0.65902777777777788</v>
      </c>
      <c r="V111" s="227">
        <v>23</v>
      </c>
      <c r="W111" s="433">
        <f t="shared" si="70"/>
        <v>75.000000000000057</v>
      </c>
      <c r="X111" s="53">
        <v>0.59583333333333333</v>
      </c>
      <c r="Y111" s="53">
        <v>0.60555555555555551</v>
      </c>
      <c r="Z111" s="54"/>
      <c r="AA111" s="54"/>
      <c r="AB111" s="588"/>
      <c r="AC111" s="588"/>
      <c r="AD111" s="420">
        <v>1</v>
      </c>
      <c r="AE111" s="420"/>
      <c r="AF111" s="48">
        <f t="shared" si="61"/>
        <v>-137.60000000000105</v>
      </c>
      <c r="AG111" s="125">
        <f t="shared" si="62"/>
        <v>0.908266666666666</v>
      </c>
      <c r="AH111" s="611"/>
    </row>
    <row r="112" spans="1:34" ht="19.2" customHeight="1">
      <c r="A112" s="635"/>
      <c r="B112" s="422" t="s">
        <v>130</v>
      </c>
      <c r="C112" s="175"/>
      <c r="D112" s="176" t="s">
        <v>201</v>
      </c>
      <c r="E112" s="83"/>
      <c r="F112" s="355">
        <v>26.5</v>
      </c>
      <c r="G112" s="57">
        <v>1576.33</v>
      </c>
      <c r="H112" s="45">
        <f t="shared" si="75"/>
        <v>41772.744999999995</v>
      </c>
      <c r="I112" s="420">
        <v>1</v>
      </c>
      <c r="J112" s="46">
        <v>12</v>
      </c>
      <c r="K112" s="44">
        <v>2000</v>
      </c>
      <c r="L112" s="47">
        <v>166.66666666666666</v>
      </c>
      <c r="M112" s="434">
        <v>12</v>
      </c>
      <c r="N112" s="44">
        <f t="shared" si="76"/>
        <v>1550.4885245901653</v>
      </c>
      <c r="O112" s="47">
        <f t="shared" si="77"/>
        <v>129.20737704918045</v>
      </c>
      <c r="P112" s="48">
        <f t="shared" si="72"/>
        <v>0</v>
      </c>
      <c r="Q112" s="49">
        <f t="shared" si="73"/>
        <v>-37.459289617486206</v>
      </c>
      <c r="R112" s="424">
        <f t="shared" si="74"/>
        <v>0.7752442622950827</v>
      </c>
      <c r="S112" s="638"/>
      <c r="T112" s="226">
        <v>0.66388888888888897</v>
      </c>
      <c r="U112" s="226">
        <v>0.70625000000000004</v>
      </c>
      <c r="V112" s="227">
        <v>7</v>
      </c>
      <c r="W112" s="433">
        <f t="shared" si="70"/>
        <v>60.999999999999943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-449.5114754098347</v>
      </c>
      <c r="AG112" s="125">
        <f t="shared" si="62"/>
        <v>0.7752442622950827</v>
      </c>
      <c r="AH112" s="611"/>
    </row>
    <row r="113" spans="1:34" s="218" customFormat="1" ht="19.2" customHeight="1">
      <c r="A113" s="635"/>
      <c r="B113" s="422" t="s">
        <v>130</v>
      </c>
      <c r="C113" s="175"/>
      <c r="D113" s="176" t="s">
        <v>387</v>
      </c>
      <c r="E113" s="83"/>
      <c r="F113" s="355">
        <v>28.47</v>
      </c>
      <c r="G113" s="57">
        <v>1983.24</v>
      </c>
      <c r="H113" s="45">
        <f t="shared" si="75"/>
        <v>56462.842799999999</v>
      </c>
      <c r="I113" s="420"/>
      <c r="J113" s="46">
        <v>7</v>
      </c>
      <c r="K113" s="44">
        <v>1500</v>
      </c>
      <c r="L113" s="47">
        <v>214.28571428571428</v>
      </c>
      <c r="M113" s="431">
        <v>11</v>
      </c>
      <c r="N113" s="44">
        <f t="shared" si="76"/>
        <v>1487.4299999999962</v>
      </c>
      <c r="O113" s="47">
        <f t="shared" si="77"/>
        <v>135.22090909090875</v>
      </c>
      <c r="P113" s="48">
        <f t="shared" si="72"/>
        <v>4</v>
      </c>
      <c r="Q113" s="49">
        <f t="shared" si="73"/>
        <v>-79.06480519480553</v>
      </c>
      <c r="R113" s="424">
        <f t="shared" si="74"/>
        <v>0.63103090909090753</v>
      </c>
      <c r="S113" s="638"/>
      <c r="T113" s="226">
        <v>0.74305555555555547</v>
      </c>
      <c r="U113" s="226">
        <v>0.79861111111111116</v>
      </c>
      <c r="V113" s="227">
        <v>5</v>
      </c>
      <c r="W113" s="433">
        <f t="shared" si="70"/>
        <v>80.000000000000199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-12.570000000003802</v>
      </c>
      <c r="AG113" s="125">
        <f t="shared" si="62"/>
        <v>0.9916199999999975</v>
      </c>
      <c r="AH113" s="611"/>
    </row>
    <row r="114" spans="1:34" s="218" customFormat="1" ht="19.2" customHeight="1">
      <c r="A114" s="635"/>
      <c r="B114" s="422" t="s">
        <v>131</v>
      </c>
      <c r="C114" s="175"/>
      <c r="D114" s="176" t="s">
        <v>191</v>
      </c>
      <c r="E114" s="43"/>
      <c r="F114" s="355">
        <v>28.57</v>
      </c>
      <c r="G114" s="44">
        <v>1697</v>
      </c>
      <c r="H114" s="45">
        <f t="shared" si="75"/>
        <v>48483.29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1454.5714285714303</v>
      </c>
      <c r="O114" s="47">
        <f t="shared" si="77"/>
        <v>121.21428571428585</v>
      </c>
      <c r="P114" s="48">
        <f t="shared" si="72"/>
        <v>0</v>
      </c>
      <c r="Q114" s="49">
        <f t="shared" si="73"/>
        <v>-3.7857142857141497</v>
      </c>
      <c r="R114" s="424">
        <f t="shared" si="74"/>
        <v>0.96971428571428675</v>
      </c>
      <c r="S114" s="638"/>
      <c r="T114" s="226">
        <v>0.8041666666666667</v>
      </c>
      <c r="U114" s="226">
        <v>0.85277777777777775</v>
      </c>
      <c r="V114" s="227">
        <v>8</v>
      </c>
      <c r="W114" s="433">
        <f t="shared" si="70"/>
        <v>69.999999999999915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-45.42857142856974</v>
      </c>
      <c r="AG114" s="125">
        <f t="shared" si="62"/>
        <v>0.96971428571428686</v>
      </c>
      <c r="AH114" s="611"/>
    </row>
    <row r="115" spans="1:34" s="218" customFormat="1" ht="19.2" customHeight="1">
      <c r="A115" s="635"/>
      <c r="B115" s="422" t="s">
        <v>131</v>
      </c>
      <c r="C115" s="175"/>
      <c r="D115" s="82" t="s">
        <v>176</v>
      </c>
      <c r="E115" s="83"/>
      <c r="F115" s="355">
        <v>20.420000000000002</v>
      </c>
      <c r="G115" s="229">
        <v>488</v>
      </c>
      <c r="H115" s="45">
        <f t="shared" si="75"/>
        <v>9964.9600000000009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1219.9999999999964</v>
      </c>
      <c r="O115" s="47">
        <f t="shared" si="77"/>
        <v>101.66666666666636</v>
      </c>
      <c r="P115" s="48">
        <f t="shared" si="72"/>
        <v>0</v>
      </c>
      <c r="Q115" s="49">
        <f t="shared" si="73"/>
        <v>-23.333333333333641</v>
      </c>
      <c r="R115" s="424">
        <f t="shared" si="74"/>
        <v>0.81333333333333091</v>
      </c>
      <c r="S115" s="638"/>
      <c r="T115" s="226">
        <v>0.8569444444444444</v>
      </c>
      <c r="U115" s="226">
        <v>0.87361111111111112</v>
      </c>
      <c r="V115" s="227">
        <v>6</v>
      </c>
      <c r="W115" s="433">
        <f t="shared" si="70"/>
        <v>24.000000000000075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-280.00000000000364</v>
      </c>
      <c r="AG115" s="125">
        <f t="shared" si="62"/>
        <v>0.81333333333333091</v>
      </c>
      <c r="AH115" s="611"/>
    </row>
    <row r="116" spans="1:34" s="218" customFormat="1" ht="19.2" customHeight="1">
      <c r="A116" s="635"/>
      <c r="B116" s="422" t="s">
        <v>132</v>
      </c>
      <c r="C116" s="55"/>
      <c r="D116" s="82" t="s">
        <v>142</v>
      </c>
      <c r="E116" s="83"/>
      <c r="F116" s="355">
        <v>44.98</v>
      </c>
      <c r="G116" s="229">
        <v>1198</v>
      </c>
      <c r="H116" s="45">
        <f t="shared" si="75"/>
        <v>53886.039999999994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1218.3050847457639</v>
      </c>
      <c r="O116" s="47">
        <f t="shared" si="77"/>
        <v>64.121320249777042</v>
      </c>
      <c r="P116" s="48">
        <f t="shared" si="72"/>
        <v>0</v>
      </c>
      <c r="Q116" s="49">
        <f t="shared" si="73"/>
        <v>-14.826048171275588</v>
      </c>
      <c r="R116" s="424">
        <f t="shared" si="74"/>
        <v>0.81220338983050921</v>
      </c>
      <c r="S116" s="638"/>
      <c r="T116" s="226">
        <v>0.87847222222222221</v>
      </c>
      <c r="U116" s="226">
        <v>0.9194444444444444</v>
      </c>
      <c r="V116" s="227">
        <v>7</v>
      </c>
      <c r="W116" s="433">
        <f t="shared" si="70"/>
        <v>58.99999999999995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-281.69491525423609</v>
      </c>
      <c r="AG116" s="125">
        <f t="shared" si="62"/>
        <v>0.81220338983050933</v>
      </c>
      <c r="AH116" s="611"/>
    </row>
    <row r="117" spans="1:34" s="218" customFormat="1" ht="19.2" customHeight="1">
      <c r="A117" s="635"/>
      <c r="B117" s="422" t="s">
        <v>132</v>
      </c>
      <c r="C117" s="55"/>
      <c r="D117" s="82" t="s">
        <v>75</v>
      </c>
      <c r="E117" s="83"/>
      <c r="F117" s="355">
        <v>53.68</v>
      </c>
      <c r="G117" s="229">
        <v>1020</v>
      </c>
      <c r="H117" s="45">
        <f t="shared" si="75"/>
        <v>54753.599999999999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1200.0000000000005</v>
      </c>
      <c r="O117" s="47">
        <f t="shared" si="77"/>
        <v>60.000000000000021</v>
      </c>
      <c r="P117" s="48">
        <f t="shared" si="72"/>
        <v>0</v>
      </c>
      <c r="Q117" s="49">
        <f t="shared" si="73"/>
        <v>-14.999999999999979</v>
      </c>
      <c r="R117" s="424">
        <f t="shared" si="74"/>
        <v>0.80000000000000027</v>
      </c>
      <c r="S117" s="638"/>
      <c r="T117" s="226">
        <v>0.92430555555555549</v>
      </c>
      <c r="U117" s="226">
        <v>0.95972222222222214</v>
      </c>
      <c r="V117" s="227">
        <v>7</v>
      </c>
      <c r="W117" s="433">
        <f t="shared" si="70"/>
        <v>50.999999999999979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-299.99999999999955</v>
      </c>
      <c r="AG117" s="125">
        <f t="shared" si="62"/>
        <v>0.80000000000000027</v>
      </c>
      <c r="AH117" s="611"/>
    </row>
    <row r="118" spans="1:34" s="218" customFormat="1" ht="19.2" customHeight="1">
      <c r="A118" s="635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2" customHeight="1">
      <c r="A119" s="635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2" customHeight="1">
      <c r="A120" s="635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2" customHeight="1">
      <c r="A121" s="636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15.111111111111111</v>
      </c>
      <c r="K121" s="202">
        <v>1542.7777777777778</v>
      </c>
      <c r="L121" s="203">
        <v>114.27898449828272</v>
      </c>
      <c r="M121" s="202">
        <f t="shared" ref="M121:O121" si="78">AVERAGE(M109:M120)</f>
        <v>15.555555555555555</v>
      </c>
      <c r="N121" s="202">
        <f t="shared" si="78"/>
        <v>1340.504323491682</v>
      </c>
      <c r="O121" s="203">
        <f t="shared" si="78"/>
        <v>92.219098341929126</v>
      </c>
      <c r="P121" s="48">
        <f t="shared" ref="P121:P128" si="79">M121-J121</f>
        <v>0.44444444444444464</v>
      </c>
      <c r="Q121" s="49">
        <f t="shared" ref="Q121:Q128" si="80">O121-L121</f>
        <v>-22.059886156353599</v>
      </c>
      <c r="R121" s="172">
        <f t="shared" ref="R121:R128" si="81">O121/L121</f>
        <v>0.80696462912054412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2</v>
      </c>
      <c r="AE121" s="107">
        <f>SUM(AE109:AE120)</f>
        <v>0</v>
      </c>
      <c r="AF121" s="48">
        <f>N121-K121</f>
        <v>-202.27345428609578</v>
      </c>
      <c r="AG121" s="125">
        <f>N121/K121</f>
        <v>0.86889009084804736</v>
      </c>
      <c r="AH121" s="611"/>
    </row>
    <row r="122" spans="1:34" ht="19.2" customHeight="1">
      <c r="A122" s="639" t="s">
        <v>260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1912</v>
      </c>
      <c r="H122" s="45">
        <f t="shared" ref="H122:H132" si="82">F122*G122</f>
        <v>112177.04000000001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1288.9887640449438</v>
      </c>
      <c r="O122" s="237">
        <f t="shared" ref="O122:O128" si="84">N122/M122</f>
        <v>67.841513897102303</v>
      </c>
      <c r="P122" s="108">
        <f t="shared" si="79"/>
        <v>0</v>
      </c>
      <c r="Q122" s="182">
        <f t="shared" si="80"/>
        <v>-7.9479597871082177</v>
      </c>
      <c r="R122" s="109">
        <f t="shared" si="81"/>
        <v>0.89513108614232217</v>
      </c>
      <c r="S122" s="602">
        <f>R134</f>
        <v>0.88428576682530546</v>
      </c>
      <c r="T122" s="50">
        <v>0.5</v>
      </c>
      <c r="U122" s="50">
        <v>0.56180555555555556</v>
      </c>
      <c r="V122" s="227">
        <v>5</v>
      </c>
      <c r="W122" s="433">
        <f t="shared" si="70"/>
        <v>89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-151.01123595505624</v>
      </c>
      <c r="AG122" s="424">
        <f t="shared" si="62"/>
        <v>0.89513108614232206</v>
      </c>
      <c r="AH122" s="616">
        <f>AG134</f>
        <v>0.88515146586743643</v>
      </c>
    </row>
    <row r="123" spans="1:34" ht="19.2" customHeight="1">
      <c r="A123" s="639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2447</v>
      </c>
      <c r="H123" s="45">
        <f t="shared" si="82"/>
        <v>145645.44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1265.689655172413</v>
      </c>
      <c r="O123" s="86">
        <f t="shared" si="84"/>
        <v>60.270935960591096</v>
      </c>
      <c r="P123" s="54">
        <f t="shared" si="79"/>
        <v>0</v>
      </c>
      <c r="Q123" s="88">
        <f t="shared" si="80"/>
        <v>-5.6814449917898528</v>
      </c>
      <c r="R123" s="421">
        <f t="shared" si="81"/>
        <v>0.91385534669488311</v>
      </c>
      <c r="S123" s="602"/>
      <c r="T123" s="50">
        <v>0.56597222222222221</v>
      </c>
      <c r="U123" s="50">
        <v>0.64652777777777781</v>
      </c>
      <c r="V123" s="227">
        <v>6</v>
      </c>
      <c r="W123" s="433">
        <f t="shared" si="70"/>
        <v>116.00000000000007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-119.31034482758696</v>
      </c>
      <c r="AG123" s="424">
        <f t="shared" si="62"/>
        <v>0.91385534669488311</v>
      </c>
      <c r="AH123" s="602"/>
    </row>
    <row r="124" spans="1:34" ht="19.2" customHeight="1">
      <c r="A124" s="639"/>
      <c r="B124" s="130" t="s">
        <v>128</v>
      </c>
      <c r="C124" s="175"/>
      <c r="D124" s="176" t="s">
        <v>72</v>
      </c>
      <c r="E124" s="177"/>
      <c r="F124" s="355">
        <v>53.36</v>
      </c>
      <c r="G124" s="174">
        <v>2157.6</v>
      </c>
      <c r="H124" s="45">
        <f t="shared" si="82"/>
        <v>115129.53599999999</v>
      </c>
      <c r="I124" s="238"/>
      <c r="J124" s="46">
        <v>19</v>
      </c>
      <c r="K124" s="44">
        <v>1440</v>
      </c>
      <c r="L124" s="47">
        <v>75.78947368421052</v>
      </c>
      <c r="M124" s="434">
        <v>19</v>
      </c>
      <c r="N124" s="174">
        <f t="shared" si="83"/>
        <v>1307.636363636364</v>
      </c>
      <c r="O124" s="237">
        <f t="shared" si="84"/>
        <v>68.822966507177057</v>
      </c>
      <c r="P124" s="108">
        <f t="shared" si="79"/>
        <v>0</v>
      </c>
      <c r="Q124" s="182">
        <f t="shared" si="80"/>
        <v>-6.9665071770334634</v>
      </c>
      <c r="R124" s="109">
        <f t="shared" si="81"/>
        <v>0.90808080808080849</v>
      </c>
      <c r="S124" s="640"/>
      <c r="T124" s="50">
        <v>0.65208333333333335</v>
      </c>
      <c r="U124" s="50">
        <v>0.72083333333333333</v>
      </c>
      <c r="V124" s="227">
        <v>8</v>
      </c>
      <c r="W124" s="433">
        <f t="shared" si="70"/>
        <v>98.999999999999972</v>
      </c>
      <c r="X124" s="188"/>
      <c r="Y124" s="188"/>
      <c r="Z124" s="54"/>
      <c r="AA124" s="54"/>
      <c r="AB124" s="588"/>
      <c r="AC124" s="588"/>
      <c r="AD124" s="420"/>
      <c r="AE124" s="420"/>
      <c r="AF124" s="108">
        <f t="shared" si="61"/>
        <v>-132.36363636363603</v>
      </c>
      <c r="AG124" s="109">
        <f t="shared" si="62"/>
        <v>0.90808080808080827</v>
      </c>
      <c r="AH124" s="602"/>
    </row>
    <row r="125" spans="1:34" ht="19.2" customHeight="1">
      <c r="A125" s="639"/>
      <c r="B125" s="130" t="s">
        <v>132</v>
      </c>
      <c r="C125" s="97"/>
      <c r="D125" s="42" t="s">
        <v>84</v>
      </c>
      <c r="E125" s="43"/>
      <c r="F125" s="355">
        <v>56.79</v>
      </c>
      <c r="G125" s="44">
        <v>1615</v>
      </c>
      <c r="H125" s="45">
        <f t="shared" si="82"/>
        <v>91715.85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1404.3478260869551</v>
      </c>
      <c r="O125" s="237">
        <f t="shared" si="84"/>
        <v>78.019323671497503</v>
      </c>
      <c r="P125" s="108">
        <f t="shared" si="79"/>
        <v>0</v>
      </c>
      <c r="Q125" s="182">
        <f t="shared" si="80"/>
        <v>-12.869565217391383</v>
      </c>
      <c r="R125" s="109">
        <f t="shared" si="81"/>
        <v>0.85840331667906788</v>
      </c>
      <c r="S125" s="640"/>
      <c r="T125" s="50">
        <v>0.76111111111111107</v>
      </c>
      <c r="U125" s="50">
        <v>0.80902777777777779</v>
      </c>
      <c r="V125" s="227">
        <v>5</v>
      </c>
      <c r="W125" s="433">
        <f t="shared" si="70"/>
        <v>69.000000000000071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-231.65217391304486</v>
      </c>
      <c r="AG125" s="424">
        <f t="shared" si="62"/>
        <v>0.85840331667906788</v>
      </c>
      <c r="AH125" s="603"/>
    </row>
    <row r="126" spans="1:34" ht="19.2" customHeight="1">
      <c r="A126" s="639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1254</v>
      </c>
      <c r="H126" s="45">
        <f t="shared" si="82"/>
        <v>71314.98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1368.0000000000009</v>
      </c>
      <c r="O126" s="86">
        <f t="shared" si="84"/>
        <v>76.000000000000057</v>
      </c>
      <c r="P126" s="54">
        <f t="shared" si="79"/>
        <v>0</v>
      </c>
      <c r="Q126" s="88">
        <f t="shared" si="80"/>
        <v>-14.888888888888829</v>
      </c>
      <c r="R126" s="421">
        <f t="shared" si="81"/>
        <v>0.83618581907090528</v>
      </c>
      <c r="S126" s="640"/>
      <c r="T126" s="50">
        <v>0.81388888888888888</v>
      </c>
      <c r="U126" s="50">
        <v>0.8520833333333333</v>
      </c>
      <c r="V126" s="227">
        <v>7</v>
      </c>
      <c r="W126" s="433">
        <f t="shared" si="70"/>
        <v>54.999999999999964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-267.99999999999909</v>
      </c>
      <c r="AG126" s="109">
        <f t="shared" si="62"/>
        <v>0.83618581907090517</v>
      </c>
      <c r="AH126" s="603"/>
    </row>
    <row r="127" spans="1:34" ht="19.2" customHeight="1">
      <c r="A127" s="639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1563</v>
      </c>
      <c r="H127" s="45">
        <f t="shared" si="82"/>
        <v>74398.8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1284.6575342465744</v>
      </c>
      <c r="O127" s="86">
        <f t="shared" si="84"/>
        <v>67.613554434030235</v>
      </c>
      <c r="P127" s="54">
        <f t="shared" si="79"/>
        <v>0</v>
      </c>
      <c r="Q127" s="88">
        <f t="shared" si="80"/>
        <v>-8.1759192501802858</v>
      </c>
      <c r="R127" s="421">
        <f t="shared" si="81"/>
        <v>0.89212328767123228</v>
      </c>
      <c r="S127" s="640"/>
      <c r="T127" s="50">
        <v>0.86736111111111103</v>
      </c>
      <c r="U127" s="50">
        <v>0.91805555555555551</v>
      </c>
      <c r="V127" s="422">
        <v>22</v>
      </c>
      <c r="W127" s="433">
        <f t="shared" si="70"/>
        <v>73.000000000000057</v>
      </c>
      <c r="X127" s="64">
        <v>0.8569444444444444</v>
      </c>
      <c r="Y127" s="64">
        <v>0.8666666666666667</v>
      </c>
      <c r="Z127" s="54"/>
      <c r="AA127" s="54"/>
      <c r="AB127" s="588"/>
      <c r="AC127" s="588"/>
      <c r="AD127" s="420"/>
      <c r="AE127" s="420">
        <v>1</v>
      </c>
      <c r="AF127" s="108">
        <f t="shared" si="61"/>
        <v>-155.34246575342559</v>
      </c>
      <c r="AG127" s="109">
        <f t="shared" si="62"/>
        <v>0.89212328767123228</v>
      </c>
      <c r="AH127" s="603"/>
    </row>
    <row r="128" spans="1:34" ht="19.2" customHeight="1">
      <c r="A128" s="639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1535</v>
      </c>
      <c r="H128" s="45">
        <f t="shared" si="82"/>
        <v>77778.45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1354.4117647058806</v>
      </c>
      <c r="O128" s="86">
        <f t="shared" si="84"/>
        <v>75.245098039215591</v>
      </c>
      <c r="P128" s="54">
        <f t="shared" si="79"/>
        <v>0</v>
      </c>
      <c r="Q128" s="88">
        <f t="shared" si="80"/>
        <v>-8.0882352941177373</v>
      </c>
      <c r="R128" s="421">
        <f t="shared" si="81"/>
        <v>0.90294117647058714</v>
      </c>
      <c r="S128" s="640"/>
      <c r="T128" s="50">
        <v>0.92291666666666661</v>
      </c>
      <c r="U128" s="50">
        <v>0.97013888888888888</v>
      </c>
      <c r="V128" s="422">
        <v>7</v>
      </c>
      <c r="W128" s="433">
        <f t="shared" si="70"/>
        <v>68.000000000000085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-145.58823529411939</v>
      </c>
      <c r="AG128" s="424">
        <f t="shared" si="62"/>
        <v>0.90294117647058703</v>
      </c>
      <c r="AH128" s="603"/>
    </row>
    <row r="129" spans="1:34" ht="19.2" customHeight="1">
      <c r="A129" s="639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2" customHeight="1">
      <c r="A130" s="639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2" customHeight="1">
      <c r="A131" s="639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2" customHeight="1">
      <c r="A132" s="639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2" customHeight="1">
      <c r="A133" s="639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2" customHeight="1">
      <c r="A134" s="639"/>
      <c r="B134" s="168">
        <v>0</v>
      </c>
      <c r="C134" s="100" t="s">
        <v>261</v>
      </c>
      <c r="D134" s="617" t="s">
        <v>243</v>
      </c>
      <c r="E134" s="617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1324.8188439847331</v>
      </c>
      <c r="O134" s="243">
        <f t="shared" si="85"/>
        <v>70.54477035851626</v>
      </c>
      <c r="P134" s="51">
        <f t="shared" ref="P134:P143" si="86">M134-J134</f>
        <v>0</v>
      </c>
      <c r="Q134" s="139">
        <f t="shared" ref="Q134:Q143" si="87">O134-L134</f>
        <v>-9.2312172295014108</v>
      </c>
      <c r="R134" s="244">
        <f t="shared" ref="R134:R143" si="88">O134/L134</f>
        <v>0.88428576682530546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-171.89544172955266</v>
      </c>
      <c r="AG134" s="424">
        <f t="shared" si="62"/>
        <v>0.88515146586743643</v>
      </c>
      <c r="AH134" s="603"/>
    </row>
    <row r="135" spans="1:34" ht="19.2" customHeight="1">
      <c r="A135" s="641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2434.4</v>
      </c>
      <c r="H135" s="245">
        <f t="shared" ref="H135:H146" si="89">F135*G135</f>
        <v>131676.69600000003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993.6326530612248</v>
      </c>
      <c r="O135" s="115">
        <f t="shared" ref="O135:O143" si="91">N135/M135</f>
        <v>55.201814058956934</v>
      </c>
      <c r="P135" s="54">
        <f t="shared" si="86"/>
        <v>0</v>
      </c>
      <c r="Q135" s="88">
        <f t="shared" si="87"/>
        <v>-28.131519274376394</v>
      </c>
      <c r="R135" s="421">
        <f t="shared" si="88"/>
        <v>0.66242176870748326</v>
      </c>
      <c r="S135" s="638">
        <f>R147</f>
        <v>0.89223148231815297</v>
      </c>
      <c r="T135" s="246">
        <v>0.5</v>
      </c>
      <c r="U135" s="50">
        <v>0.6020833333333333</v>
      </c>
      <c r="V135" s="142">
        <v>5</v>
      </c>
      <c r="W135" s="247">
        <f t="shared" ref="W135:W147" si="92">(U135-T135)*24*60</f>
        <v>146.99999999999994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-506.3673469387752</v>
      </c>
      <c r="AG135" s="120">
        <f t="shared" si="62"/>
        <v>0.66242176870748315</v>
      </c>
      <c r="AH135" s="611">
        <f>AG147</f>
        <v>0.89982945322917895</v>
      </c>
    </row>
    <row r="136" spans="1:34" ht="19.2" customHeight="1">
      <c r="A136" s="64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1881</v>
      </c>
      <c r="H136" s="84">
        <f t="shared" si="89"/>
        <v>108599.535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1393.3333333333328</v>
      </c>
      <c r="O136" s="86">
        <f t="shared" si="91"/>
        <v>87.0833333333333</v>
      </c>
      <c r="P136" s="54">
        <f t="shared" si="86"/>
        <v>0</v>
      </c>
      <c r="Q136" s="88">
        <f t="shared" si="87"/>
        <v>-10.7291666666667</v>
      </c>
      <c r="R136" s="421">
        <f t="shared" si="88"/>
        <v>0.89030883919062798</v>
      </c>
      <c r="S136" s="638"/>
      <c r="T136" s="246">
        <v>0.61736111111111103</v>
      </c>
      <c r="U136" s="50">
        <v>0.67361111111111105</v>
      </c>
      <c r="V136" s="142">
        <v>22</v>
      </c>
      <c r="W136" s="247">
        <f t="shared" si="92"/>
        <v>81.000000000000028</v>
      </c>
      <c r="X136" s="53">
        <v>0.6069444444444444</v>
      </c>
      <c r="Y136" s="53">
        <v>0.6166666666666667</v>
      </c>
      <c r="Z136" s="54"/>
      <c r="AA136" s="54"/>
      <c r="AB136" s="588"/>
      <c r="AC136" s="588"/>
      <c r="AD136" s="420"/>
      <c r="AE136" s="420"/>
      <c r="AF136" s="48">
        <f t="shared" si="61"/>
        <v>-171.6666666666672</v>
      </c>
      <c r="AG136" s="125">
        <f t="shared" si="62"/>
        <v>0.89030883919062798</v>
      </c>
      <c r="AH136" s="611"/>
    </row>
    <row r="137" spans="1:34" ht="19.2" customHeight="1">
      <c r="A137" s="64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1761</v>
      </c>
      <c r="H137" s="84">
        <f t="shared" si="89"/>
        <v>93808.47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1337.4683544303791</v>
      </c>
      <c r="O137" s="86">
        <f t="shared" si="91"/>
        <v>83.591772151898695</v>
      </c>
      <c r="P137" s="54">
        <f t="shared" si="86"/>
        <v>0</v>
      </c>
      <c r="Q137" s="88">
        <f t="shared" si="87"/>
        <v>-10.158227848101305</v>
      </c>
      <c r="R137" s="421">
        <f t="shared" si="88"/>
        <v>0.89164556962025276</v>
      </c>
      <c r="S137" s="638"/>
      <c r="T137" s="50">
        <v>0.67847222222222214</v>
      </c>
      <c r="U137" s="50">
        <v>0.73333333333333328</v>
      </c>
      <c r="V137" s="249">
        <v>7</v>
      </c>
      <c r="W137" s="247">
        <f t="shared" si="92"/>
        <v>79.000000000000043</v>
      </c>
      <c r="X137" s="53"/>
      <c r="Y137" s="53"/>
      <c r="Z137" s="54"/>
      <c r="AA137" s="54"/>
      <c r="AB137" s="588"/>
      <c r="AC137" s="588"/>
      <c r="AD137" s="420"/>
      <c r="AE137" s="420">
        <v>1</v>
      </c>
      <c r="AF137" s="48">
        <f t="shared" si="61"/>
        <v>-162.53164556962088</v>
      </c>
      <c r="AG137" s="125">
        <f t="shared" si="62"/>
        <v>0.89164556962025276</v>
      </c>
      <c r="AH137" s="611"/>
    </row>
    <row r="138" spans="1:34" ht="19.2" customHeight="1">
      <c r="A138" s="64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1684</v>
      </c>
      <c r="H138" s="84">
        <f t="shared" si="89"/>
        <v>85850.319999999992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1365.4054054054045</v>
      </c>
      <c r="O138" s="86">
        <f t="shared" si="91"/>
        <v>68.270270270270231</v>
      </c>
      <c r="P138" s="54">
        <f t="shared" si="86"/>
        <v>0</v>
      </c>
      <c r="Q138" s="88">
        <f t="shared" si="87"/>
        <v>-3.7297297297297689</v>
      </c>
      <c r="R138" s="426">
        <f t="shared" si="88"/>
        <v>0.94819819819819762</v>
      </c>
      <c r="S138" s="638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-74.594594594595492</v>
      </c>
      <c r="AG138" s="125">
        <f t="shared" si="62"/>
        <v>0.94819819819819762</v>
      </c>
      <c r="AH138" s="611"/>
    </row>
    <row r="139" spans="1:34" ht="19.2" customHeight="1">
      <c r="A139" s="64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1109</v>
      </c>
      <c r="H139" s="84">
        <f t="shared" si="89"/>
        <v>56193.03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1415.744680851064</v>
      </c>
      <c r="O139" s="86">
        <f t="shared" si="91"/>
        <v>83.279098873592005</v>
      </c>
      <c r="P139" s="54">
        <f t="shared" si="86"/>
        <v>0</v>
      </c>
      <c r="Q139" s="88">
        <f t="shared" si="87"/>
        <v>-4.9561952440550527</v>
      </c>
      <c r="R139" s="421">
        <f t="shared" si="88"/>
        <v>0.94382978723404276</v>
      </c>
      <c r="S139" s="638"/>
      <c r="T139" s="50">
        <v>0.76458333333333339</v>
      </c>
      <c r="U139" s="50">
        <v>0.79722222222222228</v>
      </c>
      <c r="V139" s="250">
        <v>7</v>
      </c>
      <c r="W139" s="247">
        <f t="shared" si="92"/>
        <v>46.999999999999993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-84.255319148935996</v>
      </c>
      <c r="AG139" s="125">
        <f t="shared" si="62"/>
        <v>0.94382978723404265</v>
      </c>
      <c r="AH139" s="611"/>
    </row>
    <row r="140" spans="1:34" ht="19.2" customHeight="1">
      <c r="A140" s="64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1929</v>
      </c>
      <c r="H140" s="84">
        <f t="shared" si="89"/>
        <v>98224.680000000008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1361.6470588235293</v>
      </c>
      <c r="O140" s="86">
        <f t="shared" si="91"/>
        <v>71.6656346749226</v>
      </c>
      <c r="P140" s="54">
        <f t="shared" si="86"/>
        <v>0</v>
      </c>
      <c r="Q140" s="88">
        <f t="shared" si="87"/>
        <v>-4.12383900928792</v>
      </c>
      <c r="R140" s="421">
        <f t="shared" si="88"/>
        <v>0.94558823529411773</v>
      </c>
      <c r="S140" s="645"/>
      <c r="T140" s="63">
        <v>0.8125</v>
      </c>
      <c r="U140" s="252">
        <v>0.87152777777777779</v>
      </c>
      <c r="V140" s="253">
        <v>22</v>
      </c>
      <c r="W140" s="247">
        <f t="shared" si="92"/>
        <v>85.000000000000014</v>
      </c>
      <c r="X140" s="53">
        <v>0.80138888888888893</v>
      </c>
      <c r="Y140" s="53">
        <v>0.81111111111111101</v>
      </c>
      <c r="Z140" s="54"/>
      <c r="AA140" s="54"/>
      <c r="AB140" s="588"/>
      <c r="AC140" s="588"/>
      <c r="AD140" s="420"/>
      <c r="AE140" s="420"/>
      <c r="AF140" s="48">
        <f t="shared" si="61"/>
        <v>-78.352941176470722</v>
      </c>
      <c r="AG140" s="125">
        <f t="shared" si="62"/>
        <v>0.94558823529411751</v>
      </c>
      <c r="AH140" s="611"/>
    </row>
    <row r="141" spans="1:34" ht="19.2" customHeight="1">
      <c r="A141" s="64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1043</v>
      </c>
      <c r="H141" s="84">
        <f t="shared" si="89"/>
        <v>55132.979999999996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1360.4347826086957</v>
      </c>
      <c r="O141" s="86">
        <f t="shared" si="91"/>
        <v>75.579710144927546</v>
      </c>
      <c r="P141" s="54">
        <f t="shared" si="86"/>
        <v>0</v>
      </c>
      <c r="Q141" s="88">
        <f t="shared" si="87"/>
        <v>-4.4202898550724541</v>
      </c>
      <c r="R141" s="421">
        <f t="shared" si="88"/>
        <v>0.94474637681159435</v>
      </c>
      <c r="S141" s="645"/>
      <c r="T141" s="63">
        <v>0.87638888888888888</v>
      </c>
      <c r="U141" s="252">
        <v>0.90833333333333333</v>
      </c>
      <c r="V141" s="55">
        <v>7</v>
      </c>
      <c r="W141" s="247">
        <f t="shared" si="92"/>
        <v>46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-79.565217391304259</v>
      </c>
      <c r="AG141" s="125">
        <f t="shared" si="62"/>
        <v>0.94474637681159424</v>
      </c>
      <c r="AH141" s="611"/>
    </row>
    <row r="142" spans="1:34" ht="19.2" customHeight="1">
      <c r="A142" s="64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951</v>
      </c>
      <c r="H142" s="84">
        <f t="shared" si="89"/>
        <v>48187.17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1358.5714285714282</v>
      </c>
      <c r="O142" s="86">
        <f t="shared" si="91"/>
        <v>79.915966386554601</v>
      </c>
      <c r="P142" s="54">
        <f t="shared" si="86"/>
        <v>0</v>
      </c>
      <c r="Q142" s="88">
        <f t="shared" si="87"/>
        <v>-4.7899159663865731</v>
      </c>
      <c r="R142" s="421">
        <f t="shared" si="88"/>
        <v>0.94345238095238071</v>
      </c>
      <c r="S142" s="645"/>
      <c r="T142" s="63">
        <v>0.91319444444444442</v>
      </c>
      <c r="U142" s="252">
        <v>0.94236111111111109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-81.428571428571786</v>
      </c>
      <c r="AG142" s="125">
        <f t="shared" si="62"/>
        <v>0.94345238095238071</v>
      </c>
      <c r="AH142" s="611"/>
    </row>
    <row r="143" spans="1:34" ht="19.2" customHeight="1">
      <c r="A143" s="64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1215</v>
      </c>
      <c r="H143" s="84">
        <f t="shared" si="89"/>
        <v>61345.350000000006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1350.0000000000007</v>
      </c>
      <c r="O143" s="86">
        <f t="shared" si="91"/>
        <v>90.000000000000043</v>
      </c>
      <c r="P143" s="54">
        <f t="shared" si="86"/>
        <v>1</v>
      </c>
      <c r="Q143" s="88">
        <f t="shared" si="87"/>
        <v>-12.857142857142819</v>
      </c>
      <c r="R143" s="421">
        <f t="shared" si="88"/>
        <v>0.87500000000000033</v>
      </c>
      <c r="S143" s="645"/>
      <c r="T143" s="63">
        <v>0.94652777777777775</v>
      </c>
      <c r="U143" s="252">
        <v>0.98402777777777772</v>
      </c>
      <c r="V143" s="55">
        <v>6</v>
      </c>
      <c r="W143" s="247">
        <f t="shared" si="92"/>
        <v>53.999999999999972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-89.999999999999318</v>
      </c>
      <c r="AG143" s="125">
        <f t="shared" si="62"/>
        <v>0.93750000000000044</v>
      </c>
      <c r="AH143" s="611"/>
    </row>
    <row r="144" spans="1:34" ht="19.2" customHeight="1">
      <c r="A144" s="64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2" customHeight="1">
      <c r="A145" s="64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2" customHeight="1">
      <c r="A146" s="64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2" customHeight="1">
      <c r="A147" s="644"/>
      <c r="B147" s="257">
        <v>0</v>
      </c>
      <c r="C147" s="100" t="s">
        <v>263</v>
      </c>
      <c r="D147" s="617" t="s">
        <v>243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1326.2486330094509</v>
      </c>
      <c r="O147" s="243">
        <f t="shared" si="93"/>
        <v>77.176399988272877</v>
      </c>
      <c r="P147" s="51">
        <f t="shared" ref="P147:P152" si="94">M147-J147</f>
        <v>0.11111111111111072</v>
      </c>
      <c r="Q147" s="139">
        <f t="shared" ref="Q147:Q152" si="95">O147-L147</f>
        <v>-9.3217807167576865</v>
      </c>
      <c r="R147" s="258">
        <f t="shared" ref="R147:R152" si="96">O147/L147</f>
        <v>0.89223148231815297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4">
        <f t="shared" si="61"/>
        <v>-147.64025587943797</v>
      </c>
      <c r="AG147" s="259">
        <f t="shared" si="62"/>
        <v>0.89982945322917895</v>
      </c>
      <c r="AH147" s="611"/>
    </row>
    <row r="148" spans="1:34" ht="19.2" customHeight="1">
      <c r="A148" s="648" t="s">
        <v>264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753.19999999999993</v>
      </c>
      <c r="H148" s="84">
        <f t="shared" ref="H148:H172" si="97">F148*G148</f>
        <v>22189.271999999997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1102.2439024390239</v>
      </c>
      <c r="O148" s="47">
        <f t="shared" ref="O148:O152" si="99">N148/M148</f>
        <v>68.890243902438996</v>
      </c>
      <c r="P148" s="48">
        <f t="shared" si="94"/>
        <v>0</v>
      </c>
      <c r="Q148" s="49">
        <f t="shared" si="95"/>
        <v>-21.109756097561004</v>
      </c>
      <c r="R148" s="424">
        <f t="shared" si="96"/>
        <v>0.76544715447154443</v>
      </c>
      <c r="S148" s="649">
        <f>R160</f>
        <v>0.89621979044234634</v>
      </c>
      <c r="T148" s="246">
        <v>0.66666666666666663</v>
      </c>
      <c r="U148" s="50">
        <v>0.69513888888888886</v>
      </c>
      <c r="V148" s="422">
        <v>5</v>
      </c>
      <c r="W148" s="433">
        <f>(U148-T148)*24*60</f>
        <v>41.000000000000014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-337.75609756097606</v>
      </c>
      <c r="AG148" s="125">
        <f t="shared" si="62"/>
        <v>0.76544715447154443</v>
      </c>
      <c r="AH148" s="611">
        <f>AG160</f>
        <v>0.8822208809729738</v>
      </c>
    </row>
    <row r="149" spans="1:34" ht="19.2" customHeight="1">
      <c r="A149" s="648"/>
      <c r="B149" s="420" t="s">
        <v>129</v>
      </c>
      <c r="C149" s="221"/>
      <c r="D149" s="251" t="s">
        <v>179</v>
      </c>
      <c r="E149" s="60"/>
      <c r="F149" s="362">
        <v>49.91</v>
      </c>
      <c r="G149" s="57">
        <v>1709.05</v>
      </c>
      <c r="H149" s="84">
        <f t="shared" si="97"/>
        <v>85298.685499999992</v>
      </c>
      <c r="I149" s="260">
        <v>1</v>
      </c>
      <c r="J149" s="87">
        <v>15</v>
      </c>
      <c r="K149" s="57">
        <v>1500</v>
      </c>
      <c r="L149" s="86">
        <v>100</v>
      </c>
      <c r="M149" s="228">
        <v>15</v>
      </c>
      <c r="N149" s="44">
        <f t="shared" si="98"/>
        <v>1367.2399999999989</v>
      </c>
      <c r="O149" s="47">
        <f t="shared" si="99"/>
        <v>91.14933333333326</v>
      </c>
      <c r="P149" s="48">
        <f t="shared" si="94"/>
        <v>0</v>
      </c>
      <c r="Q149" s="49">
        <f t="shared" si="95"/>
        <v>-8.85066666666674</v>
      </c>
      <c r="R149" s="424">
        <f t="shared" si="96"/>
        <v>0.9114933333333326</v>
      </c>
      <c r="S149" s="650"/>
      <c r="T149" s="246">
        <v>0.7</v>
      </c>
      <c r="U149" s="50">
        <v>0.75208333333333333</v>
      </c>
      <c r="V149" s="422">
        <v>7</v>
      </c>
      <c r="W149" s="433">
        <f t="shared" ref="W149:W159" si="100">(U149-T149)*24*60</f>
        <v>75.000000000000057</v>
      </c>
      <c r="X149" s="53"/>
      <c r="Y149" s="53"/>
      <c r="Z149" s="54"/>
      <c r="AA149" s="54"/>
      <c r="AB149" s="588"/>
      <c r="AC149" s="588"/>
      <c r="AD149" s="420">
        <v>1</v>
      </c>
      <c r="AE149" s="420"/>
      <c r="AF149" s="48">
        <f t="shared" si="61"/>
        <v>-132.76000000000113</v>
      </c>
      <c r="AG149" s="125">
        <f t="shared" si="62"/>
        <v>0.9114933333333326</v>
      </c>
      <c r="AH149" s="652"/>
    </row>
    <row r="150" spans="1:34" ht="19.2" customHeight="1">
      <c r="A150" s="648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2158</v>
      </c>
      <c r="H150" s="84">
        <f t="shared" si="97"/>
        <v>110187.48000000001</v>
      </c>
      <c r="I150" s="260"/>
      <c r="J150" s="87">
        <v>16</v>
      </c>
      <c r="K150" s="57">
        <v>1440</v>
      </c>
      <c r="L150" s="86">
        <v>90</v>
      </c>
      <c r="M150" s="228">
        <v>14</v>
      </c>
      <c r="N150" s="44">
        <f t="shared" si="98"/>
        <v>1245.0000000000007</v>
      </c>
      <c r="O150" s="47">
        <f t="shared" si="99"/>
        <v>88.928571428571473</v>
      </c>
      <c r="P150" s="48">
        <f t="shared" si="94"/>
        <v>-2</v>
      </c>
      <c r="Q150" s="49">
        <f t="shared" si="95"/>
        <v>-1.0714285714285268</v>
      </c>
      <c r="R150" s="424">
        <f t="shared" si="96"/>
        <v>0.98809523809523858</v>
      </c>
      <c r="S150" s="650"/>
      <c r="T150" s="246">
        <v>0.76805555555555549</v>
      </c>
      <c r="U150" s="50">
        <v>0.84027777777777768</v>
      </c>
      <c r="V150" s="422">
        <v>23</v>
      </c>
      <c r="W150" s="433">
        <f t="shared" si="100"/>
        <v>103.99999999999994</v>
      </c>
      <c r="X150" s="216">
        <v>0.75694444444444453</v>
      </c>
      <c r="Y150" s="216">
        <v>0.76736111111111116</v>
      </c>
      <c r="Z150" s="217"/>
      <c r="AA150" s="217"/>
      <c r="AB150" s="588"/>
      <c r="AC150" s="588"/>
      <c r="AD150" s="420"/>
      <c r="AE150" s="420"/>
      <c r="AF150" s="48">
        <f t="shared" si="61"/>
        <v>-194.99999999999932</v>
      </c>
      <c r="AG150" s="125">
        <f t="shared" si="62"/>
        <v>0.86458333333333381</v>
      </c>
      <c r="AH150" s="652"/>
    </row>
    <row r="151" spans="1:34" s="218" customFormat="1" ht="19.2" customHeight="1">
      <c r="A151" s="648"/>
      <c r="B151" s="420" t="s">
        <v>132</v>
      </c>
      <c r="C151" s="221"/>
      <c r="D151" s="59" t="s">
        <v>208</v>
      </c>
      <c r="E151" s="60"/>
      <c r="F151" s="362">
        <v>56.43</v>
      </c>
      <c r="G151" s="57">
        <v>1476</v>
      </c>
      <c r="H151" s="84">
        <f t="shared" si="97"/>
        <v>83290.679999999993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1321.7910447761178</v>
      </c>
      <c r="O151" s="47">
        <f t="shared" si="99"/>
        <v>77.752414398595164</v>
      </c>
      <c r="P151" s="48">
        <f t="shared" si="94"/>
        <v>1</v>
      </c>
      <c r="Q151" s="49">
        <f t="shared" si="95"/>
        <v>-12.247585601404836</v>
      </c>
      <c r="R151" s="424">
        <f t="shared" si="96"/>
        <v>0.86391571553994628</v>
      </c>
      <c r="S151" s="650"/>
      <c r="T151" s="246">
        <v>0.84513888888888877</v>
      </c>
      <c r="U151" s="50">
        <v>0.89166666666666661</v>
      </c>
      <c r="V151" s="422">
        <v>7</v>
      </c>
      <c r="W151" s="433">
        <f t="shared" si="100"/>
        <v>67.000000000000085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-118.20895522388219</v>
      </c>
      <c r="AG151" s="125">
        <f t="shared" si="62"/>
        <v>0.9179104477611929</v>
      </c>
      <c r="AH151" s="652"/>
    </row>
    <row r="152" spans="1:34" s="218" customFormat="1" ht="19.2" customHeight="1">
      <c r="A152" s="648"/>
      <c r="B152" s="420" t="s">
        <v>132</v>
      </c>
      <c r="C152" s="221"/>
      <c r="D152" s="59" t="s">
        <v>199</v>
      </c>
      <c r="E152" s="60"/>
      <c r="F152" s="362">
        <v>58.17</v>
      </c>
      <c r="G152" s="57">
        <v>1688</v>
      </c>
      <c r="H152" s="84">
        <f t="shared" si="97"/>
        <v>98190.96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1368.6486486486476</v>
      </c>
      <c r="O152" s="47">
        <f t="shared" si="99"/>
        <v>85.540540540540476</v>
      </c>
      <c r="P152" s="48">
        <f t="shared" si="94"/>
        <v>0</v>
      </c>
      <c r="Q152" s="49">
        <f t="shared" si="95"/>
        <v>-4.4594594594595236</v>
      </c>
      <c r="R152" s="424">
        <f t="shared" si="96"/>
        <v>0.95045045045044974</v>
      </c>
      <c r="S152" s="650"/>
      <c r="T152" s="261">
        <v>0.89722222222222214</v>
      </c>
      <c r="U152" s="63">
        <v>0.94861111111111107</v>
      </c>
      <c r="V152" s="435">
        <v>8</v>
      </c>
      <c r="W152" s="433">
        <f t="shared" si="100"/>
        <v>74.000000000000057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-71.351351351352378</v>
      </c>
      <c r="AG152" s="125">
        <f t="shared" si="62"/>
        <v>0.95045045045044974</v>
      </c>
      <c r="AH152" s="652"/>
    </row>
    <row r="153" spans="1:34" s="218" customFormat="1" ht="19.2" customHeight="1">
      <c r="A153" s="648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2" customHeight="1">
      <c r="A154" s="648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2" customHeight="1">
      <c r="A155" s="648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2" customHeight="1">
      <c r="A156" s="648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2" customHeight="1">
      <c r="A157" s="648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2" customHeight="1">
      <c r="A158" s="648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2" customHeight="1">
      <c r="A159" s="648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2" customHeight="1">
      <c r="A160" s="648"/>
      <c r="B160" s="267">
        <v>0</v>
      </c>
      <c r="C160" s="268" t="s">
        <v>741</v>
      </c>
      <c r="D160" s="647" t="s">
        <v>742</v>
      </c>
      <c r="E160" s="608"/>
      <c r="F160" s="356"/>
      <c r="G160" s="202"/>
      <c r="H160" s="201"/>
      <c r="I160" s="72"/>
      <c r="J160" s="269">
        <v>15.8</v>
      </c>
      <c r="K160" s="269">
        <v>1452</v>
      </c>
      <c r="L160" s="270">
        <v>92</v>
      </c>
      <c r="M160" s="269">
        <f t="shared" ref="M160:O160" si="101">AVERAGE(M148:M159)</f>
        <v>15.6</v>
      </c>
      <c r="N160" s="269">
        <f t="shared" si="101"/>
        <v>1280.9847191727579</v>
      </c>
      <c r="O160" s="270">
        <f t="shared" si="101"/>
        <v>82.452220720695863</v>
      </c>
      <c r="P160" s="65">
        <f t="shared" ref="P160:P163" si="102">M160-J160</f>
        <v>-0.20000000000000107</v>
      </c>
      <c r="Q160" s="74">
        <f t="shared" ref="Q160:Q163" si="103">O160-L160</f>
        <v>-9.5477792793041374</v>
      </c>
      <c r="R160" s="271">
        <f>O160/L160</f>
        <v>0.89621979044234634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-171.01528082724212</v>
      </c>
      <c r="AG160" s="129">
        <f t="shared" si="62"/>
        <v>0.8822208809729738</v>
      </c>
      <c r="AH160" s="652"/>
    </row>
    <row r="161" spans="1:36" ht="19.2" customHeight="1">
      <c r="A161" s="610" t="s">
        <v>743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3892</v>
      </c>
      <c r="H161" s="84">
        <f t="shared" ref="H161:H170" si="104">F161*G161</f>
        <v>133223.15999999997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2182.4299065420564</v>
      </c>
      <c r="O161" s="86">
        <f t="shared" ref="O161:O166" si="106">N161/M161</f>
        <v>167.8792235801582</v>
      </c>
      <c r="P161" s="54">
        <f t="shared" si="102"/>
        <v>0</v>
      </c>
      <c r="Q161" s="88">
        <f t="shared" si="103"/>
        <v>-5.1976994967648693</v>
      </c>
      <c r="R161" s="421">
        <f t="shared" ref="R161:R163" si="107">O161/L161</f>
        <v>0.96996884735202515</v>
      </c>
      <c r="S161" s="611">
        <f>R173</f>
        <v>0.94360524149824498</v>
      </c>
      <c r="T161" s="89">
        <v>0.16666666666666666</v>
      </c>
      <c r="U161" s="89">
        <v>0.2409722222222222</v>
      </c>
      <c r="V161" s="420">
        <v>5</v>
      </c>
      <c r="W161" s="90">
        <f t="shared" ref="W161:W172" si="108">(U161-T161)*24*60</f>
        <v>106.99999999999999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-67.570093457943585</v>
      </c>
      <c r="AG161" s="421">
        <f t="shared" si="62"/>
        <v>0.96996884735202504</v>
      </c>
      <c r="AH161" s="611">
        <f>AG173</f>
        <v>0.94645567767712557</v>
      </c>
    </row>
    <row r="162" spans="1:36" ht="19.2" customHeight="1">
      <c r="A162" s="610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3961</v>
      </c>
      <c r="H162" s="84">
        <f t="shared" si="104"/>
        <v>135585.03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2180.3669724770648</v>
      </c>
      <c r="O162" s="86">
        <f t="shared" si="106"/>
        <v>167.72053634438959</v>
      </c>
      <c r="P162" s="54">
        <f t="shared" si="102"/>
        <v>0</v>
      </c>
      <c r="Q162" s="88">
        <f t="shared" si="103"/>
        <v>-5.3563867325334797</v>
      </c>
      <c r="R162" s="421">
        <f t="shared" si="107"/>
        <v>0.96905198776758439</v>
      </c>
      <c r="S162" s="611"/>
      <c r="T162" s="89">
        <v>0.24583333333333332</v>
      </c>
      <c r="U162" s="89">
        <v>0.32152777777777775</v>
      </c>
      <c r="V162" s="420">
        <v>7</v>
      </c>
      <c r="W162" s="90">
        <f t="shared" si="108"/>
        <v>108.99999999999997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-69.633027522935208</v>
      </c>
      <c r="AG162" s="421">
        <f t="shared" si="62"/>
        <v>0.96905198776758439</v>
      </c>
      <c r="AH162" s="611"/>
    </row>
    <row r="163" spans="1:36" ht="19.2" customHeight="1">
      <c r="A163" s="610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4074.7</v>
      </c>
      <c r="H163" s="84">
        <f t="shared" si="104"/>
        <v>145996.50099999999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2182.875</v>
      </c>
      <c r="O163" s="86">
        <f t="shared" si="106"/>
        <v>198.44318181818181</v>
      </c>
      <c r="P163" s="54">
        <f t="shared" si="102"/>
        <v>0</v>
      </c>
      <c r="Q163" s="88">
        <f t="shared" si="103"/>
        <v>-6.1022727272727195</v>
      </c>
      <c r="R163" s="421">
        <f t="shared" si="107"/>
        <v>0.97016666666666673</v>
      </c>
      <c r="S163" s="611"/>
      <c r="T163" s="89">
        <v>0.33749999999999997</v>
      </c>
      <c r="U163" s="89">
        <v>0.41527777777777775</v>
      </c>
      <c r="V163" s="420">
        <v>23</v>
      </c>
      <c r="W163" s="90">
        <f t="shared" si="108"/>
        <v>112</v>
      </c>
      <c r="X163" s="96">
        <v>0.3263888888888889</v>
      </c>
      <c r="Y163" s="96">
        <v>0.33680555555555558</v>
      </c>
      <c r="Z163" s="54"/>
      <c r="AA163" s="54"/>
      <c r="AB163" s="588"/>
      <c r="AC163" s="588"/>
      <c r="AD163" s="420"/>
      <c r="AE163" s="420"/>
      <c r="AF163" s="54">
        <f t="shared" si="61"/>
        <v>-67.125</v>
      </c>
      <c r="AG163" s="421">
        <f t="shared" si="62"/>
        <v>0.97016666666666662</v>
      </c>
      <c r="AH163" s="611"/>
    </row>
    <row r="164" spans="1:36" ht="19.2" customHeight="1">
      <c r="A164" s="610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8419</v>
      </c>
      <c r="H164" s="84">
        <f t="shared" si="104"/>
        <v>306535.78999999998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2405.4285714285706</v>
      </c>
      <c r="O164" s="86">
        <f t="shared" si="106"/>
        <v>240.54285714285706</v>
      </c>
      <c r="P164" s="54">
        <f>M164-J164</f>
        <v>0</v>
      </c>
      <c r="Q164" s="88">
        <f>O164-L164</f>
        <v>-36.357142857142918</v>
      </c>
      <c r="R164" s="421">
        <f>O164/L164</f>
        <v>0.86869937574162903</v>
      </c>
      <c r="S164" s="611"/>
      <c r="T164" s="89">
        <v>0.45555555555555549</v>
      </c>
      <c r="U164" s="89">
        <v>0.60138888888888886</v>
      </c>
      <c r="V164" s="420">
        <v>5</v>
      </c>
      <c r="W164" s="90">
        <f t="shared" si="108"/>
        <v>210.00000000000006</v>
      </c>
      <c r="X164" s="96"/>
      <c r="Y164" s="96"/>
      <c r="Z164" s="54"/>
      <c r="AA164" s="54"/>
      <c r="AB164" s="588"/>
      <c r="AC164" s="588"/>
      <c r="AD164" s="420">
        <v>1</v>
      </c>
      <c r="AE164" s="420"/>
      <c r="AF164" s="54">
        <f>N164-K164</f>
        <v>-363.57142857142935</v>
      </c>
      <c r="AG164" s="421">
        <f>N164/K164</f>
        <v>0.86869937574162903</v>
      </c>
      <c r="AH164" s="611"/>
    </row>
    <row r="165" spans="1:36" ht="19.2" customHeight="1">
      <c r="A165" s="610"/>
      <c r="B165" s="121" t="s">
        <v>131</v>
      </c>
      <c r="C165" s="81"/>
      <c r="D165" s="82" t="s">
        <v>95</v>
      </c>
      <c r="E165" s="83"/>
      <c r="F165" s="358">
        <v>35.83</v>
      </c>
      <c r="G165" s="57">
        <v>1746.3</v>
      </c>
      <c r="H165" s="84">
        <f t="shared" si="104"/>
        <v>62569.928999999996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2182.8750000000005</v>
      </c>
      <c r="O165" s="86">
        <f t="shared" si="106"/>
        <v>198.44318181818187</v>
      </c>
      <c r="P165" s="54">
        <f>M165-J165</f>
        <v>0</v>
      </c>
      <c r="Q165" s="88">
        <f>O165-L165</f>
        <v>-6.1022727272726627</v>
      </c>
      <c r="R165" s="421">
        <f>O165/L165</f>
        <v>0.97016666666666695</v>
      </c>
      <c r="S165" s="611"/>
      <c r="T165" s="89">
        <v>0.61736111111111103</v>
      </c>
      <c r="U165" s="89">
        <v>0.65069444444444435</v>
      </c>
      <c r="V165" s="420">
        <v>23</v>
      </c>
      <c r="W165" s="90">
        <f t="shared" si="108"/>
        <v>47.999999999999986</v>
      </c>
      <c r="X165" s="96">
        <v>0.60555555555555551</v>
      </c>
      <c r="Y165" s="96">
        <v>0.6166666666666667</v>
      </c>
      <c r="Z165" s="54"/>
      <c r="AA165" s="54"/>
      <c r="AB165" s="588"/>
      <c r="AC165" s="588"/>
      <c r="AD165" s="420"/>
      <c r="AE165" s="420"/>
      <c r="AF165" s="54">
        <f>N165-K165</f>
        <v>-67.124999999999545</v>
      </c>
      <c r="AG165" s="421">
        <f>N165/K165</f>
        <v>0.97016666666666684</v>
      </c>
      <c r="AH165" s="611"/>
    </row>
    <row r="166" spans="1:36" ht="19.2" customHeight="1">
      <c r="A166" s="610"/>
      <c r="B166" s="121" t="s">
        <v>131</v>
      </c>
      <c r="C166" s="121"/>
      <c r="D166" s="82" t="s">
        <v>63</v>
      </c>
      <c r="E166" s="83"/>
      <c r="F166" s="361">
        <v>35.33</v>
      </c>
      <c r="G166" s="57">
        <v>736.8</v>
      </c>
      <c r="H166" s="84">
        <f t="shared" si="104"/>
        <v>26031.143999999997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2009.4545454545523</v>
      </c>
      <c r="O166" s="86">
        <f t="shared" si="106"/>
        <v>167.45454545454604</v>
      </c>
      <c r="P166" s="54">
        <f>M166-J166</f>
        <v>0</v>
      </c>
      <c r="Q166" s="88">
        <f>O166-L166</f>
        <v>-9.0454545454539641</v>
      </c>
      <c r="R166" s="421">
        <f>O166/L166</f>
        <v>0.94875096574813622</v>
      </c>
      <c r="S166" s="611"/>
      <c r="T166" s="89">
        <v>0.65555555555555545</v>
      </c>
      <c r="U166" s="89">
        <v>0.67083333333333317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-108.54545454544768</v>
      </c>
      <c r="AG166" s="421">
        <f>N166/K166</f>
        <v>0.94875096574813611</v>
      </c>
      <c r="AH166" s="611"/>
    </row>
    <row r="167" spans="1:36" ht="19.2" customHeight="1">
      <c r="A167" s="610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2" customHeight="1">
      <c r="A168" s="610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2" customHeight="1">
      <c r="A169" s="610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2" customHeight="1">
      <c r="A170" s="610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2" customHeight="1">
      <c r="A171" s="610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2" customHeight="1">
      <c r="A172" s="610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2" customHeight="1">
      <c r="A173" s="610"/>
      <c r="B173" s="121">
        <v>0</v>
      </c>
      <c r="C173" s="100" t="s">
        <v>744</v>
      </c>
      <c r="D173" s="617" t="s">
        <v>745</v>
      </c>
      <c r="E173" s="617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2190.5716659837071</v>
      </c>
      <c r="O173" s="104">
        <f t="shared" si="109"/>
        <v>190.08058769305242</v>
      </c>
      <c r="P173" s="54">
        <f>M173-J173</f>
        <v>0</v>
      </c>
      <c r="Q173" s="88">
        <f>O173-L173</f>
        <v>-11.360204847740135</v>
      </c>
      <c r="R173" s="105">
        <f>O173/L173</f>
        <v>0.94360524149824498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-123.92833401629287</v>
      </c>
      <c r="AG173" s="421">
        <f t="shared" si="62"/>
        <v>0.94645567767712557</v>
      </c>
      <c r="AH173" s="611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746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747</v>
      </c>
    </row>
    <row r="186" spans="23:36">
      <c r="W186" s="33"/>
      <c r="AJ186" s="275" t="s">
        <v>748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57:Q70 Q109:Q118">
    <cfRule type="cellIs" dxfId="3280" priority="3106" operator="lessThan">
      <formula>0</formula>
    </cfRule>
  </conditionalFormatting>
  <conditionalFormatting sqref="AH57 AH70 S43 S123 S95 AH95 S5:S9 AH5:AH9 S134 AH17:AH18 S17:S18 S32 S82 AH82 S57:S70">
    <cfRule type="cellIs" dxfId="3279" priority="3105" operator="lessThan">
      <formula>0.8</formula>
    </cfRule>
  </conditionalFormatting>
  <conditionalFormatting sqref="R147 R173 R30 R121 R95 R43 R134 R82 R157:R159 R17:R18 R57:R70 R109:R118">
    <cfRule type="cellIs" dxfId="3278" priority="3103" operator="lessThan">
      <formula>0.8</formula>
    </cfRule>
    <cfRule type="cellIs" dxfId="3277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57:R70 R109:R118">
    <cfRule type="cellIs" dxfId="3276" priority="3101" operator="greaterThan">
      <formula>1</formula>
    </cfRule>
    <cfRule type="cellIs" dxfId="3275" priority="3102" operator="lessThan">
      <formula>0.8</formula>
    </cfRule>
  </conditionalFormatting>
  <conditionalFormatting sqref="P147 P30 P121 P95 P43 P134 P82 P157:P159 P17:P28 P57:P70 P109:P118">
    <cfRule type="cellIs" dxfId="3274" priority="3100" operator="greaterThan">
      <formula>0</formula>
    </cfRule>
  </conditionalFormatting>
  <conditionalFormatting sqref="S161">
    <cfRule type="cellIs" dxfId="3273" priority="3099" operator="lessThan">
      <formula>0.8</formula>
    </cfRule>
  </conditionalFormatting>
  <conditionalFormatting sqref="Q161:Q167">
    <cfRule type="cellIs" dxfId="3272" priority="3098" operator="lessThan">
      <formula>0</formula>
    </cfRule>
  </conditionalFormatting>
  <conditionalFormatting sqref="R161:R167">
    <cfRule type="cellIs" dxfId="3271" priority="3096" operator="lessThan">
      <formula>0.8</formula>
    </cfRule>
    <cfRule type="cellIs" dxfId="3270" priority="3097" operator="greaterThan">
      <formula>1</formula>
    </cfRule>
  </conditionalFormatting>
  <conditionalFormatting sqref="R161:R167">
    <cfRule type="cellIs" dxfId="3269" priority="3094" operator="greaterThan">
      <formula>1</formula>
    </cfRule>
    <cfRule type="cellIs" dxfId="3268" priority="3095" operator="lessThan">
      <formula>0.8</formula>
    </cfRule>
  </conditionalFormatting>
  <conditionalFormatting sqref="P161:P167">
    <cfRule type="cellIs" dxfId="3267" priority="3093" operator="greaterThan">
      <formula>0</formula>
    </cfRule>
  </conditionalFormatting>
  <conditionalFormatting sqref="Q169:Q172 AF161:AF172">
    <cfRule type="cellIs" dxfId="3266" priority="3092" operator="lessThan">
      <formula>0</formula>
    </cfRule>
  </conditionalFormatting>
  <conditionalFormatting sqref="R169:R172">
    <cfRule type="cellIs" dxfId="3265" priority="3090" operator="lessThan">
      <formula>0.8</formula>
    </cfRule>
    <cfRule type="cellIs" dxfId="3264" priority="3091" operator="greaterThan">
      <formula>1</formula>
    </cfRule>
  </conditionalFormatting>
  <conditionalFormatting sqref="R169:R172 AG161:AG172">
    <cfRule type="cellIs" dxfId="3263" priority="3088" operator="greaterThan">
      <formula>1</formula>
    </cfRule>
    <cfRule type="cellIs" dxfId="3262" priority="3089" operator="lessThan">
      <formula>0.8</formula>
    </cfRule>
  </conditionalFormatting>
  <conditionalFormatting sqref="P169:P172">
    <cfRule type="cellIs" dxfId="3261" priority="3087" operator="greaterThan">
      <formula>0</formula>
    </cfRule>
  </conditionalFormatting>
  <conditionalFormatting sqref="AF145">
    <cfRule type="cellIs" dxfId="3260" priority="3086" operator="lessThan">
      <formula>0</formula>
    </cfRule>
  </conditionalFormatting>
  <conditionalFormatting sqref="AG145">
    <cfRule type="cellIs" dxfId="3259" priority="3084" operator="greaterThan">
      <formula>1</formula>
    </cfRule>
    <cfRule type="cellIs" dxfId="3258" priority="3085" operator="lessThan">
      <formula>0.8</formula>
    </cfRule>
  </conditionalFormatting>
  <conditionalFormatting sqref="AF44:AF54">
    <cfRule type="cellIs" dxfId="3257" priority="3083" operator="lessThan">
      <formula>0</formula>
    </cfRule>
  </conditionalFormatting>
  <conditionalFormatting sqref="AG44:AG54">
    <cfRule type="cellIs" dxfId="3256" priority="3081" operator="greaterThan">
      <formula>1</formula>
    </cfRule>
    <cfRule type="cellIs" dxfId="3255" priority="3082" operator="lessThan">
      <formula>0.8</formula>
    </cfRule>
  </conditionalFormatting>
  <conditionalFormatting sqref="AF83:AF94">
    <cfRule type="cellIs" dxfId="3254" priority="3080" operator="lessThan">
      <formula>0</formula>
    </cfRule>
  </conditionalFormatting>
  <conditionalFormatting sqref="AH83">
    <cfRule type="cellIs" dxfId="3253" priority="3079" operator="lessThan">
      <formula>0.8</formula>
    </cfRule>
  </conditionalFormatting>
  <conditionalFormatting sqref="AG83:AG94">
    <cfRule type="cellIs" dxfId="3252" priority="3077" operator="greaterThan">
      <formula>1</formula>
    </cfRule>
    <cfRule type="cellIs" dxfId="3251" priority="3078" operator="lessThan">
      <formula>0.8</formula>
    </cfRule>
  </conditionalFormatting>
  <conditionalFormatting sqref="S83">
    <cfRule type="cellIs" dxfId="3250" priority="3076" operator="lessThan">
      <formula>0.8</formula>
    </cfRule>
  </conditionalFormatting>
  <conditionalFormatting sqref="AH84">
    <cfRule type="cellIs" dxfId="3249" priority="3075" operator="lessThan">
      <formula>0.8</formula>
    </cfRule>
  </conditionalFormatting>
  <conditionalFormatting sqref="S84">
    <cfRule type="cellIs" dxfId="3248" priority="3074" operator="lessThan">
      <formula>0.8</formula>
    </cfRule>
  </conditionalFormatting>
  <conditionalFormatting sqref="S90">
    <cfRule type="cellIs" dxfId="3247" priority="3073" operator="lessThan">
      <formula>0.8</formula>
    </cfRule>
  </conditionalFormatting>
  <conditionalFormatting sqref="AH90">
    <cfRule type="cellIs" dxfId="3246" priority="3072" operator="lessThan">
      <formula>0.8</formula>
    </cfRule>
  </conditionalFormatting>
  <conditionalFormatting sqref="AF122">
    <cfRule type="cellIs" dxfId="3245" priority="3071" operator="lessThan">
      <formula>0</formula>
    </cfRule>
  </conditionalFormatting>
  <conditionalFormatting sqref="S122">
    <cfRule type="cellIs" dxfId="3244" priority="3070" operator="lessThan">
      <formula>0.8</formula>
    </cfRule>
  </conditionalFormatting>
  <conditionalFormatting sqref="AG122">
    <cfRule type="cellIs" dxfId="3243" priority="3068" operator="greaterThan">
      <formula>1</formula>
    </cfRule>
    <cfRule type="cellIs" dxfId="3242" priority="3069" operator="lessThan">
      <formula>0.8</formula>
    </cfRule>
  </conditionalFormatting>
  <conditionalFormatting sqref="P162:P168">
    <cfRule type="cellIs" dxfId="3241" priority="3062" operator="greaterThan">
      <formula>0</formula>
    </cfRule>
  </conditionalFormatting>
  <conditionalFormatting sqref="R162:R168">
    <cfRule type="cellIs" dxfId="3240" priority="3065" operator="lessThan">
      <formula>0.8</formula>
    </cfRule>
    <cfRule type="cellIs" dxfId="3239" priority="3066" operator="greaterThan">
      <formula>1</formula>
    </cfRule>
  </conditionalFormatting>
  <conditionalFormatting sqref="R162:R168">
    <cfRule type="cellIs" dxfId="3238" priority="3063" operator="greaterThan">
      <formula>1</formula>
    </cfRule>
    <cfRule type="cellIs" dxfId="3237" priority="3064" operator="lessThan">
      <formula>0.8</formula>
    </cfRule>
  </conditionalFormatting>
  <conditionalFormatting sqref="Q162:Q168">
    <cfRule type="cellIs" dxfId="3236" priority="3067" operator="lessThan">
      <formula>0</formula>
    </cfRule>
  </conditionalFormatting>
  <conditionalFormatting sqref="P132:P133">
    <cfRule type="cellIs" dxfId="3235" priority="3055" operator="greaterThan">
      <formula>0</formula>
    </cfRule>
  </conditionalFormatting>
  <conditionalFormatting sqref="AF124 Q132:Q133 AF132:AF133 AF126:AF127 AF129:AF130">
    <cfRule type="cellIs" dxfId="3234" priority="3061" operator="lessThan">
      <formula>0</formula>
    </cfRule>
  </conditionalFormatting>
  <conditionalFormatting sqref="S124:S133">
    <cfRule type="cellIs" dxfId="3233" priority="3060" operator="lessThan">
      <formula>0.8</formula>
    </cfRule>
  </conditionalFormatting>
  <conditionalFormatting sqref="R132:R133">
    <cfRule type="cellIs" dxfId="3232" priority="3058" operator="lessThan">
      <formula>0.8</formula>
    </cfRule>
    <cfRule type="cellIs" dxfId="3231" priority="3059" operator="greaterThan">
      <formula>1</formula>
    </cfRule>
  </conditionalFormatting>
  <conditionalFormatting sqref="AG124 R132:R133 AG132:AG133 AG126:AG127 AG129:AG130">
    <cfRule type="cellIs" dxfId="3230" priority="3056" operator="greaterThan">
      <formula>1</formula>
    </cfRule>
    <cfRule type="cellIs" dxfId="3229" priority="3057" operator="lessThan">
      <formula>0.8</formula>
    </cfRule>
  </conditionalFormatting>
  <conditionalFormatting sqref="AH109">
    <cfRule type="cellIs" dxfId="3228" priority="3054" operator="lessThan">
      <formula>0.8</formula>
    </cfRule>
  </conditionalFormatting>
  <conditionalFormatting sqref="R160 AG160">
    <cfRule type="cellIs" dxfId="3227" priority="3049" operator="greaterThan">
      <formula>1</formula>
    </cfRule>
    <cfRule type="cellIs" dxfId="3226" priority="3050" operator="lessThan">
      <formula>0.8</formula>
    </cfRule>
  </conditionalFormatting>
  <conditionalFormatting sqref="R160">
    <cfRule type="cellIs" dxfId="3225" priority="3051" operator="lessThan">
      <formula>0.8</formula>
    </cfRule>
    <cfRule type="cellIs" dxfId="3224" priority="3052" operator="greaterThan">
      <formula>1</formula>
    </cfRule>
  </conditionalFormatting>
  <conditionalFormatting sqref="P160">
    <cfRule type="cellIs" dxfId="3223" priority="3048" operator="greaterThan">
      <formula>0</formula>
    </cfRule>
  </conditionalFormatting>
  <conditionalFormatting sqref="AH148">
    <cfRule type="cellIs" dxfId="3222" priority="3047" operator="lessThan">
      <formula>0.8</formula>
    </cfRule>
  </conditionalFormatting>
  <conditionalFormatting sqref="Q160 AF160">
    <cfRule type="cellIs" dxfId="3221" priority="3053" operator="lessThan">
      <formula>0</formula>
    </cfRule>
  </conditionalFormatting>
  <conditionalFormatting sqref="AF148:AF154">
    <cfRule type="cellIs" dxfId="3220" priority="3046" operator="lessThan">
      <formula>0</formula>
    </cfRule>
  </conditionalFormatting>
  <conditionalFormatting sqref="S148">
    <cfRule type="cellIs" dxfId="3219" priority="3045" operator="lessThan">
      <formula>0.8</formula>
    </cfRule>
  </conditionalFormatting>
  <conditionalFormatting sqref="AG148:AG154">
    <cfRule type="cellIs" dxfId="3218" priority="3043" operator="greaterThan">
      <formula>1</formula>
    </cfRule>
    <cfRule type="cellIs" dxfId="3217" priority="3044" operator="lessThan">
      <formula>0.8</formula>
    </cfRule>
  </conditionalFormatting>
  <conditionalFormatting sqref="S86">
    <cfRule type="cellIs" dxfId="3216" priority="3042" operator="lessThan">
      <formula>0.8</formula>
    </cfRule>
  </conditionalFormatting>
  <conditionalFormatting sqref="S88 AH88">
    <cfRule type="cellIs" dxfId="3215" priority="3037" operator="lessThan">
      <formula>0.8</formula>
    </cfRule>
  </conditionalFormatting>
  <conditionalFormatting sqref="AH86">
    <cfRule type="cellIs" dxfId="3214" priority="3041" operator="lessThan">
      <formula>0.8</formula>
    </cfRule>
  </conditionalFormatting>
  <conditionalFormatting sqref="S87">
    <cfRule type="cellIs" dxfId="3213" priority="3040" operator="lessThan">
      <formula>0.8</formula>
    </cfRule>
  </conditionalFormatting>
  <conditionalFormatting sqref="AH87">
    <cfRule type="cellIs" dxfId="3212" priority="3039" operator="lessThan">
      <formula>0.8</formula>
    </cfRule>
  </conditionalFormatting>
  <conditionalFormatting sqref="S89 AH89">
    <cfRule type="cellIs" dxfId="3211" priority="3038" operator="lessThan">
      <formula>0.8</formula>
    </cfRule>
  </conditionalFormatting>
  <conditionalFormatting sqref="AF31 AF35 AF39">
    <cfRule type="cellIs" dxfId="3210" priority="3036" operator="lessThan">
      <formula>0</formula>
    </cfRule>
  </conditionalFormatting>
  <conditionalFormatting sqref="AH31 S31">
    <cfRule type="cellIs" dxfId="3209" priority="3035" operator="lessThan">
      <formula>0.8</formula>
    </cfRule>
  </conditionalFormatting>
  <conditionalFormatting sqref="AG31 AG35 AG39">
    <cfRule type="cellIs" dxfId="3208" priority="3033" operator="greaterThan">
      <formula>1</formula>
    </cfRule>
    <cfRule type="cellIs" dxfId="3207" priority="3034" operator="lessThan">
      <formula>0.8</formula>
    </cfRule>
  </conditionalFormatting>
  <conditionalFormatting sqref="AF135">
    <cfRule type="cellIs" dxfId="3206" priority="3032" operator="lessThan">
      <formula>0</formula>
    </cfRule>
  </conditionalFormatting>
  <conditionalFormatting sqref="AH135 S135">
    <cfRule type="cellIs" dxfId="3205" priority="3031" operator="lessThan">
      <formula>0.8</formula>
    </cfRule>
  </conditionalFormatting>
  <conditionalFormatting sqref="AG135">
    <cfRule type="cellIs" dxfId="3204" priority="3029" operator="greaterThan">
      <formula>1</formula>
    </cfRule>
    <cfRule type="cellIs" dxfId="3203" priority="3030" operator="lessThan">
      <formula>0.8</formula>
    </cfRule>
  </conditionalFormatting>
  <conditionalFormatting sqref="AF108 Q108">
    <cfRule type="cellIs" dxfId="3202" priority="3028" operator="lessThan">
      <formula>0</formula>
    </cfRule>
  </conditionalFormatting>
  <conditionalFormatting sqref="R108">
    <cfRule type="cellIs" dxfId="3201" priority="3026" operator="lessThan">
      <formula>0.8</formula>
    </cfRule>
    <cfRule type="cellIs" dxfId="3200" priority="3027" operator="greaterThan">
      <formula>1</formula>
    </cfRule>
  </conditionalFormatting>
  <conditionalFormatting sqref="AG108 R108">
    <cfRule type="cellIs" dxfId="3199" priority="3024" operator="greaterThan">
      <formula>1</formula>
    </cfRule>
    <cfRule type="cellIs" dxfId="3198" priority="3025" operator="lessThan">
      <formula>0.8</formula>
    </cfRule>
  </conditionalFormatting>
  <conditionalFormatting sqref="P108">
    <cfRule type="cellIs" dxfId="3197" priority="3023" operator="greaterThan">
      <formula>0</formula>
    </cfRule>
  </conditionalFormatting>
  <conditionalFormatting sqref="AH97">
    <cfRule type="cellIs" dxfId="3196" priority="3018" operator="lessThan">
      <formula>0.8</formula>
    </cfRule>
  </conditionalFormatting>
  <conditionalFormatting sqref="AG96 AG98 AG100 AG102:AG103 AG105:AG106">
    <cfRule type="cellIs" dxfId="3195" priority="3020" operator="greaterThan">
      <formula>1</formula>
    </cfRule>
    <cfRule type="cellIs" dxfId="3194" priority="3021" operator="lessThan">
      <formula>0.8</formula>
    </cfRule>
  </conditionalFormatting>
  <conditionalFormatting sqref="AF96 AF98 AF100 AF102:AF103 AF105:AF106">
    <cfRule type="cellIs" dxfId="3193" priority="3022" operator="lessThan">
      <formula>0</formula>
    </cfRule>
  </conditionalFormatting>
  <conditionalFormatting sqref="AG97 AG99 AG101 AG104">
    <cfRule type="cellIs" dxfId="3192" priority="3016" operator="greaterThan">
      <formula>1</formula>
    </cfRule>
    <cfRule type="cellIs" dxfId="3191" priority="3017" operator="lessThan">
      <formula>0.8</formula>
    </cfRule>
  </conditionalFormatting>
  <conditionalFormatting sqref="AF97 AF99 AF101 AF104">
    <cfRule type="cellIs" dxfId="3190" priority="3019" operator="lessThan">
      <formula>0</formula>
    </cfRule>
  </conditionalFormatting>
  <conditionalFormatting sqref="AF71 AF73 AF75 AF79 AF77">
    <cfRule type="cellIs" dxfId="3189" priority="3013" operator="lessThan">
      <formula>0</formula>
    </cfRule>
  </conditionalFormatting>
  <conditionalFormatting sqref="S71 AH71">
    <cfRule type="cellIs" dxfId="3188" priority="3012" operator="lessThan">
      <formula>0.8</formula>
    </cfRule>
  </conditionalFormatting>
  <conditionalFormatting sqref="AG71 AG73 AG75 AG79 AG77">
    <cfRule type="cellIs" dxfId="3187" priority="3010" operator="greaterThan">
      <formula>1</formula>
    </cfRule>
    <cfRule type="cellIs" dxfId="3186" priority="3011" operator="lessThan">
      <formula>0.8</formula>
    </cfRule>
  </conditionalFormatting>
  <conditionalFormatting sqref="AF72 AF76 AF80">
    <cfRule type="cellIs" dxfId="3185" priority="3009" operator="lessThan">
      <formula>0</formula>
    </cfRule>
  </conditionalFormatting>
  <conditionalFormatting sqref="S72 AH72">
    <cfRule type="cellIs" dxfId="3184" priority="3008" operator="lessThan">
      <formula>0.8</formula>
    </cfRule>
  </conditionalFormatting>
  <conditionalFormatting sqref="S11">
    <cfRule type="cellIs" dxfId="3183" priority="3015" operator="lessThan">
      <formula>0.8</formula>
    </cfRule>
  </conditionalFormatting>
  <conditionalFormatting sqref="S10">
    <cfRule type="cellIs" dxfId="3182" priority="3014" operator="lessThan">
      <formula>0.8</formula>
    </cfRule>
  </conditionalFormatting>
  <conditionalFormatting sqref="AG72 AG76 AG80">
    <cfRule type="cellIs" dxfId="3181" priority="3006" operator="greaterThan">
      <formula>1</formula>
    </cfRule>
    <cfRule type="cellIs" dxfId="3180" priority="3007" operator="lessThan">
      <formula>0.8</formula>
    </cfRule>
  </conditionalFormatting>
  <conditionalFormatting sqref="AF14:AF16 Q15:Q16">
    <cfRule type="cellIs" dxfId="3179" priority="3005" operator="lessThan">
      <formula>0</formula>
    </cfRule>
  </conditionalFormatting>
  <conditionalFormatting sqref="R15:R16">
    <cfRule type="cellIs" dxfId="3178" priority="3003" operator="lessThan">
      <formula>0.8</formula>
    </cfRule>
    <cfRule type="cellIs" dxfId="3177" priority="3004" operator="greaterThan">
      <formula>1</formula>
    </cfRule>
  </conditionalFormatting>
  <conditionalFormatting sqref="R15:R16">
    <cfRule type="cellIs" dxfId="3176" priority="3001" operator="greaterThan">
      <formula>1</formula>
    </cfRule>
    <cfRule type="cellIs" dxfId="3175" priority="3002" operator="lessThan">
      <formula>0.8</formula>
    </cfRule>
  </conditionalFormatting>
  <conditionalFormatting sqref="P15:P16">
    <cfRule type="cellIs" dxfId="3174" priority="3000" operator="greaterThan">
      <formula>0</formula>
    </cfRule>
  </conditionalFormatting>
  <conditionalFormatting sqref="AH98">
    <cfRule type="cellIs" dxfId="3173" priority="2999" operator="lessThan">
      <formula>0.8</formula>
    </cfRule>
  </conditionalFormatting>
  <conditionalFormatting sqref="AF33 AF37">
    <cfRule type="cellIs" dxfId="3172" priority="2998" operator="lessThan">
      <formula>0</formula>
    </cfRule>
  </conditionalFormatting>
  <conditionalFormatting sqref="AG33 AG37">
    <cfRule type="cellIs" dxfId="3171" priority="2996" operator="greaterThan">
      <formula>1</formula>
    </cfRule>
    <cfRule type="cellIs" dxfId="3170" priority="2997" operator="lessThan">
      <formula>0.8</formula>
    </cfRule>
  </conditionalFormatting>
  <conditionalFormatting sqref="P41:P42">
    <cfRule type="cellIs" dxfId="3169" priority="2990" operator="greaterThan">
      <formula>0</formula>
    </cfRule>
  </conditionalFormatting>
  <conditionalFormatting sqref="Q41:Q42 AF34 AF41:AF42 AF38">
    <cfRule type="cellIs" dxfId="3168" priority="2995" operator="lessThan">
      <formula>0</formula>
    </cfRule>
  </conditionalFormatting>
  <conditionalFormatting sqref="R41:R42">
    <cfRule type="cellIs" dxfId="3167" priority="2993" operator="lessThan">
      <formula>0.8</formula>
    </cfRule>
    <cfRule type="cellIs" dxfId="3166" priority="2994" operator="greaterThan">
      <formula>1</formula>
    </cfRule>
  </conditionalFormatting>
  <conditionalFormatting sqref="R41:R42 AG34 AG41:AG42 AG38">
    <cfRule type="cellIs" dxfId="3165" priority="2991" operator="greaterThan">
      <formula>1</formula>
    </cfRule>
    <cfRule type="cellIs" dxfId="3164" priority="2992" operator="lessThan">
      <formula>0.8</formula>
    </cfRule>
  </conditionalFormatting>
  <conditionalFormatting sqref="AF137:AF144">
    <cfRule type="cellIs" dxfId="3163" priority="2989" operator="lessThan">
      <formula>0</formula>
    </cfRule>
  </conditionalFormatting>
  <conditionalFormatting sqref="AH137 S137">
    <cfRule type="cellIs" dxfId="3162" priority="2988" operator="lessThan">
      <formula>0.8</formula>
    </cfRule>
  </conditionalFormatting>
  <conditionalFormatting sqref="AG137:AG144">
    <cfRule type="cellIs" dxfId="3161" priority="2986" operator="greaterThan">
      <formula>1</formula>
    </cfRule>
    <cfRule type="cellIs" dxfId="3160" priority="2987" operator="lessThan">
      <formula>0.8</formula>
    </cfRule>
  </conditionalFormatting>
  <conditionalFormatting sqref="AF55">
    <cfRule type="cellIs" dxfId="3159" priority="2985" operator="lessThan">
      <formula>0</formula>
    </cfRule>
  </conditionalFormatting>
  <conditionalFormatting sqref="AG55">
    <cfRule type="cellIs" dxfId="3158" priority="2983" operator="greaterThan">
      <formula>1</formula>
    </cfRule>
    <cfRule type="cellIs" dxfId="3157" priority="2984" operator="lessThan">
      <formula>0.8</formula>
    </cfRule>
  </conditionalFormatting>
  <conditionalFormatting sqref="AF56 Q56">
    <cfRule type="cellIs" dxfId="3156" priority="2982" operator="lessThan">
      <formula>0</formula>
    </cfRule>
  </conditionalFormatting>
  <conditionalFormatting sqref="R56">
    <cfRule type="cellIs" dxfId="3155" priority="2980" operator="lessThan">
      <formula>0.8</formula>
    </cfRule>
    <cfRule type="cellIs" dxfId="3154" priority="2981" operator="greaterThan">
      <formula>1</formula>
    </cfRule>
  </conditionalFormatting>
  <conditionalFormatting sqref="AG56 R56">
    <cfRule type="cellIs" dxfId="3153" priority="2978" operator="greaterThan">
      <formula>1</formula>
    </cfRule>
    <cfRule type="cellIs" dxfId="3152" priority="2979" operator="lessThan">
      <formula>0.8</formula>
    </cfRule>
  </conditionalFormatting>
  <conditionalFormatting sqref="P56">
    <cfRule type="cellIs" dxfId="3151" priority="2977" operator="greaterThan">
      <formula>0</formula>
    </cfRule>
  </conditionalFormatting>
  <conditionalFormatting sqref="P53:P55">
    <cfRule type="cellIs" dxfId="3150" priority="2971" operator="greaterThan">
      <formula>0</formula>
    </cfRule>
  </conditionalFormatting>
  <conditionalFormatting sqref="Q53:Q55">
    <cfRule type="cellIs" dxfId="3149" priority="2976" operator="lessThan">
      <formula>0</formula>
    </cfRule>
  </conditionalFormatting>
  <conditionalFormatting sqref="R53:R55">
    <cfRule type="cellIs" dxfId="3148" priority="2974" operator="lessThan">
      <formula>0.8</formula>
    </cfRule>
    <cfRule type="cellIs" dxfId="3147" priority="2975" operator="greaterThan">
      <formula>1</formula>
    </cfRule>
  </conditionalFormatting>
  <conditionalFormatting sqref="R53:R55">
    <cfRule type="cellIs" dxfId="3146" priority="2972" operator="greaterThan">
      <formula>1</formula>
    </cfRule>
    <cfRule type="cellIs" dxfId="3145" priority="2973" operator="lessThan">
      <formula>0.8</formula>
    </cfRule>
  </conditionalFormatting>
  <conditionalFormatting sqref="P80:P81">
    <cfRule type="cellIs" dxfId="3144" priority="2965" operator="greaterThan">
      <formula>0</formula>
    </cfRule>
  </conditionalFormatting>
  <conditionalFormatting sqref="AF81 Q80:Q81">
    <cfRule type="cellIs" dxfId="3143" priority="2970" operator="lessThan">
      <formula>0</formula>
    </cfRule>
  </conditionalFormatting>
  <conditionalFormatting sqref="R80:R81">
    <cfRule type="cellIs" dxfId="3142" priority="2968" operator="lessThan">
      <formula>0.8</formula>
    </cfRule>
    <cfRule type="cellIs" dxfId="3141" priority="2969" operator="greaterThan">
      <formula>1</formula>
    </cfRule>
  </conditionalFormatting>
  <conditionalFormatting sqref="AG81 R80:R81">
    <cfRule type="cellIs" dxfId="3140" priority="2966" operator="greaterThan">
      <formula>1</formula>
    </cfRule>
    <cfRule type="cellIs" dxfId="3139" priority="2967" operator="lessThan">
      <formula>0.8</formula>
    </cfRule>
  </conditionalFormatting>
  <conditionalFormatting sqref="AH85">
    <cfRule type="cellIs" dxfId="3138" priority="2964" operator="lessThan">
      <formula>0.8</formula>
    </cfRule>
  </conditionalFormatting>
  <conditionalFormatting sqref="S85">
    <cfRule type="cellIs" dxfId="3137" priority="2963" operator="lessThan">
      <formula>0.8</formula>
    </cfRule>
  </conditionalFormatting>
  <conditionalFormatting sqref="AF107">
    <cfRule type="cellIs" dxfId="3136" priority="2962" operator="lessThan">
      <formula>0</formula>
    </cfRule>
  </conditionalFormatting>
  <conditionalFormatting sqref="AH100:AH107">
    <cfRule type="cellIs" dxfId="3135" priority="2961" operator="lessThan">
      <formula>0.8</formula>
    </cfRule>
  </conditionalFormatting>
  <conditionalFormatting sqref="AG107">
    <cfRule type="cellIs" dxfId="3134" priority="2959" operator="greaterThan">
      <formula>1</formula>
    </cfRule>
    <cfRule type="cellIs" dxfId="3133" priority="2960" operator="lessThan">
      <formula>0.8</formula>
    </cfRule>
  </conditionalFormatting>
  <conditionalFormatting sqref="P107">
    <cfRule type="cellIs" dxfId="3132" priority="2953" operator="greaterThan">
      <formula>0</formula>
    </cfRule>
  </conditionalFormatting>
  <conditionalFormatting sqref="Q107">
    <cfRule type="cellIs" dxfId="3131" priority="2958" operator="lessThan">
      <formula>0</formula>
    </cfRule>
  </conditionalFormatting>
  <conditionalFormatting sqref="R107">
    <cfRule type="cellIs" dxfId="3130" priority="2956" operator="lessThan">
      <formula>0.8</formula>
    </cfRule>
    <cfRule type="cellIs" dxfId="3129" priority="2957" operator="greaterThan">
      <formula>1</formula>
    </cfRule>
  </conditionalFormatting>
  <conditionalFormatting sqref="R107">
    <cfRule type="cellIs" dxfId="3128" priority="2954" operator="greaterThan">
      <formula>1</formula>
    </cfRule>
    <cfRule type="cellIs" dxfId="3127" priority="2955" operator="lessThan">
      <formula>0.8</formula>
    </cfRule>
  </conditionalFormatting>
  <conditionalFormatting sqref="AF109:AF120">
    <cfRule type="cellIs" dxfId="3126" priority="2952" operator="lessThan">
      <formula>0</formula>
    </cfRule>
  </conditionalFormatting>
  <conditionalFormatting sqref="S109">
    <cfRule type="cellIs" dxfId="3125" priority="2951" operator="lessThan">
      <formula>0.8</formula>
    </cfRule>
  </conditionalFormatting>
  <conditionalFormatting sqref="AG109:AG120">
    <cfRule type="cellIs" dxfId="3124" priority="2949" operator="greaterThan">
      <formula>1</formula>
    </cfRule>
    <cfRule type="cellIs" dxfId="3123" priority="2950" operator="lessThan">
      <formula>0.8</formula>
    </cfRule>
  </conditionalFormatting>
  <conditionalFormatting sqref="S150">
    <cfRule type="cellIs" dxfId="3122" priority="2948" operator="lessThan">
      <formula>0.8</formula>
    </cfRule>
  </conditionalFormatting>
  <conditionalFormatting sqref="AH150">
    <cfRule type="cellIs" dxfId="3121" priority="2947" operator="lessThan">
      <formula>0.8</formula>
    </cfRule>
  </conditionalFormatting>
  <conditionalFormatting sqref="S149">
    <cfRule type="cellIs" dxfId="3120" priority="2946" operator="lessThan">
      <formula>0.8</formula>
    </cfRule>
  </conditionalFormatting>
  <conditionalFormatting sqref="Q26:Q29">
    <cfRule type="cellIs" dxfId="3119" priority="2945" operator="lessThan">
      <formula>0</formula>
    </cfRule>
  </conditionalFormatting>
  <conditionalFormatting sqref="S21:S29 AH21:AH29">
    <cfRule type="cellIs" dxfId="3118" priority="2944" operator="lessThan">
      <formula>0.8</formula>
    </cfRule>
  </conditionalFormatting>
  <conditionalFormatting sqref="R26:R29">
    <cfRule type="cellIs" dxfId="3117" priority="2942" operator="lessThan">
      <formula>0.8</formula>
    </cfRule>
    <cfRule type="cellIs" dxfId="3116" priority="2943" operator="greaterThan">
      <formula>1</formula>
    </cfRule>
  </conditionalFormatting>
  <conditionalFormatting sqref="R26:R29">
    <cfRule type="cellIs" dxfId="3115" priority="2940" operator="greaterThan">
      <formula>1</formula>
    </cfRule>
    <cfRule type="cellIs" dxfId="3114" priority="2941" operator="lessThan">
      <formula>0.8</formula>
    </cfRule>
  </conditionalFormatting>
  <conditionalFormatting sqref="P29">
    <cfRule type="cellIs" dxfId="3113" priority="2939" operator="greaterThan">
      <formula>0</formula>
    </cfRule>
  </conditionalFormatting>
  <conditionalFormatting sqref="AH91 S91">
    <cfRule type="cellIs" dxfId="3112" priority="2938" operator="lessThan">
      <formula>0.8</formula>
    </cfRule>
  </conditionalFormatting>
  <conditionalFormatting sqref="P92:P94">
    <cfRule type="cellIs" dxfId="3111" priority="2932" operator="greaterThan">
      <formula>0</formula>
    </cfRule>
  </conditionalFormatting>
  <conditionalFormatting sqref="Q92:Q94">
    <cfRule type="cellIs" dxfId="3110" priority="2937" operator="lessThan">
      <formula>0</formula>
    </cfRule>
  </conditionalFormatting>
  <conditionalFormatting sqref="R92:R94">
    <cfRule type="cellIs" dxfId="3109" priority="2935" operator="lessThan">
      <formula>0.8</formula>
    </cfRule>
    <cfRule type="cellIs" dxfId="3108" priority="2936" operator="greaterThan">
      <formula>1</formula>
    </cfRule>
  </conditionalFormatting>
  <conditionalFormatting sqref="R92:R94">
    <cfRule type="cellIs" dxfId="3107" priority="2933" operator="greaterThan">
      <formula>1</formula>
    </cfRule>
    <cfRule type="cellIs" dxfId="3106" priority="2934" operator="lessThan">
      <formula>0.8</formula>
    </cfRule>
  </conditionalFormatting>
  <conditionalFormatting sqref="AF146 Q146">
    <cfRule type="cellIs" dxfId="3105" priority="2931" operator="lessThan">
      <formula>0</formula>
    </cfRule>
  </conditionalFormatting>
  <conditionalFormatting sqref="AH139:AH146 S139:S146">
    <cfRule type="cellIs" dxfId="3104" priority="2930" operator="lessThan">
      <formula>0.8</formula>
    </cfRule>
  </conditionalFormatting>
  <conditionalFormatting sqref="R146">
    <cfRule type="cellIs" dxfId="3103" priority="2928" operator="lessThan">
      <formula>0.8</formula>
    </cfRule>
    <cfRule type="cellIs" dxfId="3102" priority="2929" operator="greaterThan">
      <formula>1</formula>
    </cfRule>
  </conditionalFormatting>
  <conditionalFormatting sqref="AG146 R146">
    <cfRule type="cellIs" dxfId="3101" priority="2926" operator="greaterThan">
      <formula>1</formula>
    </cfRule>
    <cfRule type="cellIs" dxfId="3100" priority="2927" operator="lessThan">
      <formula>0.8</formula>
    </cfRule>
  </conditionalFormatting>
  <conditionalFormatting sqref="P146">
    <cfRule type="cellIs" dxfId="3099" priority="2925" operator="greaterThan">
      <formula>0</formula>
    </cfRule>
  </conditionalFormatting>
  <conditionalFormatting sqref="Q119:Q120">
    <cfRule type="cellIs" dxfId="3098" priority="2924" operator="lessThan">
      <formula>0</formula>
    </cfRule>
  </conditionalFormatting>
  <conditionalFormatting sqref="R119:R120">
    <cfRule type="cellIs" dxfId="3097" priority="2922" operator="lessThan">
      <formula>0.8</formula>
    </cfRule>
    <cfRule type="cellIs" dxfId="3096" priority="2923" operator="greaterThan">
      <formula>1</formula>
    </cfRule>
  </conditionalFormatting>
  <conditionalFormatting sqref="R119:R120">
    <cfRule type="cellIs" dxfId="3095" priority="2920" operator="greaterThan">
      <formula>1</formula>
    </cfRule>
    <cfRule type="cellIs" dxfId="3094" priority="2921" operator="lessThan">
      <formula>0.8</formula>
    </cfRule>
  </conditionalFormatting>
  <conditionalFormatting sqref="P119:P120">
    <cfRule type="cellIs" dxfId="3093" priority="2919" operator="greaterThan">
      <formula>0</formula>
    </cfRule>
  </conditionalFormatting>
  <conditionalFormatting sqref="S44:S56">
    <cfRule type="cellIs" dxfId="3092" priority="2918" operator="lessThan">
      <formula>0.8</formula>
    </cfRule>
  </conditionalFormatting>
  <conditionalFormatting sqref="S108">
    <cfRule type="cellIs" dxfId="3091" priority="2917" operator="lessThan">
      <formula>0.8</formula>
    </cfRule>
  </conditionalFormatting>
  <conditionalFormatting sqref="S96">
    <cfRule type="cellIs" dxfId="3090" priority="2916" operator="lessThan">
      <formula>0.8</formula>
    </cfRule>
  </conditionalFormatting>
  <conditionalFormatting sqref="S97">
    <cfRule type="cellIs" dxfId="3089" priority="2915" operator="lessThan">
      <formula>0.8</formula>
    </cfRule>
  </conditionalFormatting>
  <conditionalFormatting sqref="S103">
    <cfRule type="cellIs" dxfId="3088" priority="2914" operator="lessThan">
      <formula>0.8</formula>
    </cfRule>
  </conditionalFormatting>
  <conditionalFormatting sqref="S99">
    <cfRule type="cellIs" dxfId="3087" priority="2913" operator="lessThan">
      <formula>0.8</formula>
    </cfRule>
  </conditionalFormatting>
  <conditionalFormatting sqref="S101">
    <cfRule type="cellIs" dxfId="3086" priority="2910" operator="lessThan">
      <formula>0.8</formula>
    </cfRule>
  </conditionalFormatting>
  <conditionalFormatting sqref="S100">
    <cfRule type="cellIs" dxfId="3085" priority="2912" operator="lessThan">
      <formula>0.8</formula>
    </cfRule>
  </conditionalFormatting>
  <conditionalFormatting sqref="S102">
    <cfRule type="cellIs" dxfId="3084" priority="2911" operator="lessThan">
      <formula>0.8</formula>
    </cfRule>
  </conditionalFormatting>
  <conditionalFormatting sqref="S98">
    <cfRule type="cellIs" dxfId="3083" priority="2909" operator="lessThan">
      <formula>0.8</formula>
    </cfRule>
  </conditionalFormatting>
  <conditionalFormatting sqref="S104">
    <cfRule type="cellIs" dxfId="3082" priority="2908" operator="lessThan">
      <formula>0.8</formula>
    </cfRule>
  </conditionalFormatting>
  <conditionalFormatting sqref="Q162:Q167">
    <cfRule type="cellIs" dxfId="3081" priority="2907" operator="lessThan">
      <formula>0</formula>
    </cfRule>
  </conditionalFormatting>
  <conditionalFormatting sqref="R162:R167">
    <cfRule type="cellIs" dxfId="3080" priority="2905" operator="lessThan">
      <formula>0.8</formula>
    </cfRule>
    <cfRule type="cellIs" dxfId="3079" priority="2906" operator="greaterThan">
      <formula>1</formula>
    </cfRule>
  </conditionalFormatting>
  <conditionalFormatting sqref="R162:R167">
    <cfRule type="cellIs" dxfId="3078" priority="2903" operator="greaterThan">
      <formula>1</formula>
    </cfRule>
    <cfRule type="cellIs" dxfId="3077" priority="2904" operator="lessThan">
      <formula>0.8</formula>
    </cfRule>
  </conditionalFormatting>
  <conditionalFormatting sqref="P162:P167">
    <cfRule type="cellIs" dxfId="3076" priority="2902" operator="greaterThan">
      <formula>0</formula>
    </cfRule>
  </conditionalFormatting>
  <conditionalFormatting sqref="P168">
    <cfRule type="cellIs" dxfId="3075" priority="2896" operator="greaterThan">
      <formula>0</formula>
    </cfRule>
  </conditionalFormatting>
  <conditionalFormatting sqref="R168">
    <cfRule type="cellIs" dxfId="3074" priority="2899" operator="lessThan">
      <formula>0.8</formula>
    </cfRule>
    <cfRule type="cellIs" dxfId="3073" priority="2900" operator="greaterThan">
      <formula>1</formula>
    </cfRule>
  </conditionalFormatting>
  <conditionalFormatting sqref="R168">
    <cfRule type="cellIs" dxfId="3072" priority="2897" operator="greaterThan">
      <formula>1</formula>
    </cfRule>
    <cfRule type="cellIs" dxfId="3071" priority="2898" operator="lessThan">
      <formula>0.8</formula>
    </cfRule>
  </conditionalFormatting>
  <conditionalFormatting sqref="Q168">
    <cfRule type="cellIs" dxfId="3070" priority="2901" operator="lessThan">
      <formula>0</formula>
    </cfRule>
  </conditionalFormatting>
  <conditionalFormatting sqref="Q83">
    <cfRule type="cellIs" dxfId="3069" priority="2895" operator="lessThan">
      <formula>0</formula>
    </cfRule>
  </conditionalFormatting>
  <conditionalFormatting sqref="R83">
    <cfRule type="cellIs" dxfId="3068" priority="2893" operator="lessThan">
      <formula>0.8</formula>
    </cfRule>
    <cfRule type="cellIs" dxfId="3067" priority="2894" operator="greaterThan">
      <formula>1</formula>
    </cfRule>
  </conditionalFormatting>
  <conditionalFormatting sqref="R83">
    <cfRule type="cellIs" dxfId="3066" priority="2891" operator="greaterThan">
      <formula>1</formula>
    </cfRule>
    <cfRule type="cellIs" dxfId="3065" priority="2892" operator="lessThan">
      <formula>0.8</formula>
    </cfRule>
  </conditionalFormatting>
  <conditionalFormatting sqref="P83">
    <cfRule type="cellIs" dxfId="3064" priority="2890" operator="greaterThan">
      <formula>0</formula>
    </cfRule>
  </conditionalFormatting>
  <conditionalFormatting sqref="Q83">
    <cfRule type="cellIs" dxfId="3063" priority="2889" operator="lessThan">
      <formula>0</formula>
    </cfRule>
  </conditionalFormatting>
  <conditionalFormatting sqref="R83">
    <cfRule type="cellIs" dxfId="3062" priority="2887" operator="lessThan">
      <formula>0.8</formula>
    </cfRule>
    <cfRule type="cellIs" dxfId="3061" priority="2888" operator="greaterThan">
      <formula>1</formula>
    </cfRule>
  </conditionalFormatting>
  <conditionalFormatting sqref="R83">
    <cfRule type="cellIs" dxfId="3060" priority="2885" operator="greaterThan">
      <formula>1</formula>
    </cfRule>
    <cfRule type="cellIs" dxfId="3059" priority="2886" operator="lessThan">
      <formula>0.8</formula>
    </cfRule>
  </conditionalFormatting>
  <conditionalFormatting sqref="P83">
    <cfRule type="cellIs" dxfId="3058" priority="2884" operator="greaterThan">
      <formula>0</formula>
    </cfRule>
  </conditionalFormatting>
  <conditionalFormatting sqref="Q83">
    <cfRule type="cellIs" dxfId="3057" priority="2883" operator="lessThan">
      <formula>0</formula>
    </cfRule>
  </conditionalFormatting>
  <conditionalFormatting sqref="R83">
    <cfRule type="cellIs" dxfId="3056" priority="2881" operator="lessThan">
      <formula>0.8</formula>
    </cfRule>
    <cfRule type="cellIs" dxfId="3055" priority="2882" operator="greaterThan">
      <formula>1</formula>
    </cfRule>
  </conditionalFormatting>
  <conditionalFormatting sqref="R83">
    <cfRule type="cellIs" dxfId="3054" priority="2879" operator="greaterThan">
      <formula>1</formula>
    </cfRule>
    <cfRule type="cellIs" dxfId="3053" priority="2880" operator="lessThan">
      <formula>0.8</formula>
    </cfRule>
  </conditionalFormatting>
  <conditionalFormatting sqref="P83">
    <cfRule type="cellIs" dxfId="3052" priority="2878" operator="greaterThan">
      <formula>0</formula>
    </cfRule>
  </conditionalFormatting>
  <conditionalFormatting sqref="Q83">
    <cfRule type="cellIs" dxfId="3051" priority="2877" operator="lessThan">
      <formula>0</formula>
    </cfRule>
  </conditionalFormatting>
  <conditionalFormatting sqref="R83">
    <cfRule type="cellIs" dxfId="3050" priority="2875" operator="lessThan">
      <formula>0.8</formula>
    </cfRule>
    <cfRule type="cellIs" dxfId="3049" priority="2876" operator="greaterThan">
      <formula>1</formula>
    </cfRule>
  </conditionalFormatting>
  <conditionalFormatting sqref="R83">
    <cfRule type="cellIs" dxfId="3048" priority="2873" operator="greaterThan">
      <formula>1</formula>
    </cfRule>
    <cfRule type="cellIs" dxfId="3047" priority="2874" operator="lessThan">
      <formula>0.8</formula>
    </cfRule>
  </conditionalFormatting>
  <conditionalFormatting sqref="P83">
    <cfRule type="cellIs" dxfId="3046" priority="2872" operator="greaterThan">
      <formula>0</formula>
    </cfRule>
  </conditionalFormatting>
  <conditionalFormatting sqref="P83">
    <cfRule type="cellIs" dxfId="3045" priority="2866" operator="greaterThan">
      <formula>0</formula>
    </cfRule>
  </conditionalFormatting>
  <conditionalFormatting sqref="Q83">
    <cfRule type="cellIs" dxfId="3044" priority="2871" operator="lessThan">
      <formula>0</formula>
    </cfRule>
  </conditionalFormatting>
  <conditionalFormatting sqref="R83">
    <cfRule type="cellIs" dxfId="3043" priority="2869" operator="lessThan">
      <formula>0.8</formula>
    </cfRule>
    <cfRule type="cellIs" dxfId="3042" priority="2870" operator="greaterThan">
      <formula>1</formula>
    </cfRule>
  </conditionalFormatting>
  <conditionalFormatting sqref="R83">
    <cfRule type="cellIs" dxfId="3041" priority="2867" operator="greaterThan">
      <formula>1</formula>
    </cfRule>
    <cfRule type="cellIs" dxfId="3040" priority="2868" operator="lessThan">
      <formula>0.8</formula>
    </cfRule>
  </conditionalFormatting>
  <conditionalFormatting sqref="P83">
    <cfRule type="cellIs" dxfId="3039" priority="2860" operator="greaterThan">
      <formula>0</formula>
    </cfRule>
  </conditionalFormatting>
  <conditionalFormatting sqref="Q83">
    <cfRule type="cellIs" dxfId="3038" priority="2865" operator="lessThan">
      <formula>0</formula>
    </cfRule>
  </conditionalFormatting>
  <conditionalFormatting sqref="R83">
    <cfRule type="cellIs" dxfId="3037" priority="2863" operator="lessThan">
      <formula>0.8</formula>
    </cfRule>
    <cfRule type="cellIs" dxfId="3036" priority="2864" operator="greaterThan">
      <formula>1</formula>
    </cfRule>
  </conditionalFormatting>
  <conditionalFormatting sqref="R83">
    <cfRule type="cellIs" dxfId="3035" priority="2861" operator="greaterThan">
      <formula>1</formula>
    </cfRule>
    <cfRule type="cellIs" dxfId="3034" priority="2862" operator="lessThan">
      <formula>0.8</formula>
    </cfRule>
  </conditionalFormatting>
  <conditionalFormatting sqref="R83">
    <cfRule type="cellIs" dxfId="3033" priority="2857" operator="lessThan">
      <formula>0.8</formula>
    </cfRule>
    <cfRule type="cellIs" dxfId="3032" priority="2858" operator="greaterThan">
      <formula>1</formula>
    </cfRule>
  </conditionalFormatting>
  <conditionalFormatting sqref="R83">
    <cfRule type="cellIs" dxfId="3031" priority="2855" operator="greaterThan">
      <formula>1</formula>
    </cfRule>
    <cfRule type="cellIs" dxfId="3030" priority="2856" operator="lessThan">
      <formula>0.8</formula>
    </cfRule>
  </conditionalFormatting>
  <conditionalFormatting sqref="P83">
    <cfRule type="cellIs" dxfId="3029" priority="2854" operator="greaterThan">
      <formula>0</formula>
    </cfRule>
  </conditionalFormatting>
  <conditionalFormatting sqref="Q83">
    <cfRule type="cellIs" dxfId="3028" priority="2859" operator="lessThan">
      <formula>0</formula>
    </cfRule>
  </conditionalFormatting>
  <conditionalFormatting sqref="Q83">
    <cfRule type="cellIs" dxfId="3027" priority="2853" operator="lessThan">
      <formula>0</formula>
    </cfRule>
  </conditionalFormatting>
  <conditionalFormatting sqref="R83">
    <cfRule type="cellIs" dxfId="3026" priority="2851" operator="lessThan">
      <formula>0.8</formula>
    </cfRule>
    <cfRule type="cellIs" dxfId="3025" priority="2852" operator="greaterThan">
      <formula>1</formula>
    </cfRule>
  </conditionalFormatting>
  <conditionalFormatting sqref="R83">
    <cfRule type="cellIs" dxfId="3024" priority="2849" operator="greaterThan">
      <formula>1</formula>
    </cfRule>
    <cfRule type="cellIs" dxfId="3023" priority="2850" operator="lessThan">
      <formula>0.8</formula>
    </cfRule>
  </conditionalFormatting>
  <conditionalFormatting sqref="P83">
    <cfRule type="cellIs" dxfId="3022" priority="2848" operator="greaterThan">
      <formula>0</formula>
    </cfRule>
  </conditionalFormatting>
  <conditionalFormatting sqref="P83">
    <cfRule type="cellIs" dxfId="3021" priority="2842" operator="greaterThan">
      <formula>0</formula>
    </cfRule>
  </conditionalFormatting>
  <conditionalFormatting sqref="Q83">
    <cfRule type="cellIs" dxfId="3020" priority="2847" operator="lessThan">
      <formula>0</formula>
    </cfRule>
  </conditionalFormatting>
  <conditionalFormatting sqref="R83">
    <cfRule type="cellIs" dxfId="3019" priority="2845" operator="lessThan">
      <formula>0.8</formula>
    </cfRule>
    <cfRule type="cellIs" dxfId="3018" priority="2846" operator="greaterThan">
      <formula>1</formula>
    </cfRule>
  </conditionalFormatting>
  <conditionalFormatting sqref="R83">
    <cfRule type="cellIs" dxfId="3017" priority="2843" operator="greaterThan">
      <formula>1</formula>
    </cfRule>
    <cfRule type="cellIs" dxfId="3016" priority="2844" operator="lessThan">
      <formula>0.8</formula>
    </cfRule>
  </conditionalFormatting>
  <conditionalFormatting sqref="P83">
    <cfRule type="cellIs" dxfId="3015" priority="2836" operator="greaterThan">
      <formula>0</formula>
    </cfRule>
  </conditionalFormatting>
  <conditionalFormatting sqref="Q83">
    <cfRule type="cellIs" dxfId="3014" priority="2841" operator="lessThan">
      <formula>0</formula>
    </cfRule>
  </conditionalFormatting>
  <conditionalFormatting sqref="R83">
    <cfRule type="cellIs" dxfId="3013" priority="2839" operator="lessThan">
      <formula>0.8</formula>
    </cfRule>
    <cfRule type="cellIs" dxfId="3012" priority="2840" operator="greaterThan">
      <formula>1</formula>
    </cfRule>
  </conditionalFormatting>
  <conditionalFormatting sqref="R83">
    <cfRule type="cellIs" dxfId="3011" priority="2837" operator="greaterThan">
      <formula>1</formula>
    </cfRule>
    <cfRule type="cellIs" dxfId="3010" priority="2838" operator="lessThan">
      <formula>0.8</formula>
    </cfRule>
  </conditionalFormatting>
  <conditionalFormatting sqref="R83">
    <cfRule type="cellIs" dxfId="3009" priority="2833" operator="lessThan">
      <formula>0.8</formula>
    </cfRule>
    <cfRule type="cellIs" dxfId="3008" priority="2834" operator="greaterThan">
      <formula>1</formula>
    </cfRule>
  </conditionalFormatting>
  <conditionalFormatting sqref="R83">
    <cfRule type="cellIs" dxfId="3007" priority="2831" operator="greaterThan">
      <formula>1</formula>
    </cfRule>
    <cfRule type="cellIs" dxfId="3006" priority="2832" operator="lessThan">
      <formula>0.8</formula>
    </cfRule>
  </conditionalFormatting>
  <conditionalFormatting sqref="P83">
    <cfRule type="cellIs" dxfId="3005" priority="2830" operator="greaterThan">
      <formula>0</formula>
    </cfRule>
  </conditionalFormatting>
  <conditionalFormatting sqref="Q83">
    <cfRule type="cellIs" dxfId="3004" priority="2835" operator="lessThan">
      <formula>0</formula>
    </cfRule>
  </conditionalFormatting>
  <conditionalFormatting sqref="P83">
    <cfRule type="cellIs" dxfId="3003" priority="2824" operator="greaterThan">
      <formula>0</formula>
    </cfRule>
  </conditionalFormatting>
  <conditionalFormatting sqref="Q83">
    <cfRule type="cellIs" dxfId="3002" priority="2829" operator="lessThan">
      <formula>0</formula>
    </cfRule>
  </conditionalFormatting>
  <conditionalFormatting sqref="R83">
    <cfRule type="cellIs" dxfId="3001" priority="2827" operator="lessThan">
      <formula>0.8</formula>
    </cfRule>
    <cfRule type="cellIs" dxfId="3000" priority="2828" operator="greaterThan">
      <formula>1</formula>
    </cfRule>
  </conditionalFormatting>
  <conditionalFormatting sqref="R83">
    <cfRule type="cellIs" dxfId="2999" priority="2825" operator="greaterThan">
      <formula>1</formula>
    </cfRule>
    <cfRule type="cellIs" dxfId="2998" priority="2826" operator="lessThan">
      <formula>0.8</formula>
    </cfRule>
  </conditionalFormatting>
  <conditionalFormatting sqref="R83">
    <cfRule type="cellIs" dxfId="2997" priority="2821" operator="lessThan">
      <formula>0.8</formula>
    </cfRule>
    <cfRule type="cellIs" dxfId="2996" priority="2822" operator="greaterThan">
      <formula>1</formula>
    </cfRule>
  </conditionalFormatting>
  <conditionalFormatting sqref="R83">
    <cfRule type="cellIs" dxfId="2995" priority="2819" operator="greaterThan">
      <formula>1</formula>
    </cfRule>
    <cfRule type="cellIs" dxfId="2994" priority="2820" operator="lessThan">
      <formula>0.8</formula>
    </cfRule>
  </conditionalFormatting>
  <conditionalFormatting sqref="P83">
    <cfRule type="cellIs" dxfId="2993" priority="2818" operator="greaterThan">
      <formula>0</formula>
    </cfRule>
  </conditionalFormatting>
  <conditionalFormatting sqref="Q83">
    <cfRule type="cellIs" dxfId="2992" priority="2823" operator="lessThan">
      <formula>0</formula>
    </cfRule>
  </conditionalFormatting>
  <conditionalFormatting sqref="R83">
    <cfRule type="cellIs" dxfId="2991" priority="2815" operator="lessThan">
      <formula>0.8</formula>
    </cfRule>
    <cfRule type="cellIs" dxfId="2990" priority="2816" operator="greaterThan">
      <formula>1</formula>
    </cfRule>
  </conditionalFormatting>
  <conditionalFormatting sqref="R83">
    <cfRule type="cellIs" dxfId="2989" priority="2813" operator="greaterThan">
      <formula>1</formula>
    </cfRule>
    <cfRule type="cellIs" dxfId="2988" priority="2814" operator="lessThan">
      <formula>0.8</formula>
    </cfRule>
  </conditionalFormatting>
  <conditionalFormatting sqref="P83">
    <cfRule type="cellIs" dxfId="2987" priority="2812" operator="greaterThan">
      <formula>0</formula>
    </cfRule>
  </conditionalFormatting>
  <conditionalFormatting sqref="Q83">
    <cfRule type="cellIs" dxfId="2986" priority="2817" operator="lessThan">
      <formula>0</formula>
    </cfRule>
  </conditionalFormatting>
  <conditionalFormatting sqref="Q83">
    <cfRule type="cellIs" dxfId="2985" priority="2811" operator="lessThan">
      <formula>0</formula>
    </cfRule>
  </conditionalFormatting>
  <conditionalFormatting sqref="R83">
    <cfRule type="cellIs" dxfId="2984" priority="2809" operator="lessThan">
      <formula>0.8</formula>
    </cfRule>
    <cfRule type="cellIs" dxfId="2983" priority="2810" operator="greaterThan">
      <formula>1</formula>
    </cfRule>
  </conditionalFormatting>
  <conditionalFormatting sqref="R83">
    <cfRule type="cellIs" dxfId="2982" priority="2807" operator="greaterThan">
      <formula>1</formula>
    </cfRule>
    <cfRule type="cellIs" dxfId="2981" priority="2808" operator="lessThan">
      <formula>0.8</formula>
    </cfRule>
  </conditionalFormatting>
  <conditionalFormatting sqref="P83">
    <cfRule type="cellIs" dxfId="2980" priority="2806" operator="greaterThan">
      <formula>0</formula>
    </cfRule>
  </conditionalFormatting>
  <conditionalFormatting sqref="Q83">
    <cfRule type="cellIs" dxfId="2979" priority="2800" operator="lessThan">
      <formula>0</formula>
    </cfRule>
  </conditionalFormatting>
  <conditionalFormatting sqref="R83">
    <cfRule type="cellIs" dxfId="2978" priority="2804" operator="lessThan">
      <formula>0.8</formula>
    </cfRule>
    <cfRule type="cellIs" dxfId="2977" priority="2805" operator="greaterThan">
      <formula>1</formula>
    </cfRule>
  </conditionalFormatting>
  <conditionalFormatting sqref="R83">
    <cfRule type="cellIs" dxfId="2976" priority="2802" operator="greaterThan">
      <formula>1</formula>
    </cfRule>
    <cfRule type="cellIs" dxfId="2975" priority="2803" operator="lessThan">
      <formula>0.8</formula>
    </cfRule>
  </conditionalFormatting>
  <conditionalFormatting sqref="P83">
    <cfRule type="cellIs" dxfId="2974" priority="2801" operator="greaterThan">
      <formula>0</formula>
    </cfRule>
  </conditionalFormatting>
  <conditionalFormatting sqref="Q83">
    <cfRule type="cellIs" dxfId="2973" priority="2799" operator="lessThan">
      <formula>0</formula>
    </cfRule>
  </conditionalFormatting>
  <conditionalFormatting sqref="R83">
    <cfRule type="cellIs" dxfId="2972" priority="2797" operator="lessThan">
      <formula>0.8</formula>
    </cfRule>
    <cfRule type="cellIs" dxfId="2971" priority="2798" operator="greaterThan">
      <formula>1</formula>
    </cfRule>
  </conditionalFormatting>
  <conditionalFormatting sqref="R83">
    <cfRule type="cellIs" dxfId="2970" priority="2795" operator="greaterThan">
      <formula>1</formula>
    </cfRule>
    <cfRule type="cellIs" dxfId="2969" priority="2796" operator="lessThan">
      <formula>0.8</formula>
    </cfRule>
  </conditionalFormatting>
  <conditionalFormatting sqref="P83">
    <cfRule type="cellIs" dxfId="2968" priority="2794" operator="greaterThan">
      <formula>0</formula>
    </cfRule>
  </conditionalFormatting>
  <conditionalFormatting sqref="Q83">
    <cfRule type="cellIs" dxfId="2967" priority="2793" operator="lessThan">
      <formula>0</formula>
    </cfRule>
  </conditionalFormatting>
  <conditionalFormatting sqref="R83">
    <cfRule type="cellIs" dxfId="2966" priority="2791" operator="lessThan">
      <formula>0.8</formula>
    </cfRule>
    <cfRule type="cellIs" dxfId="2965" priority="2792" operator="greaterThan">
      <formula>1</formula>
    </cfRule>
  </conditionalFormatting>
  <conditionalFormatting sqref="R83">
    <cfRule type="cellIs" dxfId="2964" priority="2789" operator="greaterThan">
      <formula>1</formula>
    </cfRule>
    <cfRule type="cellIs" dxfId="2963" priority="2790" operator="lessThan">
      <formula>0.8</formula>
    </cfRule>
  </conditionalFormatting>
  <conditionalFormatting sqref="P83">
    <cfRule type="cellIs" dxfId="2962" priority="2788" operator="greaterThan">
      <formula>0</formula>
    </cfRule>
  </conditionalFormatting>
  <conditionalFormatting sqref="Q83">
    <cfRule type="cellIs" dxfId="2961" priority="2787" operator="lessThan">
      <formula>0</formula>
    </cfRule>
  </conditionalFormatting>
  <conditionalFormatting sqref="R83">
    <cfRule type="cellIs" dxfId="2960" priority="2785" operator="lessThan">
      <formula>0.8</formula>
    </cfRule>
    <cfRule type="cellIs" dxfId="2959" priority="2786" operator="greaterThan">
      <formula>1</formula>
    </cfRule>
  </conditionalFormatting>
  <conditionalFormatting sqref="R83">
    <cfRule type="cellIs" dxfId="2958" priority="2783" operator="greaterThan">
      <formula>1</formula>
    </cfRule>
    <cfRule type="cellIs" dxfId="2957" priority="2784" operator="lessThan">
      <formula>0.8</formula>
    </cfRule>
  </conditionalFormatting>
  <conditionalFormatting sqref="P83">
    <cfRule type="cellIs" dxfId="2956" priority="2782" operator="greaterThan">
      <formula>0</formula>
    </cfRule>
  </conditionalFormatting>
  <conditionalFormatting sqref="Q83">
    <cfRule type="cellIs" dxfId="2955" priority="2781" operator="lessThan">
      <formula>0</formula>
    </cfRule>
  </conditionalFormatting>
  <conditionalFormatting sqref="R83">
    <cfRule type="cellIs" dxfId="2954" priority="2779" operator="lessThan">
      <formula>0.8</formula>
    </cfRule>
    <cfRule type="cellIs" dxfId="2953" priority="2780" operator="greaterThan">
      <formula>1</formula>
    </cfRule>
  </conditionalFormatting>
  <conditionalFormatting sqref="R83">
    <cfRule type="cellIs" dxfId="2952" priority="2777" operator="greaterThan">
      <formula>1</formula>
    </cfRule>
    <cfRule type="cellIs" dxfId="2951" priority="2778" operator="lessThan">
      <formula>0.8</formula>
    </cfRule>
  </conditionalFormatting>
  <conditionalFormatting sqref="P83">
    <cfRule type="cellIs" dxfId="2950" priority="2776" operator="greaterThan">
      <formula>0</formula>
    </cfRule>
  </conditionalFormatting>
  <conditionalFormatting sqref="Q83">
    <cfRule type="cellIs" dxfId="2949" priority="2775" operator="lessThan">
      <formula>0</formula>
    </cfRule>
  </conditionalFormatting>
  <conditionalFormatting sqref="R83">
    <cfRule type="cellIs" dxfId="2948" priority="2773" operator="lessThan">
      <formula>0.8</formula>
    </cfRule>
    <cfRule type="cellIs" dxfId="2947" priority="2774" operator="greaterThan">
      <formula>1</formula>
    </cfRule>
  </conditionalFormatting>
  <conditionalFormatting sqref="R83">
    <cfRule type="cellIs" dxfId="2946" priority="2771" operator="greaterThan">
      <formula>1</formula>
    </cfRule>
    <cfRule type="cellIs" dxfId="2945" priority="2772" operator="lessThan">
      <formula>0.8</formula>
    </cfRule>
  </conditionalFormatting>
  <conditionalFormatting sqref="P83">
    <cfRule type="cellIs" dxfId="2944" priority="2770" operator="greaterThan">
      <formula>0</formula>
    </cfRule>
  </conditionalFormatting>
  <conditionalFormatting sqref="P83">
    <cfRule type="cellIs" dxfId="2943" priority="2764" operator="greaterThan">
      <formula>0</formula>
    </cfRule>
  </conditionalFormatting>
  <conditionalFormatting sqref="Q83">
    <cfRule type="cellIs" dxfId="2942" priority="2769" operator="lessThan">
      <formula>0</formula>
    </cfRule>
  </conditionalFormatting>
  <conditionalFormatting sqref="R83">
    <cfRule type="cellIs" dxfId="2941" priority="2767" operator="lessThan">
      <formula>0.8</formula>
    </cfRule>
    <cfRule type="cellIs" dxfId="2940" priority="2768" operator="greaterThan">
      <formula>1</formula>
    </cfRule>
  </conditionalFormatting>
  <conditionalFormatting sqref="R83">
    <cfRule type="cellIs" dxfId="2939" priority="2765" operator="greaterThan">
      <formula>1</formula>
    </cfRule>
    <cfRule type="cellIs" dxfId="2938" priority="2766" operator="lessThan">
      <formula>0.8</formula>
    </cfRule>
  </conditionalFormatting>
  <conditionalFormatting sqref="P83">
    <cfRule type="cellIs" dxfId="2937" priority="2758" operator="greaterThan">
      <formula>0</formula>
    </cfRule>
  </conditionalFormatting>
  <conditionalFormatting sqref="Q83">
    <cfRule type="cellIs" dxfId="2936" priority="2763" operator="lessThan">
      <formula>0</formula>
    </cfRule>
  </conditionalFormatting>
  <conditionalFormatting sqref="R83">
    <cfRule type="cellIs" dxfId="2935" priority="2761" operator="lessThan">
      <formula>0.8</formula>
    </cfRule>
    <cfRule type="cellIs" dxfId="2934" priority="2762" operator="greaterThan">
      <formula>1</formula>
    </cfRule>
  </conditionalFormatting>
  <conditionalFormatting sqref="R83">
    <cfRule type="cellIs" dxfId="2933" priority="2759" operator="greaterThan">
      <formula>1</formula>
    </cfRule>
    <cfRule type="cellIs" dxfId="2932" priority="2760" operator="lessThan">
      <formula>0.8</formula>
    </cfRule>
  </conditionalFormatting>
  <conditionalFormatting sqref="R83">
    <cfRule type="cellIs" dxfId="2931" priority="2755" operator="lessThan">
      <formula>0.8</formula>
    </cfRule>
    <cfRule type="cellIs" dxfId="2930" priority="2756" operator="greaterThan">
      <formula>1</formula>
    </cfRule>
  </conditionalFormatting>
  <conditionalFormatting sqref="R83">
    <cfRule type="cellIs" dxfId="2929" priority="2753" operator="greaterThan">
      <formula>1</formula>
    </cfRule>
    <cfRule type="cellIs" dxfId="2928" priority="2754" operator="lessThan">
      <formula>0.8</formula>
    </cfRule>
  </conditionalFormatting>
  <conditionalFormatting sqref="P83">
    <cfRule type="cellIs" dxfId="2927" priority="2752" operator="greaterThan">
      <formula>0</formula>
    </cfRule>
  </conditionalFormatting>
  <conditionalFormatting sqref="Q83">
    <cfRule type="cellIs" dxfId="2926" priority="2757" operator="lessThan">
      <formula>0</formula>
    </cfRule>
  </conditionalFormatting>
  <conditionalFormatting sqref="Q83">
    <cfRule type="cellIs" dxfId="2925" priority="2751" operator="lessThan">
      <formula>0</formula>
    </cfRule>
  </conditionalFormatting>
  <conditionalFormatting sqref="R83">
    <cfRule type="cellIs" dxfId="2924" priority="2749" operator="lessThan">
      <formula>0.8</formula>
    </cfRule>
    <cfRule type="cellIs" dxfId="2923" priority="2750" operator="greaterThan">
      <formula>1</formula>
    </cfRule>
  </conditionalFormatting>
  <conditionalFormatting sqref="R83">
    <cfRule type="cellIs" dxfId="2922" priority="2747" operator="greaterThan">
      <formula>1</formula>
    </cfRule>
    <cfRule type="cellIs" dxfId="2921" priority="2748" operator="lessThan">
      <formula>0.8</formula>
    </cfRule>
  </conditionalFormatting>
  <conditionalFormatting sqref="P83">
    <cfRule type="cellIs" dxfId="2920" priority="2746" operator="greaterThan">
      <formula>0</formula>
    </cfRule>
  </conditionalFormatting>
  <conditionalFormatting sqref="Q83">
    <cfRule type="cellIs" dxfId="2919" priority="2745" operator="lessThan">
      <formula>0</formula>
    </cfRule>
  </conditionalFormatting>
  <conditionalFormatting sqref="R83">
    <cfRule type="cellIs" dxfId="2918" priority="2743" operator="lessThan">
      <formula>0.8</formula>
    </cfRule>
    <cfRule type="cellIs" dxfId="2917" priority="2744" operator="greaterThan">
      <formula>1</formula>
    </cfRule>
  </conditionalFormatting>
  <conditionalFormatting sqref="R83">
    <cfRule type="cellIs" dxfId="2916" priority="2741" operator="greaterThan">
      <formula>1</formula>
    </cfRule>
    <cfRule type="cellIs" dxfId="2915" priority="2742" operator="lessThan">
      <formula>0.8</formula>
    </cfRule>
  </conditionalFormatting>
  <conditionalFormatting sqref="P83">
    <cfRule type="cellIs" dxfId="2914" priority="2740" operator="greaterThan">
      <formula>0</formula>
    </cfRule>
  </conditionalFormatting>
  <conditionalFormatting sqref="Q83">
    <cfRule type="cellIs" dxfId="2913" priority="2739" operator="lessThan">
      <formula>0</formula>
    </cfRule>
  </conditionalFormatting>
  <conditionalFormatting sqref="R83">
    <cfRule type="cellIs" dxfId="2912" priority="2737" operator="lessThan">
      <formula>0.8</formula>
    </cfRule>
    <cfRule type="cellIs" dxfId="2911" priority="2738" operator="greaterThan">
      <formula>1</formula>
    </cfRule>
  </conditionalFormatting>
  <conditionalFormatting sqref="R83">
    <cfRule type="cellIs" dxfId="2910" priority="2735" operator="greaterThan">
      <formula>1</formula>
    </cfRule>
    <cfRule type="cellIs" dxfId="2909" priority="2736" operator="lessThan">
      <formula>0.8</formula>
    </cfRule>
  </conditionalFormatting>
  <conditionalFormatting sqref="P83">
    <cfRule type="cellIs" dxfId="2908" priority="2734" operator="greaterThan">
      <formula>0</formula>
    </cfRule>
  </conditionalFormatting>
  <conditionalFormatting sqref="Q83">
    <cfRule type="cellIs" dxfId="2907" priority="2733" operator="lessThan">
      <formula>0</formula>
    </cfRule>
  </conditionalFormatting>
  <conditionalFormatting sqref="R83">
    <cfRule type="cellIs" dxfId="2906" priority="2731" operator="lessThan">
      <formula>0.8</formula>
    </cfRule>
    <cfRule type="cellIs" dxfId="2905" priority="2732" operator="greaterThan">
      <formula>1</formula>
    </cfRule>
  </conditionalFormatting>
  <conditionalFormatting sqref="R83">
    <cfRule type="cellIs" dxfId="2904" priority="2729" operator="greaterThan">
      <formula>1</formula>
    </cfRule>
    <cfRule type="cellIs" dxfId="2903" priority="2730" operator="lessThan">
      <formula>0.8</formula>
    </cfRule>
  </conditionalFormatting>
  <conditionalFormatting sqref="P83">
    <cfRule type="cellIs" dxfId="2902" priority="2728" operator="greaterThan">
      <formula>0</formula>
    </cfRule>
  </conditionalFormatting>
  <conditionalFormatting sqref="P83">
    <cfRule type="cellIs" dxfId="2901" priority="2722" operator="greaterThan">
      <formula>0</formula>
    </cfRule>
  </conditionalFormatting>
  <conditionalFormatting sqref="Q83">
    <cfRule type="cellIs" dxfId="2900" priority="2727" operator="lessThan">
      <formula>0</formula>
    </cfRule>
  </conditionalFormatting>
  <conditionalFormatting sqref="R83">
    <cfRule type="cellIs" dxfId="2899" priority="2725" operator="lessThan">
      <formula>0.8</formula>
    </cfRule>
    <cfRule type="cellIs" dxfId="2898" priority="2726" operator="greaterThan">
      <formula>1</formula>
    </cfRule>
  </conditionalFormatting>
  <conditionalFormatting sqref="R83">
    <cfRule type="cellIs" dxfId="2897" priority="2723" operator="greaterThan">
      <formula>1</formula>
    </cfRule>
    <cfRule type="cellIs" dxfId="2896" priority="2724" operator="lessThan">
      <formula>0.8</formula>
    </cfRule>
  </conditionalFormatting>
  <conditionalFormatting sqref="P83">
    <cfRule type="cellIs" dxfId="2895" priority="2716" operator="greaterThan">
      <formula>0</formula>
    </cfRule>
  </conditionalFormatting>
  <conditionalFormatting sqref="Q83">
    <cfRule type="cellIs" dxfId="2894" priority="2721" operator="lessThan">
      <formula>0</formula>
    </cfRule>
  </conditionalFormatting>
  <conditionalFormatting sqref="R83">
    <cfRule type="cellIs" dxfId="2893" priority="2719" operator="lessThan">
      <formula>0.8</formula>
    </cfRule>
    <cfRule type="cellIs" dxfId="2892" priority="2720" operator="greaterThan">
      <formula>1</formula>
    </cfRule>
  </conditionalFormatting>
  <conditionalFormatting sqref="R83">
    <cfRule type="cellIs" dxfId="2891" priority="2717" operator="greaterThan">
      <formula>1</formula>
    </cfRule>
    <cfRule type="cellIs" dxfId="2890" priority="2718" operator="lessThan">
      <formula>0.8</formula>
    </cfRule>
  </conditionalFormatting>
  <conditionalFormatting sqref="R83">
    <cfRule type="cellIs" dxfId="2889" priority="2713" operator="lessThan">
      <formula>0.8</formula>
    </cfRule>
    <cfRule type="cellIs" dxfId="2888" priority="2714" operator="greaterThan">
      <formula>1</formula>
    </cfRule>
  </conditionalFormatting>
  <conditionalFormatting sqref="R83">
    <cfRule type="cellIs" dxfId="2887" priority="2711" operator="greaterThan">
      <formula>1</formula>
    </cfRule>
    <cfRule type="cellIs" dxfId="2886" priority="2712" operator="lessThan">
      <formula>0.8</formula>
    </cfRule>
  </conditionalFormatting>
  <conditionalFormatting sqref="P83">
    <cfRule type="cellIs" dxfId="2885" priority="2710" operator="greaterThan">
      <formula>0</formula>
    </cfRule>
  </conditionalFormatting>
  <conditionalFormatting sqref="Q83">
    <cfRule type="cellIs" dxfId="2884" priority="2715" operator="lessThan">
      <formula>0</formula>
    </cfRule>
  </conditionalFormatting>
  <conditionalFormatting sqref="Q83">
    <cfRule type="cellIs" dxfId="2883" priority="2709" operator="lessThan">
      <formula>0</formula>
    </cfRule>
  </conditionalFormatting>
  <conditionalFormatting sqref="R83">
    <cfRule type="cellIs" dxfId="2882" priority="2707" operator="lessThan">
      <formula>0.8</formula>
    </cfRule>
    <cfRule type="cellIs" dxfId="2881" priority="2708" operator="greaterThan">
      <formula>1</formula>
    </cfRule>
  </conditionalFormatting>
  <conditionalFormatting sqref="R83">
    <cfRule type="cellIs" dxfId="2880" priority="2705" operator="greaterThan">
      <formula>1</formula>
    </cfRule>
    <cfRule type="cellIs" dxfId="2879" priority="2706" operator="lessThan">
      <formula>0.8</formula>
    </cfRule>
  </conditionalFormatting>
  <conditionalFormatting sqref="P83">
    <cfRule type="cellIs" dxfId="2878" priority="2704" operator="greaterThan">
      <formula>0</formula>
    </cfRule>
  </conditionalFormatting>
  <conditionalFormatting sqref="P83">
    <cfRule type="cellIs" dxfId="2877" priority="2698" operator="greaterThan">
      <formula>0</formula>
    </cfRule>
  </conditionalFormatting>
  <conditionalFormatting sqref="Q83">
    <cfRule type="cellIs" dxfId="2876" priority="2703" operator="lessThan">
      <formula>0</formula>
    </cfRule>
  </conditionalFormatting>
  <conditionalFormatting sqref="R83">
    <cfRule type="cellIs" dxfId="2875" priority="2701" operator="lessThan">
      <formula>0.8</formula>
    </cfRule>
    <cfRule type="cellIs" dxfId="2874" priority="2702" operator="greaterThan">
      <formula>1</formula>
    </cfRule>
  </conditionalFormatting>
  <conditionalFormatting sqref="R83">
    <cfRule type="cellIs" dxfId="2873" priority="2699" operator="greaterThan">
      <formula>1</formula>
    </cfRule>
    <cfRule type="cellIs" dxfId="2872" priority="2700" operator="lessThan">
      <formula>0.8</formula>
    </cfRule>
  </conditionalFormatting>
  <conditionalFormatting sqref="P83">
    <cfRule type="cellIs" dxfId="2871" priority="2692" operator="greaterThan">
      <formula>0</formula>
    </cfRule>
  </conditionalFormatting>
  <conditionalFormatting sqref="Q83">
    <cfRule type="cellIs" dxfId="2870" priority="2697" operator="lessThan">
      <formula>0</formula>
    </cfRule>
  </conditionalFormatting>
  <conditionalFormatting sqref="R83">
    <cfRule type="cellIs" dxfId="2869" priority="2695" operator="lessThan">
      <formula>0.8</formula>
    </cfRule>
    <cfRule type="cellIs" dxfId="2868" priority="2696" operator="greaterThan">
      <formula>1</formula>
    </cfRule>
  </conditionalFormatting>
  <conditionalFormatting sqref="R83">
    <cfRule type="cellIs" dxfId="2867" priority="2693" operator="greaterThan">
      <formula>1</formula>
    </cfRule>
    <cfRule type="cellIs" dxfId="2866" priority="2694" operator="lessThan">
      <formula>0.8</formula>
    </cfRule>
  </conditionalFormatting>
  <conditionalFormatting sqref="R83">
    <cfRule type="cellIs" dxfId="2865" priority="2689" operator="lessThan">
      <formula>0.8</formula>
    </cfRule>
    <cfRule type="cellIs" dxfId="2864" priority="2690" operator="greaterThan">
      <formula>1</formula>
    </cfRule>
  </conditionalFormatting>
  <conditionalFormatting sqref="R83">
    <cfRule type="cellIs" dxfId="2863" priority="2687" operator="greaterThan">
      <formula>1</formula>
    </cfRule>
    <cfRule type="cellIs" dxfId="2862" priority="2688" operator="lessThan">
      <formula>0.8</formula>
    </cfRule>
  </conditionalFormatting>
  <conditionalFormatting sqref="P83">
    <cfRule type="cellIs" dxfId="2861" priority="2686" operator="greaterThan">
      <formula>0</formula>
    </cfRule>
  </conditionalFormatting>
  <conditionalFormatting sqref="Q83">
    <cfRule type="cellIs" dxfId="2860" priority="2691" operator="lessThan">
      <formula>0</formula>
    </cfRule>
  </conditionalFormatting>
  <conditionalFormatting sqref="P83">
    <cfRule type="cellIs" dxfId="2859" priority="2680" operator="greaterThan">
      <formula>0</formula>
    </cfRule>
  </conditionalFormatting>
  <conditionalFormatting sqref="Q83">
    <cfRule type="cellIs" dxfId="2858" priority="2685" operator="lessThan">
      <formula>0</formula>
    </cfRule>
  </conditionalFormatting>
  <conditionalFormatting sqref="R83">
    <cfRule type="cellIs" dxfId="2857" priority="2683" operator="lessThan">
      <formula>0.8</formula>
    </cfRule>
    <cfRule type="cellIs" dxfId="2856" priority="2684" operator="greaterThan">
      <formula>1</formula>
    </cfRule>
  </conditionalFormatting>
  <conditionalFormatting sqref="R83">
    <cfRule type="cellIs" dxfId="2855" priority="2681" operator="greaterThan">
      <formula>1</formula>
    </cfRule>
    <cfRule type="cellIs" dxfId="2854" priority="2682" operator="lessThan">
      <formula>0.8</formula>
    </cfRule>
  </conditionalFormatting>
  <conditionalFormatting sqref="R83">
    <cfRule type="cellIs" dxfId="2853" priority="2677" operator="lessThan">
      <formula>0.8</formula>
    </cfRule>
    <cfRule type="cellIs" dxfId="2852" priority="2678" operator="greaterThan">
      <formula>1</formula>
    </cfRule>
  </conditionalFormatting>
  <conditionalFormatting sqref="R83">
    <cfRule type="cellIs" dxfId="2851" priority="2675" operator="greaterThan">
      <formula>1</formula>
    </cfRule>
    <cfRule type="cellIs" dxfId="2850" priority="2676" operator="lessThan">
      <formula>0.8</formula>
    </cfRule>
  </conditionalFormatting>
  <conditionalFormatting sqref="P83">
    <cfRule type="cellIs" dxfId="2849" priority="2674" operator="greaterThan">
      <formula>0</formula>
    </cfRule>
  </conditionalFormatting>
  <conditionalFormatting sqref="Q83">
    <cfRule type="cellIs" dxfId="2848" priority="2679" operator="lessThan">
      <formula>0</formula>
    </cfRule>
  </conditionalFormatting>
  <conditionalFormatting sqref="R83">
    <cfRule type="cellIs" dxfId="2847" priority="2671" operator="lessThan">
      <formula>0.8</formula>
    </cfRule>
    <cfRule type="cellIs" dxfId="2846" priority="2672" operator="greaterThan">
      <formula>1</formula>
    </cfRule>
  </conditionalFormatting>
  <conditionalFormatting sqref="R83">
    <cfRule type="cellIs" dxfId="2845" priority="2669" operator="greaterThan">
      <formula>1</formula>
    </cfRule>
    <cfRule type="cellIs" dxfId="2844" priority="2670" operator="lessThan">
      <formula>0.8</formula>
    </cfRule>
  </conditionalFormatting>
  <conditionalFormatting sqref="P83">
    <cfRule type="cellIs" dxfId="2843" priority="2668" operator="greaterThan">
      <formula>0</formula>
    </cfRule>
  </conditionalFormatting>
  <conditionalFormatting sqref="Q83">
    <cfRule type="cellIs" dxfId="2842" priority="2673" operator="lessThan">
      <formula>0</formula>
    </cfRule>
  </conditionalFormatting>
  <conditionalFormatting sqref="Q83">
    <cfRule type="cellIs" dxfId="2841" priority="2667" operator="lessThan">
      <formula>0</formula>
    </cfRule>
  </conditionalFormatting>
  <conditionalFormatting sqref="R83">
    <cfRule type="cellIs" dxfId="2840" priority="2665" operator="lessThan">
      <formula>0.8</formula>
    </cfRule>
    <cfRule type="cellIs" dxfId="2839" priority="2666" operator="greaterThan">
      <formula>1</formula>
    </cfRule>
  </conditionalFormatting>
  <conditionalFormatting sqref="R83">
    <cfRule type="cellIs" dxfId="2838" priority="2663" operator="greaterThan">
      <formula>1</formula>
    </cfRule>
    <cfRule type="cellIs" dxfId="2837" priority="2664" operator="lessThan">
      <formula>0.8</formula>
    </cfRule>
  </conditionalFormatting>
  <conditionalFormatting sqref="P83">
    <cfRule type="cellIs" dxfId="2836" priority="2662" operator="greaterThan">
      <formula>0</formula>
    </cfRule>
  </conditionalFormatting>
  <conditionalFormatting sqref="Q83">
    <cfRule type="cellIs" dxfId="2835" priority="2656" operator="lessThan">
      <formula>0</formula>
    </cfRule>
  </conditionalFormatting>
  <conditionalFormatting sqref="R83">
    <cfRule type="cellIs" dxfId="2834" priority="2660" operator="lessThan">
      <formula>0.8</formula>
    </cfRule>
    <cfRule type="cellIs" dxfId="2833" priority="2661" operator="greaterThan">
      <formula>1</formula>
    </cfRule>
  </conditionalFormatting>
  <conditionalFormatting sqref="R83">
    <cfRule type="cellIs" dxfId="2832" priority="2658" operator="greaterThan">
      <formula>1</formula>
    </cfRule>
    <cfRule type="cellIs" dxfId="2831" priority="2659" operator="lessThan">
      <formula>0.8</formula>
    </cfRule>
  </conditionalFormatting>
  <conditionalFormatting sqref="P83">
    <cfRule type="cellIs" dxfId="2830" priority="2657" operator="greaterThan">
      <formula>0</formula>
    </cfRule>
  </conditionalFormatting>
  <conditionalFormatting sqref="Q83">
    <cfRule type="cellIs" dxfId="2829" priority="2655" operator="lessThan">
      <formula>0</formula>
    </cfRule>
  </conditionalFormatting>
  <conditionalFormatting sqref="R83">
    <cfRule type="cellIs" dxfId="2828" priority="2653" operator="lessThan">
      <formula>0.8</formula>
    </cfRule>
    <cfRule type="cellIs" dxfId="2827" priority="2654" operator="greaterThan">
      <formula>1</formula>
    </cfRule>
  </conditionalFormatting>
  <conditionalFormatting sqref="R83">
    <cfRule type="cellIs" dxfId="2826" priority="2651" operator="greaterThan">
      <formula>1</formula>
    </cfRule>
    <cfRule type="cellIs" dxfId="2825" priority="2652" operator="lessThan">
      <formula>0.8</formula>
    </cfRule>
  </conditionalFormatting>
  <conditionalFormatting sqref="P83">
    <cfRule type="cellIs" dxfId="2824" priority="2650" operator="greaterThan">
      <formula>0</formula>
    </cfRule>
  </conditionalFormatting>
  <conditionalFormatting sqref="Q83">
    <cfRule type="cellIs" dxfId="2823" priority="2649" operator="lessThan">
      <formula>0</formula>
    </cfRule>
  </conditionalFormatting>
  <conditionalFormatting sqref="R83">
    <cfRule type="cellIs" dxfId="2822" priority="2647" operator="lessThan">
      <formula>0.8</formula>
    </cfRule>
    <cfRule type="cellIs" dxfId="2821" priority="2648" operator="greaterThan">
      <formula>1</formula>
    </cfRule>
  </conditionalFormatting>
  <conditionalFormatting sqref="R83">
    <cfRule type="cellIs" dxfId="2820" priority="2645" operator="greaterThan">
      <formula>1</formula>
    </cfRule>
    <cfRule type="cellIs" dxfId="2819" priority="2646" operator="lessThan">
      <formula>0.8</formula>
    </cfRule>
  </conditionalFormatting>
  <conditionalFormatting sqref="P83">
    <cfRule type="cellIs" dxfId="2818" priority="2644" operator="greaterThan">
      <formula>0</formula>
    </cfRule>
  </conditionalFormatting>
  <conditionalFormatting sqref="Q83">
    <cfRule type="cellIs" dxfId="2817" priority="2643" operator="lessThan">
      <formula>0</formula>
    </cfRule>
  </conditionalFormatting>
  <conditionalFormatting sqref="R83">
    <cfRule type="cellIs" dxfId="2816" priority="2641" operator="lessThan">
      <formula>0.8</formula>
    </cfRule>
    <cfRule type="cellIs" dxfId="2815" priority="2642" operator="greaterThan">
      <formula>1</formula>
    </cfRule>
  </conditionalFormatting>
  <conditionalFormatting sqref="R83">
    <cfRule type="cellIs" dxfId="2814" priority="2639" operator="greaterThan">
      <formula>1</formula>
    </cfRule>
    <cfRule type="cellIs" dxfId="2813" priority="2640" operator="lessThan">
      <formula>0.8</formula>
    </cfRule>
  </conditionalFormatting>
  <conditionalFormatting sqref="P83">
    <cfRule type="cellIs" dxfId="2812" priority="2638" operator="greaterThan">
      <formula>0</formula>
    </cfRule>
  </conditionalFormatting>
  <conditionalFormatting sqref="Q83">
    <cfRule type="cellIs" dxfId="2811" priority="2637" operator="lessThan">
      <formula>0</formula>
    </cfRule>
  </conditionalFormatting>
  <conditionalFormatting sqref="R83">
    <cfRule type="cellIs" dxfId="2810" priority="2635" operator="lessThan">
      <formula>0.8</formula>
    </cfRule>
    <cfRule type="cellIs" dxfId="2809" priority="2636" operator="greaterThan">
      <formula>1</formula>
    </cfRule>
  </conditionalFormatting>
  <conditionalFormatting sqref="R83">
    <cfRule type="cellIs" dxfId="2808" priority="2633" operator="greaterThan">
      <formula>1</formula>
    </cfRule>
    <cfRule type="cellIs" dxfId="2807" priority="2634" operator="lessThan">
      <formula>0.8</formula>
    </cfRule>
  </conditionalFormatting>
  <conditionalFormatting sqref="P83">
    <cfRule type="cellIs" dxfId="2806" priority="2632" operator="greaterThan">
      <formula>0</formula>
    </cfRule>
  </conditionalFormatting>
  <conditionalFormatting sqref="Q83">
    <cfRule type="cellIs" dxfId="2805" priority="2631" operator="lessThan">
      <formula>0</formula>
    </cfRule>
  </conditionalFormatting>
  <conditionalFormatting sqref="R83">
    <cfRule type="cellIs" dxfId="2804" priority="2629" operator="lessThan">
      <formula>0.8</formula>
    </cfRule>
    <cfRule type="cellIs" dxfId="2803" priority="2630" operator="greaterThan">
      <formula>1</formula>
    </cfRule>
  </conditionalFormatting>
  <conditionalFormatting sqref="R83">
    <cfRule type="cellIs" dxfId="2802" priority="2627" operator="greaterThan">
      <formula>1</formula>
    </cfRule>
    <cfRule type="cellIs" dxfId="2801" priority="2628" operator="lessThan">
      <formula>0.8</formula>
    </cfRule>
  </conditionalFormatting>
  <conditionalFormatting sqref="P83">
    <cfRule type="cellIs" dxfId="2800" priority="2626" operator="greaterThan">
      <formula>0</formula>
    </cfRule>
  </conditionalFormatting>
  <conditionalFormatting sqref="P83">
    <cfRule type="cellIs" dxfId="2799" priority="2620" operator="greaterThan">
      <formula>0</formula>
    </cfRule>
  </conditionalFormatting>
  <conditionalFormatting sqref="Q83">
    <cfRule type="cellIs" dxfId="2798" priority="2625" operator="lessThan">
      <formula>0</formula>
    </cfRule>
  </conditionalFormatting>
  <conditionalFormatting sqref="R83">
    <cfRule type="cellIs" dxfId="2797" priority="2623" operator="lessThan">
      <formula>0.8</formula>
    </cfRule>
    <cfRule type="cellIs" dxfId="2796" priority="2624" operator="greaterThan">
      <formula>1</formula>
    </cfRule>
  </conditionalFormatting>
  <conditionalFormatting sqref="R83">
    <cfRule type="cellIs" dxfId="2795" priority="2621" operator="greaterThan">
      <formula>1</formula>
    </cfRule>
    <cfRule type="cellIs" dxfId="2794" priority="2622" operator="lessThan">
      <formula>0.8</formula>
    </cfRule>
  </conditionalFormatting>
  <conditionalFormatting sqref="P83">
    <cfRule type="cellIs" dxfId="2793" priority="2614" operator="greaterThan">
      <formula>0</formula>
    </cfRule>
  </conditionalFormatting>
  <conditionalFormatting sqref="Q83">
    <cfRule type="cellIs" dxfId="2792" priority="2619" operator="lessThan">
      <formula>0</formula>
    </cfRule>
  </conditionalFormatting>
  <conditionalFormatting sqref="R83">
    <cfRule type="cellIs" dxfId="2791" priority="2617" operator="lessThan">
      <formula>0.8</formula>
    </cfRule>
    <cfRule type="cellIs" dxfId="2790" priority="2618" operator="greaterThan">
      <formula>1</formula>
    </cfRule>
  </conditionalFormatting>
  <conditionalFormatting sqref="R83">
    <cfRule type="cellIs" dxfId="2789" priority="2615" operator="greaterThan">
      <formula>1</formula>
    </cfRule>
    <cfRule type="cellIs" dxfId="2788" priority="2616" operator="lessThan">
      <formula>0.8</formula>
    </cfRule>
  </conditionalFormatting>
  <conditionalFormatting sqref="R83">
    <cfRule type="cellIs" dxfId="2787" priority="2611" operator="lessThan">
      <formula>0.8</formula>
    </cfRule>
    <cfRule type="cellIs" dxfId="2786" priority="2612" operator="greaterThan">
      <formula>1</formula>
    </cfRule>
  </conditionalFormatting>
  <conditionalFormatting sqref="R83">
    <cfRule type="cellIs" dxfId="2785" priority="2609" operator="greaterThan">
      <formula>1</formula>
    </cfRule>
    <cfRule type="cellIs" dxfId="2784" priority="2610" operator="lessThan">
      <formula>0.8</formula>
    </cfRule>
  </conditionalFormatting>
  <conditionalFormatting sqref="P83">
    <cfRule type="cellIs" dxfId="2783" priority="2608" operator="greaterThan">
      <formula>0</formula>
    </cfRule>
  </conditionalFormatting>
  <conditionalFormatting sqref="Q83">
    <cfRule type="cellIs" dxfId="2782" priority="2613" operator="lessThan">
      <formula>0</formula>
    </cfRule>
  </conditionalFormatting>
  <conditionalFormatting sqref="Q83">
    <cfRule type="cellIs" dxfId="2781" priority="2602" operator="lessThan">
      <formula>0</formula>
    </cfRule>
  </conditionalFormatting>
  <conditionalFormatting sqref="P83">
    <cfRule type="cellIs" dxfId="2780" priority="2603" operator="greaterThan">
      <formula>0</formula>
    </cfRule>
  </conditionalFormatting>
  <conditionalFormatting sqref="R83">
    <cfRule type="cellIs" dxfId="2779" priority="2606" operator="lessThan">
      <formula>0.8</formula>
    </cfRule>
    <cfRule type="cellIs" dxfId="2778" priority="2607" operator="greaterThan">
      <formula>1</formula>
    </cfRule>
  </conditionalFormatting>
  <conditionalFormatting sqref="R83">
    <cfRule type="cellIs" dxfId="2777" priority="2604" operator="greaterThan">
      <formula>1</formula>
    </cfRule>
    <cfRule type="cellIs" dxfId="2776" priority="2605" operator="lessThan">
      <formula>0.8</formula>
    </cfRule>
  </conditionalFormatting>
  <conditionalFormatting sqref="Q83">
    <cfRule type="cellIs" dxfId="2775" priority="2596" operator="lessThan">
      <formula>0</formula>
    </cfRule>
  </conditionalFormatting>
  <conditionalFormatting sqref="R83">
    <cfRule type="cellIs" dxfId="2774" priority="2600" operator="lessThan">
      <formula>0.8</formula>
    </cfRule>
    <cfRule type="cellIs" dxfId="2773" priority="2601" operator="greaterThan">
      <formula>1</formula>
    </cfRule>
  </conditionalFormatting>
  <conditionalFormatting sqref="R83">
    <cfRule type="cellIs" dxfId="2772" priority="2598" operator="greaterThan">
      <formula>1</formula>
    </cfRule>
    <cfRule type="cellIs" dxfId="2771" priority="2599" operator="lessThan">
      <formula>0.8</formula>
    </cfRule>
  </conditionalFormatting>
  <conditionalFormatting sqref="P83">
    <cfRule type="cellIs" dxfId="2770" priority="2597" operator="greaterThan">
      <formula>0</formula>
    </cfRule>
  </conditionalFormatting>
  <conditionalFormatting sqref="Q83">
    <cfRule type="cellIs" dxfId="2769" priority="2595" operator="lessThan">
      <formula>0</formula>
    </cfRule>
  </conditionalFormatting>
  <conditionalFormatting sqref="R83">
    <cfRule type="cellIs" dxfId="2768" priority="2593" operator="lessThan">
      <formula>0.8</formula>
    </cfRule>
    <cfRule type="cellIs" dxfId="2767" priority="2594" operator="greaterThan">
      <formula>1</formula>
    </cfRule>
  </conditionalFormatting>
  <conditionalFormatting sqref="R83">
    <cfRule type="cellIs" dxfId="2766" priority="2591" operator="greaterThan">
      <formula>1</formula>
    </cfRule>
    <cfRule type="cellIs" dxfId="2765" priority="2592" operator="lessThan">
      <formula>0.8</formula>
    </cfRule>
  </conditionalFormatting>
  <conditionalFormatting sqref="P83">
    <cfRule type="cellIs" dxfId="2764" priority="2590" operator="greaterThan">
      <formula>0</formula>
    </cfRule>
  </conditionalFormatting>
  <conditionalFormatting sqref="Q83">
    <cfRule type="cellIs" dxfId="2763" priority="2589" operator="lessThan">
      <formula>0</formula>
    </cfRule>
  </conditionalFormatting>
  <conditionalFormatting sqref="R83">
    <cfRule type="cellIs" dxfId="2762" priority="2587" operator="lessThan">
      <formula>0.8</formula>
    </cfRule>
    <cfRule type="cellIs" dxfId="2761" priority="2588" operator="greaterThan">
      <formula>1</formula>
    </cfRule>
  </conditionalFormatting>
  <conditionalFormatting sqref="R83">
    <cfRule type="cellIs" dxfId="2760" priority="2585" operator="greaterThan">
      <formula>1</formula>
    </cfRule>
    <cfRule type="cellIs" dxfId="2759" priority="2586" operator="lessThan">
      <formula>0.8</formula>
    </cfRule>
  </conditionalFormatting>
  <conditionalFormatting sqref="P83">
    <cfRule type="cellIs" dxfId="2758" priority="2584" operator="greaterThan">
      <formula>0</formula>
    </cfRule>
  </conditionalFormatting>
  <conditionalFormatting sqref="Q83">
    <cfRule type="cellIs" dxfId="2757" priority="2583" operator="lessThan">
      <formula>0</formula>
    </cfRule>
  </conditionalFormatting>
  <conditionalFormatting sqref="R83">
    <cfRule type="cellIs" dxfId="2756" priority="2581" operator="lessThan">
      <formula>0.8</formula>
    </cfRule>
    <cfRule type="cellIs" dxfId="2755" priority="2582" operator="greaterThan">
      <formula>1</formula>
    </cfRule>
  </conditionalFormatting>
  <conditionalFormatting sqref="R83">
    <cfRule type="cellIs" dxfId="2754" priority="2579" operator="greaterThan">
      <formula>1</formula>
    </cfRule>
    <cfRule type="cellIs" dxfId="2753" priority="2580" operator="lessThan">
      <formula>0.8</formula>
    </cfRule>
  </conditionalFormatting>
  <conditionalFormatting sqref="P83">
    <cfRule type="cellIs" dxfId="2752" priority="2578" operator="greaterThan">
      <formula>0</formula>
    </cfRule>
  </conditionalFormatting>
  <conditionalFormatting sqref="Q83">
    <cfRule type="cellIs" dxfId="2751" priority="2577" operator="lessThan">
      <formula>0</formula>
    </cfRule>
  </conditionalFormatting>
  <conditionalFormatting sqref="R83">
    <cfRule type="cellIs" dxfId="2750" priority="2575" operator="lessThan">
      <formula>0.8</formula>
    </cfRule>
    <cfRule type="cellIs" dxfId="2749" priority="2576" operator="greaterThan">
      <formula>1</formula>
    </cfRule>
  </conditionalFormatting>
  <conditionalFormatting sqref="R83">
    <cfRule type="cellIs" dxfId="2748" priority="2573" operator="greaterThan">
      <formula>1</formula>
    </cfRule>
    <cfRule type="cellIs" dxfId="2747" priority="2574" operator="lessThan">
      <formula>0.8</formula>
    </cfRule>
  </conditionalFormatting>
  <conditionalFormatting sqref="P83">
    <cfRule type="cellIs" dxfId="2746" priority="2572" operator="greaterThan">
      <formula>0</formula>
    </cfRule>
  </conditionalFormatting>
  <conditionalFormatting sqref="Q83">
    <cfRule type="cellIs" dxfId="2745" priority="2571" operator="lessThan">
      <formula>0</formula>
    </cfRule>
  </conditionalFormatting>
  <conditionalFormatting sqref="R83">
    <cfRule type="cellIs" dxfId="2744" priority="2569" operator="lessThan">
      <formula>0.8</formula>
    </cfRule>
    <cfRule type="cellIs" dxfId="2743" priority="2570" operator="greaterThan">
      <formula>1</formula>
    </cfRule>
  </conditionalFormatting>
  <conditionalFormatting sqref="R83">
    <cfRule type="cellIs" dxfId="2742" priority="2567" operator="greaterThan">
      <formula>1</formula>
    </cfRule>
    <cfRule type="cellIs" dxfId="2741" priority="2568" operator="lessThan">
      <formula>0.8</formula>
    </cfRule>
  </conditionalFormatting>
  <conditionalFormatting sqref="P83">
    <cfRule type="cellIs" dxfId="2740" priority="2566" operator="greaterThan">
      <formula>0</formula>
    </cfRule>
  </conditionalFormatting>
  <conditionalFormatting sqref="Q83">
    <cfRule type="cellIs" dxfId="2739" priority="2565" operator="lessThan">
      <formula>0</formula>
    </cfRule>
  </conditionalFormatting>
  <conditionalFormatting sqref="R83">
    <cfRule type="cellIs" dxfId="2738" priority="2563" operator="lessThan">
      <formula>0.8</formula>
    </cfRule>
    <cfRule type="cellIs" dxfId="2737" priority="2564" operator="greaterThan">
      <formula>1</formula>
    </cfRule>
  </conditionalFormatting>
  <conditionalFormatting sqref="R83">
    <cfRule type="cellIs" dxfId="2736" priority="2561" operator="greaterThan">
      <formula>1</formula>
    </cfRule>
    <cfRule type="cellIs" dxfId="2735" priority="2562" operator="lessThan">
      <formula>0.8</formula>
    </cfRule>
  </conditionalFormatting>
  <conditionalFormatting sqref="P83">
    <cfRule type="cellIs" dxfId="2734" priority="2560" operator="greaterThan">
      <formula>0</formula>
    </cfRule>
  </conditionalFormatting>
  <conditionalFormatting sqref="Q83">
    <cfRule type="cellIs" dxfId="2733" priority="2559" operator="lessThan">
      <formula>0</formula>
    </cfRule>
  </conditionalFormatting>
  <conditionalFormatting sqref="R83">
    <cfRule type="cellIs" dxfId="2732" priority="2557" operator="lessThan">
      <formula>0.8</formula>
    </cfRule>
    <cfRule type="cellIs" dxfId="2731" priority="2558" operator="greaterThan">
      <formula>1</formula>
    </cfRule>
  </conditionalFormatting>
  <conditionalFormatting sqref="R83">
    <cfRule type="cellIs" dxfId="2730" priority="2555" operator="greaterThan">
      <formula>1</formula>
    </cfRule>
    <cfRule type="cellIs" dxfId="2729" priority="2556" operator="lessThan">
      <formula>0.8</formula>
    </cfRule>
  </conditionalFormatting>
  <conditionalFormatting sqref="P83">
    <cfRule type="cellIs" dxfId="2728" priority="2554" operator="greaterThan">
      <formula>0</formula>
    </cfRule>
  </conditionalFormatting>
  <conditionalFormatting sqref="P83">
    <cfRule type="cellIs" dxfId="2727" priority="2548" operator="greaterThan">
      <formula>0</formula>
    </cfRule>
  </conditionalFormatting>
  <conditionalFormatting sqref="Q83">
    <cfRule type="cellIs" dxfId="2726" priority="2553" operator="lessThan">
      <formula>0</formula>
    </cfRule>
  </conditionalFormatting>
  <conditionalFormatting sqref="R83">
    <cfRule type="cellIs" dxfId="2725" priority="2551" operator="lessThan">
      <formula>0.8</formula>
    </cfRule>
    <cfRule type="cellIs" dxfId="2724" priority="2552" operator="greaterThan">
      <formula>1</formula>
    </cfRule>
  </conditionalFormatting>
  <conditionalFormatting sqref="R83">
    <cfRule type="cellIs" dxfId="2723" priority="2549" operator="greaterThan">
      <formula>1</formula>
    </cfRule>
    <cfRule type="cellIs" dxfId="2722" priority="2550" operator="lessThan">
      <formula>0.8</formula>
    </cfRule>
  </conditionalFormatting>
  <conditionalFormatting sqref="P83">
    <cfRule type="cellIs" dxfId="2721" priority="2542" operator="greaterThan">
      <formula>0</formula>
    </cfRule>
  </conditionalFormatting>
  <conditionalFormatting sqref="Q83">
    <cfRule type="cellIs" dxfId="2720" priority="2547" operator="lessThan">
      <formula>0</formula>
    </cfRule>
  </conditionalFormatting>
  <conditionalFormatting sqref="R83">
    <cfRule type="cellIs" dxfId="2719" priority="2545" operator="lessThan">
      <formula>0.8</formula>
    </cfRule>
    <cfRule type="cellIs" dxfId="2718" priority="2546" operator="greaterThan">
      <formula>1</formula>
    </cfRule>
  </conditionalFormatting>
  <conditionalFormatting sqref="R83">
    <cfRule type="cellIs" dxfId="2717" priority="2543" operator="greaterThan">
      <formula>1</formula>
    </cfRule>
    <cfRule type="cellIs" dxfId="2716" priority="2544" operator="lessThan">
      <formula>0.8</formula>
    </cfRule>
  </conditionalFormatting>
  <conditionalFormatting sqref="R83">
    <cfRule type="cellIs" dxfId="2715" priority="2539" operator="lessThan">
      <formula>0.8</formula>
    </cfRule>
    <cfRule type="cellIs" dxfId="2714" priority="2540" operator="greaterThan">
      <formula>1</formula>
    </cfRule>
  </conditionalFormatting>
  <conditionalFormatting sqref="R83">
    <cfRule type="cellIs" dxfId="2713" priority="2537" operator="greaterThan">
      <formula>1</formula>
    </cfRule>
    <cfRule type="cellIs" dxfId="2712" priority="2538" operator="lessThan">
      <formula>0.8</formula>
    </cfRule>
  </conditionalFormatting>
  <conditionalFormatting sqref="P83">
    <cfRule type="cellIs" dxfId="2711" priority="2536" operator="greaterThan">
      <formula>0</formula>
    </cfRule>
  </conditionalFormatting>
  <conditionalFormatting sqref="Q83">
    <cfRule type="cellIs" dxfId="2710" priority="2541" operator="lessThan">
      <formula>0</formula>
    </cfRule>
  </conditionalFormatting>
  <conditionalFormatting sqref="Q83">
    <cfRule type="cellIs" dxfId="2709" priority="2535" operator="lessThan">
      <formula>0</formula>
    </cfRule>
  </conditionalFormatting>
  <conditionalFormatting sqref="R83">
    <cfRule type="cellIs" dxfId="2708" priority="2533" operator="lessThan">
      <formula>0.8</formula>
    </cfRule>
    <cfRule type="cellIs" dxfId="2707" priority="2534" operator="greaterThan">
      <formula>1</formula>
    </cfRule>
  </conditionalFormatting>
  <conditionalFormatting sqref="R83">
    <cfRule type="cellIs" dxfId="2706" priority="2531" operator="greaterThan">
      <formula>1</formula>
    </cfRule>
    <cfRule type="cellIs" dxfId="2705" priority="2532" operator="lessThan">
      <formula>0.8</formula>
    </cfRule>
  </conditionalFormatting>
  <conditionalFormatting sqref="P83">
    <cfRule type="cellIs" dxfId="2704" priority="2530" operator="greaterThan">
      <formula>0</formula>
    </cfRule>
  </conditionalFormatting>
  <conditionalFormatting sqref="P83">
    <cfRule type="cellIs" dxfId="2703" priority="2524" operator="greaterThan">
      <formula>0</formula>
    </cfRule>
  </conditionalFormatting>
  <conditionalFormatting sqref="Q83">
    <cfRule type="cellIs" dxfId="2702" priority="2529" operator="lessThan">
      <formula>0</formula>
    </cfRule>
  </conditionalFormatting>
  <conditionalFormatting sqref="R83">
    <cfRule type="cellIs" dxfId="2701" priority="2527" operator="lessThan">
      <formula>0.8</formula>
    </cfRule>
    <cfRule type="cellIs" dxfId="2700" priority="2528" operator="greaterThan">
      <formula>1</formula>
    </cfRule>
  </conditionalFormatting>
  <conditionalFormatting sqref="R83">
    <cfRule type="cellIs" dxfId="2699" priority="2525" operator="greaterThan">
      <formula>1</formula>
    </cfRule>
    <cfRule type="cellIs" dxfId="2698" priority="2526" operator="lessThan">
      <formula>0.8</formula>
    </cfRule>
  </conditionalFormatting>
  <conditionalFormatting sqref="P83">
    <cfRule type="cellIs" dxfId="2697" priority="2518" operator="greaterThan">
      <formula>0</formula>
    </cfRule>
  </conditionalFormatting>
  <conditionalFormatting sqref="Q83">
    <cfRule type="cellIs" dxfId="2696" priority="2523" operator="lessThan">
      <formula>0</formula>
    </cfRule>
  </conditionalFormatting>
  <conditionalFormatting sqref="R83">
    <cfRule type="cellIs" dxfId="2695" priority="2521" operator="lessThan">
      <formula>0.8</formula>
    </cfRule>
    <cfRule type="cellIs" dxfId="2694" priority="2522" operator="greaterThan">
      <formula>1</formula>
    </cfRule>
  </conditionalFormatting>
  <conditionalFormatting sqref="R83">
    <cfRule type="cellIs" dxfId="2693" priority="2519" operator="greaterThan">
      <formula>1</formula>
    </cfRule>
    <cfRule type="cellIs" dxfId="2692" priority="2520" operator="lessThan">
      <formula>0.8</formula>
    </cfRule>
  </conditionalFormatting>
  <conditionalFormatting sqref="R83">
    <cfRule type="cellIs" dxfId="2691" priority="2515" operator="lessThan">
      <formula>0.8</formula>
    </cfRule>
    <cfRule type="cellIs" dxfId="2690" priority="2516" operator="greaterThan">
      <formula>1</formula>
    </cfRule>
  </conditionalFormatting>
  <conditionalFormatting sqref="R83">
    <cfRule type="cellIs" dxfId="2689" priority="2513" operator="greaterThan">
      <formula>1</formula>
    </cfRule>
    <cfRule type="cellIs" dxfId="2688" priority="2514" operator="lessThan">
      <formula>0.8</formula>
    </cfRule>
  </conditionalFormatting>
  <conditionalFormatting sqref="P83">
    <cfRule type="cellIs" dxfId="2687" priority="2512" operator="greaterThan">
      <formula>0</formula>
    </cfRule>
  </conditionalFormatting>
  <conditionalFormatting sqref="Q83">
    <cfRule type="cellIs" dxfId="2686" priority="2517" operator="lessThan">
      <formula>0</formula>
    </cfRule>
  </conditionalFormatting>
  <conditionalFormatting sqref="P83">
    <cfRule type="cellIs" dxfId="2685" priority="2506" operator="greaterThan">
      <formula>0</formula>
    </cfRule>
  </conditionalFormatting>
  <conditionalFormatting sqref="Q83">
    <cfRule type="cellIs" dxfId="2684" priority="2511" operator="lessThan">
      <formula>0</formula>
    </cfRule>
  </conditionalFormatting>
  <conditionalFormatting sqref="R83">
    <cfRule type="cellIs" dxfId="2683" priority="2509" operator="lessThan">
      <formula>0.8</formula>
    </cfRule>
    <cfRule type="cellIs" dxfId="2682" priority="2510" operator="greaterThan">
      <formula>1</formula>
    </cfRule>
  </conditionalFormatting>
  <conditionalFormatting sqref="R83">
    <cfRule type="cellIs" dxfId="2681" priority="2507" operator="greaterThan">
      <formula>1</formula>
    </cfRule>
    <cfRule type="cellIs" dxfId="2680" priority="2508" operator="lessThan">
      <formula>0.8</formula>
    </cfRule>
  </conditionalFormatting>
  <conditionalFormatting sqref="R83">
    <cfRule type="cellIs" dxfId="2679" priority="2503" operator="lessThan">
      <formula>0.8</formula>
    </cfRule>
    <cfRule type="cellIs" dxfId="2678" priority="2504" operator="greaterThan">
      <formula>1</formula>
    </cfRule>
  </conditionalFormatting>
  <conditionalFormatting sqref="R83">
    <cfRule type="cellIs" dxfId="2677" priority="2501" operator="greaterThan">
      <formula>1</formula>
    </cfRule>
    <cfRule type="cellIs" dxfId="2676" priority="2502" operator="lessThan">
      <formula>0.8</formula>
    </cfRule>
  </conditionalFormatting>
  <conditionalFormatting sqref="P83">
    <cfRule type="cellIs" dxfId="2675" priority="2500" operator="greaterThan">
      <formula>0</formula>
    </cfRule>
  </conditionalFormatting>
  <conditionalFormatting sqref="Q83">
    <cfRule type="cellIs" dxfId="2674" priority="2505" operator="lessThan">
      <formula>0</formula>
    </cfRule>
  </conditionalFormatting>
  <conditionalFormatting sqref="R83">
    <cfRule type="cellIs" dxfId="2673" priority="2497" operator="lessThan">
      <formula>0.8</formula>
    </cfRule>
    <cfRule type="cellIs" dxfId="2672" priority="2498" operator="greaterThan">
      <formula>1</formula>
    </cfRule>
  </conditionalFormatting>
  <conditionalFormatting sqref="R83">
    <cfRule type="cellIs" dxfId="2671" priority="2495" operator="greaterThan">
      <formula>1</formula>
    </cfRule>
    <cfRule type="cellIs" dxfId="2670" priority="2496" operator="lessThan">
      <formula>0.8</formula>
    </cfRule>
  </conditionalFormatting>
  <conditionalFormatting sqref="P83">
    <cfRule type="cellIs" dxfId="2669" priority="2494" operator="greaterThan">
      <formula>0</formula>
    </cfRule>
  </conditionalFormatting>
  <conditionalFormatting sqref="Q83">
    <cfRule type="cellIs" dxfId="2668" priority="2499" operator="lessThan">
      <formula>0</formula>
    </cfRule>
  </conditionalFormatting>
  <conditionalFormatting sqref="Q83">
    <cfRule type="cellIs" dxfId="2667" priority="2493" operator="lessThan">
      <formula>0</formula>
    </cfRule>
  </conditionalFormatting>
  <conditionalFormatting sqref="R83">
    <cfRule type="cellIs" dxfId="2666" priority="2491" operator="lessThan">
      <formula>0.8</formula>
    </cfRule>
    <cfRule type="cellIs" dxfId="2665" priority="2492" operator="greaterThan">
      <formula>1</formula>
    </cfRule>
  </conditionalFormatting>
  <conditionalFormatting sqref="R83">
    <cfRule type="cellIs" dxfId="2664" priority="2489" operator="greaterThan">
      <formula>1</formula>
    </cfRule>
    <cfRule type="cellIs" dxfId="2663" priority="2490" operator="lessThan">
      <formula>0.8</formula>
    </cfRule>
  </conditionalFormatting>
  <conditionalFormatting sqref="P83">
    <cfRule type="cellIs" dxfId="2662" priority="2488" operator="greaterThan">
      <formula>0</formula>
    </cfRule>
  </conditionalFormatting>
  <conditionalFormatting sqref="Q83">
    <cfRule type="cellIs" dxfId="2661" priority="2482" operator="lessThan">
      <formula>0</formula>
    </cfRule>
  </conditionalFormatting>
  <conditionalFormatting sqref="R83">
    <cfRule type="cellIs" dxfId="2660" priority="2486" operator="lessThan">
      <formula>0.8</formula>
    </cfRule>
    <cfRule type="cellIs" dxfId="2659" priority="2487" operator="greaterThan">
      <formula>1</formula>
    </cfRule>
  </conditionalFormatting>
  <conditionalFormatting sqref="R83">
    <cfRule type="cellIs" dxfId="2658" priority="2484" operator="greaterThan">
      <formula>1</formula>
    </cfRule>
    <cfRule type="cellIs" dxfId="2657" priority="2485" operator="lessThan">
      <formula>0.8</formula>
    </cfRule>
  </conditionalFormatting>
  <conditionalFormatting sqref="P83">
    <cfRule type="cellIs" dxfId="2656" priority="2483" operator="greaterThan">
      <formula>0</formula>
    </cfRule>
  </conditionalFormatting>
  <conditionalFormatting sqref="Q83">
    <cfRule type="cellIs" dxfId="2655" priority="2481" operator="lessThan">
      <formula>0</formula>
    </cfRule>
  </conditionalFormatting>
  <conditionalFormatting sqref="R83">
    <cfRule type="cellIs" dxfId="2654" priority="2479" operator="lessThan">
      <formula>0.8</formula>
    </cfRule>
    <cfRule type="cellIs" dxfId="2653" priority="2480" operator="greaterThan">
      <formula>1</formula>
    </cfRule>
  </conditionalFormatting>
  <conditionalFormatting sqref="R83">
    <cfRule type="cellIs" dxfId="2652" priority="2477" operator="greaterThan">
      <formula>1</formula>
    </cfRule>
    <cfRule type="cellIs" dxfId="2651" priority="2478" operator="lessThan">
      <formula>0.8</formula>
    </cfRule>
  </conditionalFormatting>
  <conditionalFormatting sqref="P83">
    <cfRule type="cellIs" dxfId="2650" priority="2476" operator="greaterThan">
      <formula>0</formula>
    </cfRule>
  </conditionalFormatting>
  <conditionalFormatting sqref="Q83">
    <cfRule type="cellIs" dxfId="2649" priority="2475" operator="lessThan">
      <formula>0</formula>
    </cfRule>
  </conditionalFormatting>
  <conditionalFormatting sqref="R83">
    <cfRule type="cellIs" dxfId="2648" priority="2473" operator="lessThan">
      <formula>0.8</formula>
    </cfRule>
    <cfRule type="cellIs" dxfId="2647" priority="2474" operator="greaterThan">
      <formula>1</formula>
    </cfRule>
  </conditionalFormatting>
  <conditionalFormatting sqref="R83">
    <cfRule type="cellIs" dxfId="2646" priority="2471" operator="greaterThan">
      <formula>1</formula>
    </cfRule>
    <cfRule type="cellIs" dxfId="2645" priority="2472" operator="lessThan">
      <formula>0.8</formula>
    </cfRule>
  </conditionalFormatting>
  <conditionalFormatting sqref="P83">
    <cfRule type="cellIs" dxfId="2644" priority="2470" operator="greaterThan">
      <formula>0</formula>
    </cfRule>
  </conditionalFormatting>
  <conditionalFormatting sqref="Q83">
    <cfRule type="cellIs" dxfId="2643" priority="2469" operator="lessThan">
      <formula>0</formula>
    </cfRule>
  </conditionalFormatting>
  <conditionalFormatting sqref="R83">
    <cfRule type="cellIs" dxfId="2642" priority="2467" operator="lessThan">
      <formula>0.8</formula>
    </cfRule>
    <cfRule type="cellIs" dxfId="2641" priority="2468" operator="greaterThan">
      <formula>1</formula>
    </cfRule>
  </conditionalFormatting>
  <conditionalFormatting sqref="R83">
    <cfRule type="cellIs" dxfId="2640" priority="2465" operator="greaterThan">
      <formula>1</formula>
    </cfRule>
    <cfRule type="cellIs" dxfId="2639" priority="2466" operator="lessThan">
      <formula>0.8</formula>
    </cfRule>
  </conditionalFormatting>
  <conditionalFormatting sqref="P83">
    <cfRule type="cellIs" dxfId="2638" priority="2464" operator="greaterThan">
      <formula>0</formula>
    </cfRule>
  </conditionalFormatting>
  <conditionalFormatting sqref="Q83">
    <cfRule type="cellIs" dxfId="2637" priority="2463" operator="lessThan">
      <formula>0</formula>
    </cfRule>
  </conditionalFormatting>
  <conditionalFormatting sqref="R83">
    <cfRule type="cellIs" dxfId="2636" priority="2461" operator="lessThan">
      <formula>0.8</formula>
    </cfRule>
    <cfRule type="cellIs" dxfId="2635" priority="2462" operator="greaterThan">
      <formula>1</formula>
    </cfRule>
  </conditionalFormatting>
  <conditionalFormatting sqref="R83">
    <cfRule type="cellIs" dxfId="2634" priority="2459" operator="greaterThan">
      <formula>1</formula>
    </cfRule>
    <cfRule type="cellIs" dxfId="2633" priority="2460" operator="lessThan">
      <formula>0.8</formula>
    </cfRule>
  </conditionalFormatting>
  <conditionalFormatting sqref="P83">
    <cfRule type="cellIs" dxfId="2632" priority="2458" operator="greaterThan">
      <formula>0</formula>
    </cfRule>
  </conditionalFormatting>
  <conditionalFormatting sqref="Q83">
    <cfRule type="cellIs" dxfId="2631" priority="2457" operator="lessThan">
      <formula>0</formula>
    </cfRule>
  </conditionalFormatting>
  <conditionalFormatting sqref="R83">
    <cfRule type="cellIs" dxfId="2630" priority="2455" operator="lessThan">
      <formula>0.8</formula>
    </cfRule>
    <cfRule type="cellIs" dxfId="2629" priority="2456" operator="greaterThan">
      <formula>1</formula>
    </cfRule>
  </conditionalFormatting>
  <conditionalFormatting sqref="R83">
    <cfRule type="cellIs" dxfId="2628" priority="2453" operator="greaterThan">
      <formula>1</formula>
    </cfRule>
    <cfRule type="cellIs" dxfId="2627" priority="2454" operator="lessThan">
      <formula>0.8</formula>
    </cfRule>
  </conditionalFormatting>
  <conditionalFormatting sqref="P83">
    <cfRule type="cellIs" dxfId="2626" priority="2452" operator="greaterThan">
      <formula>0</formula>
    </cfRule>
  </conditionalFormatting>
  <conditionalFormatting sqref="P83">
    <cfRule type="cellIs" dxfId="2625" priority="2446" operator="greaterThan">
      <formula>0</formula>
    </cfRule>
  </conditionalFormatting>
  <conditionalFormatting sqref="Q83">
    <cfRule type="cellIs" dxfId="2624" priority="2451" operator="lessThan">
      <formula>0</formula>
    </cfRule>
  </conditionalFormatting>
  <conditionalFormatting sqref="R83">
    <cfRule type="cellIs" dxfId="2623" priority="2449" operator="lessThan">
      <formula>0.8</formula>
    </cfRule>
    <cfRule type="cellIs" dxfId="2622" priority="2450" operator="greaterThan">
      <formula>1</formula>
    </cfRule>
  </conditionalFormatting>
  <conditionalFormatting sqref="R83">
    <cfRule type="cellIs" dxfId="2621" priority="2447" operator="greaterThan">
      <formula>1</formula>
    </cfRule>
    <cfRule type="cellIs" dxfId="2620" priority="2448" operator="lessThan">
      <formula>0.8</formula>
    </cfRule>
  </conditionalFormatting>
  <conditionalFormatting sqref="P83">
    <cfRule type="cellIs" dxfId="2619" priority="2440" operator="greaterThan">
      <formula>0</formula>
    </cfRule>
  </conditionalFormatting>
  <conditionalFormatting sqref="Q83">
    <cfRule type="cellIs" dxfId="2618" priority="2445" operator="lessThan">
      <formula>0</formula>
    </cfRule>
  </conditionalFormatting>
  <conditionalFormatting sqref="R83">
    <cfRule type="cellIs" dxfId="2617" priority="2443" operator="lessThan">
      <formula>0.8</formula>
    </cfRule>
    <cfRule type="cellIs" dxfId="2616" priority="2444" operator="greaterThan">
      <formula>1</formula>
    </cfRule>
  </conditionalFormatting>
  <conditionalFormatting sqref="R83">
    <cfRule type="cellIs" dxfId="2615" priority="2441" operator="greaterThan">
      <formula>1</formula>
    </cfRule>
    <cfRule type="cellIs" dxfId="2614" priority="2442" operator="lessThan">
      <formula>0.8</formula>
    </cfRule>
  </conditionalFormatting>
  <conditionalFormatting sqref="R83">
    <cfRule type="cellIs" dxfId="2613" priority="2437" operator="lessThan">
      <formula>0.8</formula>
    </cfRule>
    <cfRule type="cellIs" dxfId="2612" priority="2438" operator="greaterThan">
      <formula>1</formula>
    </cfRule>
  </conditionalFormatting>
  <conditionalFormatting sqref="R83">
    <cfRule type="cellIs" dxfId="2611" priority="2435" operator="greaterThan">
      <formula>1</formula>
    </cfRule>
    <cfRule type="cellIs" dxfId="2610" priority="2436" operator="lessThan">
      <formula>0.8</formula>
    </cfRule>
  </conditionalFormatting>
  <conditionalFormatting sqref="P83">
    <cfRule type="cellIs" dxfId="2609" priority="2434" operator="greaterThan">
      <formula>0</formula>
    </cfRule>
  </conditionalFormatting>
  <conditionalFormatting sqref="Q83">
    <cfRule type="cellIs" dxfId="2608" priority="2439" operator="lessThan">
      <formula>0</formula>
    </cfRule>
  </conditionalFormatting>
  <conditionalFormatting sqref="P123 P126:P131">
    <cfRule type="cellIs" dxfId="2607" priority="2428" operator="greaterThan">
      <formula>0</formula>
    </cfRule>
  </conditionalFormatting>
  <conditionalFormatting sqref="Q123 Q126:Q131">
    <cfRule type="cellIs" dxfId="2606" priority="2433" operator="lessThan">
      <formula>0</formula>
    </cfRule>
  </conditionalFormatting>
  <conditionalFormatting sqref="R123 R126:R131">
    <cfRule type="cellIs" dxfId="2605" priority="2431" operator="lessThan">
      <formula>0.8</formula>
    </cfRule>
    <cfRule type="cellIs" dxfId="2604" priority="2432" operator="greaterThan">
      <formula>1</formula>
    </cfRule>
  </conditionalFormatting>
  <conditionalFormatting sqref="R123 R126:R131">
    <cfRule type="cellIs" dxfId="2603" priority="2429" operator="greaterThan">
      <formula>1</formula>
    </cfRule>
    <cfRule type="cellIs" dxfId="2602" priority="2430" operator="lessThan">
      <formula>0.8</formula>
    </cfRule>
  </conditionalFormatting>
  <conditionalFormatting sqref="Q123 Q126:Q131">
    <cfRule type="cellIs" dxfId="2601" priority="2427" operator="lessThan">
      <formula>0</formula>
    </cfRule>
  </conditionalFormatting>
  <conditionalFormatting sqref="R123 R126:R131">
    <cfRule type="cellIs" dxfId="2600" priority="2425" operator="lessThan">
      <formula>0.8</formula>
    </cfRule>
    <cfRule type="cellIs" dxfId="2599" priority="2426" operator="greaterThan">
      <formula>1</formula>
    </cfRule>
  </conditionalFormatting>
  <conditionalFormatting sqref="R123 R126:R131">
    <cfRule type="cellIs" dxfId="2598" priority="2423" operator="greaterThan">
      <formula>1</formula>
    </cfRule>
    <cfRule type="cellIs" dxfId="2597" priority="2424" operator="lessThan">
      <formula>0.8</formula>
    </cfRule>
  </conditionalFormatting>
  <conditionalFormatting sqref="P123 P126:P131">
    <cfRule type="cellIs" dxfId="2596" priority="2422" operator="greaterThan">
      <formula>0</formula>
    </cfRule>
  </conditionalFormatting>
  <conditionalFormatting sqref="Q31">
    <cfRule type="cellIs" dxfId="2595" priority="2421" operator="lessThan">
      <formula>0</formula>
    </cfRule>
  </conditionalFormatting>
  <conditionalFormatting sqref="R31">
    <cfRule type="cellIs" dxfId="2594" priority="2419" operator="lessThan">
      <formula>0.8</formula>
    </cfRule>
    <cfRule type="cellIs" dxfId="2593" priority="2420" operator="greaterThan">
      <formula>1</formula>
    </cfRule>
  </conditionalFormatting>
  <conditionalFormatting sqref="R31">
    <cfRule type="cellIs" dxfId="2592" priority="2417" operator="greaterThan">
      <formula>1</formula>
    </cfRule>
    <cfRule type="cellIs" dxfId="2591" priority="2418" operator="lessThan">
      <formula>0.8</formula>
    </cfRule>
  </conditionalFormatting>
  <conditionalFormatting sqref="P31:P40">
    <cfRule type="cellIs" dxfId="2590" priority="2416" operator="greaterThan">
      <formula>0</formula>
    </cfRule>
  </conditionalFormatting>
  <conditionalFormatting sqref="Q31">
    <cfRule type="cellIs" dxfId="2589" priority="2415" operator="lessThan">
      <formula>0</formula>
    </cfRule>
  </conditionalFormatting>
  <conditionalFormatting sqref="R31">
    <cfRule type="cellIs" dxfId="2588" priority="2413" operator="lessThan">
      <formula>0.8</formula>
    </cfRule>
    <cfRule type="cellIs" dxfId="2587" priority="2414" operator="greaterThan">
      <formula>1</formula>
    </cfRule>
  </conditionalFormatting>
  <conditionalFormatting sqref="R31">
    <cfRule type="cellIs" dxfId="2586" priority="2411" operator="greaterThan">
      <formula>1</formula>
    </cfRule>
    <cfRule type="cellIs" dxfId="2585" priority="2412" operator="lessThan">
      <formula>0.8</formula>
    </cfRule>
  </conditionalFormatting>
  <conditionalFormatting sqref="P31:P40">
    <cfRule type="cellIs" dxfId="2584" priority="2410" operator="greaterThan">
      <formula>0</formula>
    </cfRule>
  </conditionalFormatting>
  <conditionalFormatting sqref="Q31">
    <cfRule type="cellIs" dxfId="2583" priority="2409" operator="lessThan">
      <formula>0</formula>
    </cfRule>
  </conditionalFormatting>
  <conditionalFormatting sqref="R31">
    <cfRule type="cellIs" dxfId="2582" priority="2407" operator="lessThan">
      <formula>0.8</formula>
    </cfRule>
    <cfRule type="cellIs" dxfId="2581" priority="2408" operator="greaterThan">
      <formula>1</formula>
    </cfRule>
  </conditionalFormatting>
  <conditionalFormatting sqref="R31">
    <cfRule type="cellIs" dxfId="2580" priority="2405" operator="greaterThan">
      <formula>1</formula>
    </cfRule>
    <cfRule type="cellIs" dxfId="2579" priority="2406" operator="lessThan">
      <formula>0.8</formula>
    </cfRule>
  </conditionalFormatting>
  <conditionalFormatting sqref="P31:P40">
    <cfRule type="cellIs" dxfId="2578" priority="2404" operator="greaterThan">
      <formula>0</formula>
    </cfRule>
  </conditionalFormatting>
  <conditionalFormatting sqref="Q31">
    <cfRule type="cellIs" dxfId="2577" priority="2403" operator="lessThan">
      <formula>0</formula>
    </cfRule>
  </conditionalFormatting>
  <conditionalFormatting sqref="R31">
    <cfRule type="cellIs" dxfId="2576" priority="2401" operator="lessThan">
      <formula>0.8</formula>
    </cfRule>
    <cfRule type="cellIs" dxfId="2575" priority="2402" operator="greaterThan">
      <formula>1</formula>
    </cfRule>
  </conditionalFormatting>
  <conditionalFormatting sqref="R31">
    <cfRule type="cellIs" dxfId="2574" priority="2399" operator="greaterThan">
      <formula>1</formula>
    </cfRule>
    <cfRule type="cellIs" dxfId="2573" priority="2400" operator="lessThan">
      <formula>0.8</formula>
    </cfRule>
  </conditionalFormatting>
  <conditionalFormatting sqref="P31:P40">
    <cfRule type="cellIs" dxfId="2572" priority="2398" operator="greaterThan">
      <formula>0</formula>
    </cfRule>
  </conditionalFormatting>
  <conditionalFormatting sqref="P31:P40">
    <cfRule type="cellIs" dxfId="2571" priority="2392" operator="greaterThan">
      <formula>0</formula>
    </cfRule>
  </conditionalFormatting>
  <conditionalFormatting sqref="Q31">
    <cfRule type="cellIs" dxfId="2570" priority="2397" operator="lessThan">
      <formula>0</formula>
    </cfRule>
  </conditionalFormatting>
  <conditionalFormatting sqref="R31">
    <cfRule type="cellIs" dxfId="2569" priority="2395" operator="lessThan">
      <formula>0.8</formula>
    </cfRule>
    <cfRule type="cellIs" dxfId="2568" priority="2396" operator="greaterThan">
      <formula>1</formula>
    </cfRule>
  </conditionalFormatting>
  <conditionalFormatting sqref="R31">
    <cfRule type="cellIs" dxfId="2567" priority="2393" operator="greaterThan">
      <formula>1</formula>
    </cfRule>
    <cfRule type="cellIs" dxfId="2566" priority="2394" operator="lessThan">
      <formula>0.8</formula>
    </cfRule>
  </conditionalFormatting>
  <conditionalFormatting sqref="P31:P40">
    <cfRule type="cellIs" dxfId="2565" priority="2386" operator="greaterThan">
      <formula>0</formula>
    </cfRule>
  </conditionalFormatting>
  <conditionalFormatting sqref="Q31">
    <cfRule type="cellIs" dxfId="2564" priority="2391" operator="lessThan">
      <formula>0</formula>
    </cfRule>
  </conditionalFormatting>
  <conditionalFormatting sqref="R31">
    <cfRule type="cellIs" dxfId="2563" priority="2389" operator="lessThan">
      <formula>0.8</formula>
    </cfRule>
    <cfRule type="cellIs" dxfId="2562" priority="2390" operator="greaterThan">
      <formula>1</formula>
    </cfRule>
  </conditionalFormatting>
  <conditionalFormatting sqref="R31">
    <cfRule type="cellIs" dxfId="2561" priority="2387" operator="greaterThan">
      <formula>1</formula>
    </cfRule>
    <cfRule type="cellIs" dxfId="2560" priority="2388" operator="lessThan">
      <formula>0.8</formula>
    </cfRule>
  </conditionalFormatting>
  <conditionalFormatting sqref="R31">
    <cfRule type="cellIs" dxfId="2559" priority="2383" operator="lessThan">
      <formula>0.8</formula>
    </cfRule>
    <cfRule type="cellIs" dxfId="2558" priority="2384" operator="greaterThan">
      <formula>1</formula>
    </cfRule>
  </conditionalFormatting>
  <conditionalFormatting sqref="R31">
    <cfRule type="cellIs" dxfId="2557" priority="2381" operator="greaterThan">
      <formula>1</formula>
    </cfRule>
    <cfRule type="cellIs" dxfId="2556" priority="2382" operator="lessThan">
      <formula>0.8</formula>
    </cfRule>
  </conditionalFormatting>
  <conditionalFormatting sqref="P31:P40">
    <cfRule type="cellIs" dxfId="2555" priority="2380" operator="greaterThan">
      <formula>0</formula>
    </cfRule>
  </conditionalFormatting>
  <conditionalFormatting sqref="Q31">
    <cfRule type="cellIs" dxfId="2554" priority="2385" operator="lessThan">
      <formula>0</formula>
    </cfRule>
  </conditionalFormatting>
  <conditionalFormatting sqref="Q31">
    <cfRule type="cellIs" dxfId="2553" priority="2379" operator="lessThan">
      <formula>0</formula>
    </cfRule>
  </conditionalFormatting>
  <conditionalFormatting sqref="R31">
    <cfRule type="cellIs" dxfId="2552" priority="2377" operator="lessThan">
      <formula>0.8</formula>
    </cfRule>
    <cfRule type="cellIs" dxfId="2551" priority="2378" operator="greaterThan">
      <formula>1</formula>
    </cfRule>
  </conditionalFormatting>
  <conditionalFormatting sqref="R31">
    <cfRule type="cellIs" dxfId="2550" priority="2375" operator="greaterThan">
      <formula>1</formula>
    </cfRule>
    <cfRule type="cellIs" dxfId="2549" priority="2376" operator="lessThan">
      <formula>0.8</formula>
    </cfRule>
  </conditionalFormatting>
  <conditionalFormatting sqref="P31:P40">
    <cfRule type="cellIs" dxfId="2548" priority="2374" operator="greaterThan">
      <formula>0</formula>
    </cfRule>
  </conditionalFormatting>
  <conditionalFormatting sqref="P31:P40">
    <cfRule type="cellIs" dxfId="2547" priority="2368" operator="greaterThan">
      <formula>0</formula>
    </cfRule>
  </conditionalFormatting>
  <conditionalFormatting sqref="Q31">
    <cfRule type="cellIs" dxfId="2546" priority="2373" operator="lessThan">
      <formula>0</formula>
    </cfRule>
  </conditionalFormatting>
  <conditionalFormatting sqref="R31">
    <cfRule type="cellIs" dxfId="2545" priority="2371" operator="lessThan">
      <formula>0.8</formula>
    </cfRule>
    <cfRule type="cellIs" dxfId="2544" priority="2372" operator="greaterThan">
      <formula>1</formula>
    </cfRule>
  </conditionalFormatting>
  <conditionalFormatting sqref="R31">
    <cfRule type="cellIs" dxfId="2543" priority="2369" operator="greaterThan">
      <formula>1</formula>
    </cfRule>
    <cfRule type="cellIs" dxfId="2542" priority="2370" operator="lessThan">
      <formula>0.8</formula>
    </cfRule>
  </conditionalFormatting>
  <conditionalFormatting sqref="P31:P40">
    <cfRule type="cellIs" dxfId="2541" priority="2362" operator="greaterThan">
      <formula>0</formula>
    </cfRule>
  </conditionalFormatting>
  <conditionalFormatting sqref="Q31">
    <cfRule type="cellIs" dxfId="2540" priority="2367" operator="lessThan">
      <formula>0</formula>
    </cfRule>
  </conditionalFormatting>
  <conditionalFormatting sqref="R31">
    <cfRule type="cellIs" dxfId="2539" priority="2365" operator="lessThan">
      <formula>0.8</formula>
    </cfRule>
    <cfRule type="cellIs" dxfId="2538" priority="2366" operator="greaterThan">
      <formula>1</formula>
    </cfRule>
  </conditionalFormatting>
  <conditionalFormatting sqref="R31">
    <cfRule type="cellIs" dxfId="2537" priority="2363" operator="greaterThan">
      <formula>1</formula>
    </cfRule>
    <cfRule type="cellIs" dxfId="2536" priority="2364" operator="lessThan">
      <formula>0.8</formula>
    </cfRule>
  </conditionalFormatting>
  <conditionalFormatting sqref="R31">
    <cfRule type="cellIs" dxfId="2535" priority="2359" operator="lessThan">
      <formula>0.8</formula>
    </cfRule>
    <cfRule type="cellIs" dxfId="2534" priority="2360" operator="greaterThan">
      <formula>1</formula>
    </cfRule>
  </conditionalFormatting>
  <conditionalFormatting sqref="R31">
    <cfRule type="cellIs" dxfId="2533" priority="2357" operator="greaterThan">
      <formula>1</formula>
    </cfRule>
    <cfRule type="cellIs" dxfId="2532" priority="2358" operator="lessThan">
      <formula>0.8</formula>
    </cfRule>
  </conditionalFormatting>
  <conditionalFormatting sqref="P31:P40">
    <cfRule type="cellIs" dxfId="2531" priority="2356" operator="greaterThan">
      <formula>0</formula>
    </cfRule>
  </conditionalFormatting>
  <conditionalFormatting sqref="Q31">
    <cfRule type="cellIs" dxfId="2530" priority="2361" operator="lessThan">
      <formula>0</formula>
    </cfRule>
  </conditionalFormatting>
  <conditionalFormatting sqref="P31:P40">
    <cfRule type="cellIs" dxfId="2529" priority="2350" operator="greaterThan">
      <formula>0</formula>
    </cfRule>
  </conditionalFormatting>
  <conditionalFormatting sqref="Q31">
    <cfRule type="cellIs" dxfId="2528" priority="2355" operator="lessThan">
      <formula>0</formula>
    </cfRule>
  </conditionalFormatting>
  <conditionalFormatting sqref="R31">
    <cfRule type="cellIs" dxfId="2527" priority="2353" operator="lessThan">
      <formula>0.8</formula>
    </cfRule>
    <cfRule type="cellIs" dxfId="2526" priority="2354" operator="greaterThan">
      <formula>1</formula>
    </cfRule>
  </conditionalFormatting>
  <conditionalFormatting sqref="R31">
    <cfRule type="cellIs" dxfId="2525" priority="2351" operator="greaterThan">
      <formula>1</formula>
    </cfRule>
    <cfRule type="cellIs" dxfId="2524" priority="2352" operator="lessThan">
      <formula>0.8</formula>
    </cfRule>
  </conditionalFormatting>
  <conditionalFormatting sqref="R31">
    <cfRule type="cellIs" dxfId="2523" priority="2347" operator="lessThan">
      <formula>0.8</formula>
    </cfRule>
    <cfRule type="cellIs" dxfId="2522" priority="2348" operator="greaterThan">
      <formula>1</formula>
    </cfRule>
  </conditionalFormatting>
  <conditionalFormatting sqref="R31">
    <cfRule type="cellIs" dxfId="2521" priority="2345" operator="greaterThan">
      <formula>1</formula>
    </cfRule>
    <cfRule type="cellIs" dxfId="2520" priority="2346" operator="lessThan">
      <formula>0.8</formula>
    </cfRule>
  </conditionalFormatting>
  <conditionalFormatting sqref="P31:P40">
    <cfRule type="cellIs" dxfId="2519" priority="2344" operator="greaterThan">
      <formula>0</formula>
    </cfRule>
  </conditionalFormatting>
  <conditionalFormatting sqref="Q31">
    <cfRule type="cellIs" dxfId="2518" priority="2349" operator="lessThan">
      <formula>0</formula>
    </cfRule>
  </conditionalFormatting>
  <conditionalFormatting sqref="R31">
    <cfRule type="cellIs" dxfId="2517" priority="2341" operator="lessThan">
      <formula>0.8</formula>
    </cfRule>
    <cfRule type="cellIs" dxfId="2516" priority="2342" operator="greaterThan">
      <formula>1</formula>
    </cfRule>
  </conditionalFormatting>
  <conditionalFormatting sqref="R31">
    <cfRule type="cellIs" dxfId="2515" priority="2339" operator="greaterThan">
      <formula>1</formula>
    </cfRule>
    <cfRule type="cellIs" dxfId="2514" priority="2340" operator="lessThan">
      <formula>0.8</formula>
    </cfRule>
  </conditionalFormatting>
  <conditionalFormatting sqref="P31:P40">
    <cfRule type="cellIs" dxfId="2513" priority="2338" operator="greaterThan">
      <formula>0</formula>
    </cfRule>
  </conditionalFormatting>
  <conditionalFormatting sqref="Q31">
    <cfRule type="cellIs" dxfId="2512" priority="2343" operator="lessThan">
      <formula>0</formula>
    </cfRule>
  </conditionalFormatting>
  <conditionalFormatting sqref="Q31">
    <cfRule type="cellIs" dxfId="2511" priority="2337" operator="lessThan">
      <formula>0</formula>
    </cfRule>
  </conditionalFormatting>
  <conditionalFormatting sqref="R31">
    <cfRule type="cellIs" dxfId="2510" priority="2335" operator="lessThan">
      <formula>0.8</formula>
    </cfRule>
    <cfRule type="cellIs" dxfId="2509" priority="2336" operator="greaterThan">
      <formula>1</formula>
    </cfRule>
  </conditionalFormatting>
  <conditionalFormatting sqref="R31">
    <cfRule type="cellIs" dxfId="2508" priority="2333" operator="greaterThan">
      <formula>1</formula>
    </cfRule>
    <cfRule type="cellIs" dxfId="2507" priority="2334" operator="lessThan">
      <formula>0.8</formula>
    </cfRule>
  </conditionalFormatting>
  <conditionalFormatting sqref="P31:P40">
    <cfRule type="cellIs" dxfId="2506" priority="2332" operator="greaterThan">
      <formula>0</formula>
    </cfRule>
  </conditionalFormatting>
  <conditionalFormatting sqref="Q31">
    <cfRule type="cellIs" dxfId="2505" priority="2326" operator="lessThan">
      <formula>0</formula>
    </cfRule>
  </conditionalFormatting>
  <conditionalFormatting sqref="R31">
    <cfRule type="cellIs" dxfId="2504" priority="2330" operator="lessThan">
      <formula>0.8</formula>
    </cfRule>
    <cfRule type="cellIs" dxfId="2503" priority="2331" operator="greaterThan">
      <formula>1</formula>
    </cfRule>
  </conditionalFormatting>
  <conditionalFormatting sqref="R31">
    <cfRule type="cellIs" dxfId="2502" priority="2328" operator="greaterThan">
      <formula>1</formula>
    </cfRule>
    <cfRule type="cellIs" dxfId="2501" priority="2329" operator="lessThan">
      <formula>0.8</formula>
    </cfRule>
  </conditionalFormatting>
  <conditionalFormatting sqref="P31:P40">
    <cfRule type="cellIs" dxfId="2500" priority="2327" operator="greaterThan">
      <formula>0</formula>
    </cfRule>
  </conditionalFormatting>
  <conditionalFormatting sqref="Q31">
    <cfRule type="cellIs" dxfId="2499" priority="2325" operator="lessThan">
      <formula>0</formula>
    </cfRule>
  </conditionalFormatting>
  <conditionalFormatting sqref="R31">
    <cfRule type="cellIs" dxfId="2498" priority="2323" operator="lessThan">
      <formula>0.8</formula>
    </cfRule>
    <cfRule type="cellIs" dxfId="2497" priority="2324" operator="greaterThan">
      <formula>1</formula>
    </cfRule>
  </conditionalFormatting>
  <conditionalFormatting sqref="R31">
    <cfRule type="cellIs" dxfId="2496" priority="2321" operator="greaterThan">
      <formula>1</formula>
    </cfRule>
    <cfRule type="cellIs" dxfId="2495" priority="2322" operator="lessThan">
      <formula>0.8</formula>
    </cfRule>
  </conditionalFormatting>
  <conditionalFormatting sqref="P31:P40">
    <cfRule type="cellIs" dxfId="2494" priority="2320" operator="greaterThan">
      <formula>0</formula>
    </cfRule>
  </conditionalFormatting>
  <conditionalFormatting sqref="Q31">
    <cfRule type="cellIs" dxfId="2493" priority="2319" operator="lessThan">
      <formula>0</formula>
    </cfRule>
  </conditionalFormatting>
  <conditionalFormatting sqref="R31">
    <cfRule type="cellIs" dxfId="2492" priority="2317" operator="lessThan">
      <formula>0.8</formula>
    </cfRule>
    <cfRule type="cellIs" dxfId="2491" priority="2318" operator="greaterThan">
      <formula>1</formula>
    </cfRule>
  </conditionalFormatting>
  <conditionalFormatting sqref="R31">
    <cfRule type="cellIs" dxfId="2490" priority="2315" operator="greaterThan">
      <formula>1</formula>
    </cfRule>
    <cfRule type="cellIs" dxfId="2489" priority="2316" operator="lessThan">
      <formula>0.8</formula>
    </cfRule>
  </conditionalFormatting>
  <conditionalFormatting sqref="P31:P40">
    <cfRule type="cellIs" dxfId="2488" priority="2314" operator="greaterThan">
      <formula>0</formula>
    </cfRule>
  </conditionalFormatting>
  <conditionalFormatting sqref="Q31">
    <cfRule type="cellIs" dxfId="2487" priority="2313" operator="lessThan">
      <formula>0</formula>
    </cfRule>
  </conditionalFormatting>
  <conditionalFormatting sqref="R31">
    <cfRule type="cellIs" dxfId="2486" priority="2311" operator="lessThan">
      <formula>0.8</formula>
    </cfRule>
    <cfRule type="cellIs" dxfId="2485" priority="2312" operator="greaterThan">
      <formula>1</formula>
    </cfRule>
  </conditionalFormatting>
  <conditionalFormatting sqref="R31">
    <cfRule type="cellIs" dxfId="2484" priority="2309" operator="greaterThan">
      <formula>1</formula>
    </cfRule>
    <cfRule type="cellIs" dxfId="2483" priority="2310" operator="lessThan">
      <formula>0.8</formula>
    </cfRule>
  </conditionalFormatting>
  <conditionalFormatting sqref="P31:P40">
    <cfRule type="cellIs" dxfId="2482" priority="2308" operator="greaterThan">
      <formula>0</formula>
    </cfRule>
  </conditionalFormatting>
  <conditionalFormatting sqref="Q31">
    <cfRule type="cellIs" dxfId="2481" priority="2307" operator="lessThan">
      <formula>0</formula>
    </cfRule>
  </conditionalFormatting>
  <conditionalFormatting sqref="R31">
    <cfRule type="cellIs" dxfId="2480" priority="2305" operator="lessThan">
      <formula>0.8</formula>
    </cfRule>
    <cfRule type="cellIs" dxfId="2479" priority="2306" operator="greaterThan">
      <formula>1</formula>
    </cfRule>
  </conditionalFormatting>
  <conditionalFormatting sqref="R31">
    <cfRule type="cellIs" dxfId="2478" priority="2303" operator="greaterThan">
      <formula>1</formula>
    </cfRule>
    <cfRule type="cellIs" dxfId="2477" priority="2304" operator="lessThan">
      <formula>0.8</formula>
    </cfRule>
  </conditionalFormatting>
  <conditionalFormatting sqref="P31:P40">
    <cfRule type="cellIs" dxfId="2476" priority="2302" operator="greaterThan">
      <formula>0</formula>
    </cfRule>
  </conditionalFormatting>
  <conditionalFormatting sqref="Q31">
    <cfRule type="cellIs" dxfId="2475" priority="2301" operator="lessThan">
      <formula>0</formula>
    </cfRule>
  </conditionalFormatting>
  <conditionalFormatting sqref="R31">
    <cfRule type="cellIs" dxfId="2474" priority="2299" operator="lessThan">
      <formula>0.8</formula>
    </cfRule>
    <cfRule type="cellIs" dxfId="2473" priority="2300" operator="greaterThan">
      <formula>1</formula>
    </cfRule>
  </conditionalFormatting>
  <conditionalFormatting sqref="R31">
    <cfRule type="cellIs" dxfId="2472" priority="2297" operator="greaterThan">
      <formula>1</formula>
    </cfRule>
    <cfRule type="cellIs" dxfId="2471" priority="2298" operator="lessThan">
      <formula>0.8</formula>
    </cfRule>
  </conditionalFormatting>
  <conditionalFormatting sqref="P31:P40">
    <cfRule type="cellIs" dxfId="2470" priority="2296" operator="greaterThan">
      <formula>0</formula>
    </cfRule>
  </conditionalFormatting>
  <conditionalFormatting sqref="P31:P40">
    <cfRule type="cellIs" dxfId="2469" priority="2290" operator="greaterThan">
      <formula>0</formula>
    </cfRule>
  </conditionalFormatting>
  <conditionalFormatting sqref="Q31">
    <cfRule type="cellIs" dxfId="2468" priority="2295" operator="lessThan">
      <formula>0</formula>
    </cfRule>
  </conditionalFormatting>
  <conditionalFormatting sqref="R31">
    <cfRule type="cellIs" dxfId="2467" priority="2293" operator="lessThan">
      <formula>0.8</formula>
    </cfRule>
    <cfRule type="cellIs" dxfId="2466" priority="2294" operator="greaterThan">
      <formula>1</formula>
    </cfRule>
  </conditionalFormatting>
  <conditionalFormatting sqref="R31">
    <cfRule type="cellIs" dxfId="2465" priority="2291" operator="greaterThan">
      <formula>1</formula>
    </cfRule>
    <cfRule type="cellIs" dxfId="2464" priority="2292" operator="lessThan">
      <formula>0.8</formula>
    </cfRule>
  </conditionalFormatting>
  <conditionalFormatting sqref="P31:P40">
    <cfRule type="cellIs" dxfId="2463" priority="2284" operator="greaterThan">
      <formula>0</formula>
    </cfRule>
  </conditionalFormatting>
  <conditionalFormatting sqref="Q31">
    <cfRule type="cellIs" dxfId="2462" priority="2289" operator="lessThan">
      <formula>0</formula>
    </cfRule>
  </conditionalFormatting>
  <conditionalFormatting sqref="R31">
    <cfRule type="cellIs" dxfId="2461" priority="2287" operator="lessThan">
      <formula>0.8</formula>
    </cfRule>
    <cfRule type="cellIs" dxfId="2460" priority="2288" operator="greaterThan">
      <formula>1</formula>
    </cfRule>
  </conditionalFormatting>
  <conditionalFormatting sqref="R31">
    <cfRule type="cellIs" dxfId="2459" priority="2285" operator="greaterThan">
      <formula>1</formula>
    </cfRule>
    <cfRule type="cellIs" dxfId="2458" priority="2286" operator="lessThan">
      <formula>0.8</formula>
    </cfRule>
  </conditionalFormatting>
  <conditionalFormatting sqref="R31">
    <cfRule type="cellIs" dxfId="2457" priority="2281" operator="lessThan">
      <formula>0.8</formula>
    </cfRule>
    <cfRule type="cellIs" dxfId="2456" priority="2282" operator="greaterThan">
      <formula>1</formula>
    </cfRule>
  </conditionalFormatting>
  <conditionalFormatting sqref="R31">
    <cfRule type="cellIs" dxfId="2455" priority="2279" operator="greaterThan">
      <formula>1</formula>
    </cfRule>
    <cfRule type="cellIs" dxfId="2454" priority="2280" operator="lessThan">
      <formula>0.8</formula>
    </cfRule>
  </conditionalFormatting>
  <conditionalFormatting sqref="P31:P40">
    <cfRule type="cellIs" dxfId="2453" priority="2278" operator="greaterThan">
      <formula>0</formula>
    </cfRule>
  </conditionalFormatting>
  <conditionalFormatting sqref="Q31">
    <cfRule type="cellIs" dxfId="2452" priority="2283" operator="lessThan">
      <formula>0</formula>
    </cfRule>
  </conditionalFormatting>
  <conditionalFormatting sqref="Q31">
    <cfRule type="cellIs" dxfId="2451" priority="2277" operator="lessThan">
      <formula>0</formula>
    </cfRule>
  </conditionalFormatting>
  <conditionalFormatting sqref="R31">
    <cfRule type="cellIs" dxfId="2450" priority="2275" operator="lessThan">
      <formula>0.8</formula>
    </cfRule>
    <cfRule type="cellIs" dxfId="2449" priority="2276" operator="greaterThan">
      <formula>1</formula>
    </cfRule>
  </conditionalFormatting>
  <conditionalFormatting sqref="R31">
    <cfRule type="cellIs" dxfId="2448" priority="2273" operator="greaterThan">
      <formula>1</formula>
    </cfRule>
    <cfRule type="cellIs" dxfId="2447" priority="2274" operator="lessThan">
      <formula>0.8</formula>
    </cfRule>
  </conditionalFormatting>
  <conditionalFormatting sqref="P31:P40">
    <cfRule type="cellIs" dxfId="2446" priority="2272" operator="greaterThan">
      <formula>0</formula>
    </cfRule>
  </conditionalFormatting>
  <conditionalFormatting sqref="Q31">
    <cfRule type="cellIs" dxfId="2445" priority="2271" operator="lessThan">
      <formula>0</formula>
    </cfRule>
  </conditionalFormatting>
  <conditionalFormatting sqref="R31">
    <cfRule type="cellIs" dxfId="2444" priority="2269" operator="lessThan">
      <formula>0.8</formula>
    </cfRule>
    <cfRule type="cellIs" dxfId="2443" priority="2270" operator="greaterThan">
      <formula>1</formula>
    </cfRule>
  </conditionalFormatting>
  <conditionalFormatting sqref="R31">
    <cfRule type="cellIs" dxfId="2442" priority="2267" operator="greaterThan">
      <formula>1</formula>
    </cfRule>
    <cfRule type="cellIs" dxfId="2441" priority="2268" operator="lessThan">
      <formula>0.8</formula>
    </cfRule>
  </conditionalFormatting>
  <conditionalFormatting sqref="P31:P40">
    <cfRule type="cellIs" dxfId="2440" priority="2266" operator="greaterThan">
      <formula>0</formula>
    </cfRule>
  </conditionalFormatting>
  <conditionalFormatting sqref="Q31">
    <cfRule type="cellIs" dxfId="2439" priority="2265" operator="lessThan">
      <formula>0</formula>
    </cfRule>
  </conditionalFormatting>
  <conditionalFormatting sqref="R31">
    <cfRule type="cellIs" dxfId="2438" priority="2263" operator="lessThan">
      <formula>0.8</formula>
    </cfRule>
    <cfRule type="cellIs" dxfId="2437" priority="2264" operator="greaterThan">
      <formula>1</formula>
    </cfRule>
  </conditionalFormatting>
  <conditionalFormatting sqref="R31">
    <cfRule type="cellIs" dxfId="2436" priority="2261" operator="greaterThan">
      <formula>1</formula>
    </cfRule>
    <cfRule type="cellIs" dxfId="2435" priority="2262" operator="lessThan">
      <formula>0.8</formula>
    </cfRule>
  </conditionalFormatting>
  <conditionalFormatting sqref="P31:P40">
    <cfRule type="cellIs" dxfId="2434" priority="2260" operator="greaterThan">
      <formula>0</formula>
    </cfRule>
  </conditionalFormatting>
  <conditionalFormatting sqref="Q31">
    <cfRule type="cellIs" dxfId="2433" priority="2259" operator="lessThan">
      <formula>0</formula>
    </cfRule>
  </conditionalFormatting>
  <conditionalFormatting sqref="R31">
    <cfRule type="cellIs" dxfId="2432" priority="2257" operator="lessThan">
      <formula>0.8</formula>
    </cfRule>
    <cfRule type="cellIs" dxfId="2431" priority="2258" operator="greaterThan">
      <formula>1</formula>
    </cfRule>
  </conditionalFormatting>
  <conditionalFormatting sqref="R31">
    <cfRule type="cellIs" dxfId="2430" priority="2255" operator="greaterThan">
      <formula>1</formula>
    </cfRule>
    <cfRule type="cellIs" dxfId="2429" priority="2256" operator="lessThan">
      <formula>0.8</formula>
    </cfRule>
  </conditionalFormatting>
  <conditionalFormatting sqref="P31:P40">
    <cfRule type="cellIs" dxfId="2428" priority="2254" operator="greaterThan">
      <formula>0</formula>
    </cfRule>
  </conditionalFormatting>
  <conditionalFormatting sqref="P31:P40">
    <cfRule type="cellIs" dxfId="2427" priority="2248" operator="greaterThan">
      <formula>0</formula>
    </cfRule>
  </conditionalFormatting>
  <conditionalFormatting sqref="Q31">
    <cfRule type="cellIs" dxfId="2426" priority="2253" operator="lessThan">
      <formula>0</formula>
    </cfRule>
  </conditionalFormatting>
  <conditionalFormatting sqref="R31">
    <cfRule type="cellIs" dxfId="2425" priority="2251" operator="lessThan">
      <formula>0.8</formula>
    </cfRule>
    <cfRule type="cellIs" dxfId="2424" priority="2252" operator="greaterThan">
      <formula>1</formula>
    </cfRule>
  </conditionalFormatting>
  <conditionalFormatting sqref="R31">
    <cfRule type="cellIs" dxfId="2423" priority="2249" operator="greaterThan">
      <formula>1</formula>
    </cfRule>
    <cfRule type="cellIs" dxfId="2422" priority="2250" operator="lessThan">
      <formula>0.8</formula>
    </cfRule>
  </conditionalFormatting>
  <conditionalFormatting sqref="P31:P40">
    <cfRule type="cellIs" dxfId="2421" priority="2242" operator="greaterThan">
      <formula>0</formula>
    </cfRule>
  </conditionalFormatting>
  <conditionalFormatting sqref="Q31">
    <cfRule type="cellIs" dxfId="2420" priority="2247" operator="lessThan">
      <formula>0</formula>
    </cfRule>
  </conditionalFormatting>
  <conditionalFormatting sqref="R31">
    <cfRule type="cellIs" dxfId="2419" priority="2245" operator="lessThan">
      <formula>0.8</formula>
    </cfRule>
    <cfRule type="cellIs" dxfId="2418" priority="2246" operator="greaterThan">
      <formula>1</formula>
    </cfRule>
  </conditionalFormatting>
  <conditionalFormatting sqref="R31">
    <cfRule type="cellIs" dxfId="2417" priority="2243" operator="greaterThan">
      <formula>1</formula>
    </cfRule>
    <cfRule type="cellIs" dxfId="2416" priority="2244" operator="lessThan">
      <formula>0.8</formula>
    </cfRule>
  </conditionalFormatting>
  <conditionalFormatting sqref="R31">
    <cfRule type="cellIs" dxfId="2415" priority="2239" operator="lessThan">
      <formula>0.8</formula>
    </cfRule>
    <cfRule type="cellIs" dxfId="2414" priority="2240" operator="greaterThan">
      <formula>1</formula>
    </cfRule>
  </conditionalFormatting>
  <conditionalFormatting sqref="R31">
    <cfRule type="cellIs" dxfId="2413" priority="2237" operator="greaterThan">
      <formula>1</formula>
    </cfRule>
    <cfRule type="cellIs" dxfId="2412" priority="2238" operator="lessThan">
      <formula>0.8</formula>
    </cfRule>
  </conditionalFormatting>
  <conditionalFormatting sqref="P31:P40">
    <cfRule type="cellIs" dxfId="2411" priority="2236" operator="greaterThan">
      <formula>0</formula>
    </cfRule>
  </conditionalFormatting>
  <conditionalFormatting sqref="Q31">
    <cfRule type="cellIs" dxfId="2410" priority="2241" operator="lessThan">
      <formula>0</formula>
    </cfRule>
  </conditionalFormatting>
  <conditionalFormatting sqref="Q31">
    <cfRule type="cellIs" dxfId="2409" priority="2235" operator="lessThan">
      <formula>0</formula>
    </cfRule>
  </conditionalFormatting>
  <conditionalFormatting sqref="R31">
    <cfRule type="cellIs" dxfId="2408" priority="2233" operator="lessThan">
      <formula>0.8</formula>
    </cfRule>
    <cfRule type="cellIs" dxfId="2407" priority="2234" operator="greaterThan">
      <formula>1</formula>
    </cfRule>
  </conditionalFormatting>
  <conditionalFormatting sqref="R31">
    <cfRule type="cellIs" dxfId="2406" priority="2231" operator="greaterThan">
      <formula>1</formula>
    </cfRule>
    <cfRule type="cellIs" dxfId="2405" priority="2232" operator="lessThan">
      <formula>0.8</formula>
    </cfRule>
  </conditionalFormatting>
  <conditionalFormatting sqref="P31:P40">
    <cfRule type="cellIs" dxfId="2404" priority="2230" operator="greaterThan">
      <formula>0</formula>
    </cfRule>
  </conditionalFormatting>
  <conditionalFormatting sqref="P31:P40">
    <cfRule type="cellIs" dxfId="2403" priority="2224" operator="greaterThan">
      <formula>0</formula>
    </cfRule>
  </conditionalFormatting>
  <conditionalFormatting sqref="Q31">
    <cfRule type="cellIs" dxfId="2402" priority="2229" operator="lessThan">
      <formula>0</formula>
    </cfRule>
  </conditionalFormatting>
  <conditionalFormatting sqref="R31">
    <cfRule type="cellIs" dxfId="2401" priority="2227" operator="lessThan">
      <formula>0.8</formula>
    </cfRule>
    <cfRule type="cellIs" dxfId="2400" priority="2228" operator="greaterThan">
      <formula>1</formula>
    </cfRule>
  </conditionalFormatting>
  <conditionalFormatting sqref="R31">
    <cfRule type="cellIs" dxfId="2399" priority="2225" operator="greaterThan">
      <formula>1</formula>
    </cfRule>
    <cfRule type="cellIs" dxfId="2398" priority="2226" operator="lessThan">
      <formula>0.8</formula>
    </cfRule>
  </conditionalFormatting>
  <conditionalFormatting sqref="P31:P40">
    <cfRule type="cellIs" dxfId="2397" priority="2218" operator="greaterThan">
      <formula>0</formula>
    </cfRule>
  </conditionalFormatting>
  <conditionalFormatting sqref="Q31">
    <cfRule type="cellIs" dxfId="2396" priority="2223" operator="lessThan">
      <formula>0</formula>
    </cfRule>
  </conditionalFormatting>
  <conditionalFormatting sqref="R31">
    <cfRule type="cellIs" dxfId="2395" priority="2221" operator="lessThan">
      <formula>0.8</formula>
    </cfRule>
    <cfRule type="cellIs" dxfId="2394" priority="2222" operator="greaterThan">
      <formula>1</formula>
    </cfRule>
  </conditionalFormatting>
  <conditionalFormatting sqref="R31">
    <cfRule type="cellIs" dxfId="2393" priority="2219" operator="greaterThan">
      <formula>1</formula>
    </cfRule>
    <cfRule type="cellIs" dxfId="2392" priority="2220" operator="lessThan">
      <formula>0.8</formula>
    </cfRule>
  </conditionalFormatting>
  <conditionalFormatting sqref="R31">
    <cfRule type="cellIs" dxfId="2391" priority="2215" operator="lessThan">
      <formula>0.8</formula>
    </cfRule>
    <cfRule type="cellIs" dxfId="2390" priority="2216" operator="greaterThan">
      <formula>1</formula>
    </cfRule>
  </conditionalFormatting>
  <conditionalFormatting sqref="R31">
    <cfRule type="cellIs" dxfId="2389" priority="2213" operator="greaterThan">
      <formula>1</formula>
    </cfRule>
    <cfRule type="cellIs" dxfId="2388" priority="2214" operator="lessThan">
      <formula>0.8</formula>
    </cfRule>
  </conditionalFormatting>
  <conditionalFormatting sqref="P31:P40">
    <cfRule type="cellIs" dxfId="2387" priority="2212" operator="greaterThan">
      <formula>0</formula>
    </cfRule>
  </conditionalFormatting>
  <conditionalFormatting sqref="Q31">
    <cfRule type="cellIs" dxfId="2386" priority="2217" operator="lessThan">
      <formula>0</formula>
    </cfRule>
  </conditionalFormatting>
  <conditionalFormatting sqref="P31:P40">
    <cfRule type="cellIs" dxfId="2385" priority="2206" operator="greaterThan">
      <formula>0</formula>
    </cfRule>
  </conditionalFormatting>
  <conditionalFormatting sqref="Q31">
    <cfRule type="cellIs" dxfId="2384" priority="2211" operator="lessThan">
      <formula>0</formula>
    </cfRule>
  </conditionalFormatting>
  <conditionalFormatting sqref="R31">
    <cfRule type="cellIs" dxfId="2383" priority="2209" operator="lessThan">
      <formula>0.8</formula>
    </cfRule>
    <cfRule type="cellIs" dxfId="2382" priority="2210" operator="greaterThan">
      <formula>1</formula>
    </cfRule>
  </conditionalFormatting>
  <conditionalFormatting sqref="R31">
    <cfRule type="cellIs" dxfId="2381" priority="2207" operator="greaterThan">
      <formula>1</formula>
    </cfRule>
    <cfRule type="cellIs" dxfId="2380" priority="2208" operator="lessThan">
      <formula>0.8</formula>
    </cfRule>
  </conditionalFormatting>
  <conditionalFormatting sqref="R31">
    <cfRule type="cellIs" dxfId="2379" priority="2203" operator="lessThan">
      <formula>0.8</formula>
    </cfRule>
    <cfRule type="cellIs" dxfId="2378" priority="2204" operator="greaterThan">
      <formula>1</formula>
    </cfRule>
  </conditionalFormatting>
  <conditionalFormatting sqref="R31">
    <cfRule type="cellIs" dxfId="2377" priority="2201" operator="greaterThan">
      <formula>1</formula>
    </cfRule>
    <cfRule type="cellIs" dxfId="2376" priority="2202" operator="lessThan">
      <formula>0.8</formula>
    </cfRule>
  </conditionalFormatting>
  <conditionalFormatting sqref="P31:P40">
    <cfRule type="cellIs" dxfId="2375" priority="2200" operator="greaterThan">
      <formula>0</formula>
    </cfRule>
  </conditionalFormatting>
  <conditionalFormatting sqref="Q31">
    <cfRule type="cellIs" dxfId="2374" priority="2205" operator="lessThan">
      <formula>0</formula>
    </cfRule>
  </conditionalFormatting>
  <conditionalFormatting sqref="R31">
    <cfRule type="cellIs" dxfId="2373" priority="2197" operator="lessThan">
      <formula>0.8</formula>
    </cfRule>
    <cfRule type="cellIs" dxfId="2372" priority="2198" operator="greaterThan">
      <formula>1</formula>
    </cfRule>
  </conditionalFormatting>
  <conditionalFormatting sqref="R31">
    <cfRule type="cellIs" dxfId="2371" priority="2195" operator="greaterThan">
      <formula>1</formula>
    </cfRule>
    <cfRule type="cellIs" dxfId="2370" priority="2196" operator="lessThan">
      <formula>0.8</formula>
    </cfRule>
  </conditionalFormatting>
  <conditionalFormatting sqref="P31:P40">
    <cfRule type="cellIs" dxfId="2369" priority="2194" operator="greaterThan">
      <formula>0</formula>
    </cfRule>
  </conditionalFormatting>
  <conditionalFormatting sqref="Q31">
    <cfRule type="cellIs" dxfId="2368" priority="2199" operator="lessThan">
      <formula>0</formula>
    </cfRule>
  </conditionalFormatting>
  <conditionalFormatting sqref="Q31">
    <cfRule type="cellIs" dxfId="2367" priority="2193" operator="lessThan">
      <formula>0</formula>
    </cfRule>
  </conditionalFormatting>
  <conditionalFormatting sqref="R31">
    <cfRule type="cellIs" dxfId="2366" priority="2191" operator="lessThan">
      <formula>0.8</formula>
    </cfRule>
    <cfRule type="cellIs" dxfId="2365" priority="2192" operator="greaterThan">
      <formula>1</formula>
    </cfRule>
  </conditionalFormatting>
  <conditionalFormatting sqref="R31">
    <cfRule type="cellIs" dxfId="2364" priority="2189" operator="greaterThan">
      <formula>1</formula>
    </cfRule>
    <cfRule type="cellIs" dxfId="2363" priority="2190" operator="lessThan">
      <formula>0.8</formula>
    </cfRule>
  </conditionalFormatting>
  <conditionalFormatting sqref="P31:P40">
    <cfRule type="cellIs" dxfId="2362" priority="2188" operator="greaterThan">
      <formula>0</formula>
    </cfRule>
  </conditionalFormatting>
  <conditionalFormatting sqref="Q31">
    <cfRule type="cellIs" dxfId="2361" priority="2182" operator="lessThan">
      <formula>0</formula>
    </cfRule>
  </conditionalFormatting>
  <conditionalFormatting sqref="R31">
    <cfRule type="cellIs" dxfId="2360" priority="2186" operator="lessThan">
      <formula>0.8</formula>
    </cfRule>
    <cfRule type="cellIs" dxfId="2359" priority="2187" operator="greaterThan">
      <formula>1</formula>
    </cfRule>
  </conditionalFormatting>
  <conditionalFormatting sqref="R31">
    <cfRule type="cellIs" dxfId="2358" priority="2184" operator="greaterThan">
      <formula>1</formula>
    </cfRule>
    <cfRule type="cellIs" dxfId="2357" priority="2185" operator="lessThan">
      <formula>0.8</formula>
    </cfRule>
  </conditionalFormatting>
  <conditionalFormatting sqref="P31:P40">
    <cfRule type="cellIs" dxfId="2356" priority="2183" operator="greaterThan">
      <formula>0</formula>
    </cfRule>
  </conditionalFormatting>
  <conditionalFormatting sqref="Q31">
    <cfRule type="cellIs" dxfId="2355" priority="2181" operator="lessThan">
      <formula>0</formula>
    </cfRule>
  </conditionalFormatting>
  <conditionalFormatting sqref="R31">
    <cfRule type="cellIs" dxfId="2354" priority="2179" operator="lessThan">
      <formula>0.8</formula>
    </cfRule>
    <cfRule type="cellIs" dxfId="2353" priority="2180" operator="greaterThan">
      <formula>1</formula>
    </cfRule>
  </conditionalFormatting>
  <conditionalFormatting sqref="R31">
    <cfRule type="cellIs" dxfId="2352" priority="2177" operator="greaterThan">
      <formula>1</formula>
    </cfRule>
    <cfRule type="cellIs" dxfId="2351" priority="2178" operator="lessThan">
      <formula>0.8</formula>
    </cfRule>
  </conditionalFormatting>
  <conditionalFormatting sqref="P31:P40">
    <cfRule type="cellIs" dxfId="2350" priority="2176" operator="greaterThan">
      <formula>0</formula>
    </cfRule>
  </conditionalFormatting>
  <conditionalFormatting sqref="Q31">
    <cfRule type="cellIs" dxfId="2349" priority="2175" operator="lessThan">
      <formula>0</formula>
    </cfRule>
  </conditionalFormatting>
  <conditionalFormatting sqref="R31">
    <cfRule type="cellIs" dxfId="2348" priority="2173" operator="lessThan">
      <formula>0.8</formula>
    </cfRule>
    <cfRule type="cellIs" dxfId="2347" priority="2174" operator="greaterThan">
      <formula>1</formula>
    </cfRule>
  </conditionalFormatting>
  <conditionalFormatting sqref="R31">
    <cfRule type="cellIs" dxfId="2346" priority="2171" operator="greaterThan">
      <formula>1</formula>
    </cfRule>
    <cfRule type="cellIs" dxfId="2345" priority="2172" operator="lessThan">
      <formula>0.8</formula>
    </cfRule>
  </conditionalFormatting>
  <conditionalFormatting sqref="P31:P40">
    <cfRule type="cellIs" dxfId="2344" priority="2170" operator="greaterThan">
      <formula>0</formula>
    </cfRule>
  </conditionalFormatting>
  <conditionalFormatting sqref="Q31">
    <cfRule type="cellIs" dxfId="2343" priority="2169" operator="lessThan">
      <formula>0</formula>
    </cfRule>
  </conditionalFormatting>
  <conditionalFormatting sqref="R31">
    <cfRule type="cellIs" dxfId="2342" priority="2167" operator="lessThan">
      <formula>0.8</formula>
    </cfRule>
    <cfRule type="cellIs" dxfId="2341" priority="2168" operator="greaterThan">
      <formula>1</formula>
    </cfRule>
  </conditionalFormatting>
  <conditionalFormatting sqref="R31">
    <cfRule type="cellIs" dxfId="2340" priority="2165" operator="greaterThan">
      <formula>1</formula>
    </cfRule>
    <cfRule type="cellIs" dxfId="2339" priority="2166" operator="lessThan">
      <formula>0.8</formula>
    </cfRule>
  </conditionalFormatting>
  <conditionalFormatting sqref="P31:P40">
    <cfRule type="cellIs" dxfId="2338" priority="2164" operator="greaterThan">
      <formula>0</formula>
    </cfRule>
  </conditionalFormatting>
  <conditionalFormatting sqref="Q31">
    <cfRule type="cellIs" dxfId="2337" priority="2163" operator="lessThan">
      <formula>0</formula>
    </cfRule>
  </conditionalFormatting>
  <conditionalFormatting sqref="R31">
    <cfRule type="cellIs" dxfId="2336" priority="2161" operator="lessThan">
      <formula>0.8</formula>
    </cfRule>
    <cfRule type="cellIs" dxfId="2335" priority="2162" operator="greaterThan">
      <formula>1</formula>
    </cfRule>
  </conditionalFormatting>
  <conditionalFormatting sqref="R31">
    <cfRule type="cellIs" dxfId="2334" priority="2159" operator="greaterThan">
      <formula>1</formula>
    </cfRule>
    <cfRule type="cellIs" dxfId="2333" priority="2160" operator="lessThan">
      <formula>0.8</formula>
    </cfRule>
  </conditionalFormatting>
  <conditionalFormatting sqref="P31:P40">
    <cfRule type="cellIs" dxfId="2332" priority="2158" operator="greaterThan">
      <formula>0</formula>
    </cfRule>
  </conditionalFormatting>
  <conditionalFormatting sqref="Q31">
    <cfRule type="cellIs" dxfId="2331" priority="2157" operator="lessThan">
      <formula>0</formula>
    </cfRule>
  </conditionalFormatting>
  <conditionalFormatting sqref="R31">
    <cfRule type="cellIs" dxfId="2330" priority="2155" operator="lessThan">
      <formula>0.8</formula>
    </cfRule>
    <cfRule type="cellIs" dxfId="2329" priority="2156" operator="greaterThan">
      <formula>1</formula>
    </cfRule>
  </conditionalFormatting>
  <conditionalFormatting sqref="R31">
    <cfRule type="cellIs" dxfId="2328" priority="2153" operator="greaterThan">
      <formula>1</formula>
    </cfRule>
    <cfRule type="cellIs" dxfId="2327" priority="2154" operator="lessThan">
      <formula>0.8</formula>
    </cfRule>
  </conditionalFormatting>
  <conditionalFormatting sqref="P31:P40">
    <cfRule type="cellIs" dxfId="2326" priority="2152" operator="greaterThan">
      <formula>0</formula>
    </cfRule>
  </conditionalFormatting>
  <conditionalFormatting sqref="P31:P40">
    <cfRule type="cellIs" dxfId="2325" priority="2146" operator="greaterThan">
      <formula>0</formula>
    </cfRule>
  </conditionalFormatting>
  <conditionalFormatting sqref="Q31">
    <cfRule type="cellIs" dxfId="2324" priority="2151" operator="lessThan">
      <formula>0</formula>
    </cfRule>
  </conditionalFormatting>
  <conditionalFormatting sqref="R31">
    <cfRule type="cellIs" dxfId="2323" priority="2149" operator="lessThan">
      <formula>0.8</formula>
    </cfRule>
    <cfRule type="cellIs" dxfId="2322" priority="2150" operator="greaterThan">
      <formula>1</formula>
    </cfRule>
  </conditionalFormatting>
  <conditionalFormatting sqref="R31">
    <cfRule type="cellIs" dxfId="2321" priority="2147" operator="greaterThan">
      <formula>1</formula>
    </cfRule>
    <cfRule type="cellIs" dxfId="2320" priority="2148" operator="lessThan">
      <formula>0.8</formula>
    </cfRule>
  </conditionalFormatting>
  <conditionalFormatting sqref="P31:P40">
    <cfRule type="cellIs" dxfId="2319" priority="2140" operator="greaterThan">
      <formula>0</formula>
    </cfRule>
  </conditionalFormatting>
  <conditionalFormatting sqref="Q31">
    <cfRule type="cellIs" dxfId="2318" priority="2145" operator="lessThan">
      <formula>0</formula>
    </cfRule>
  </conditionalFormatting>
  <conditionalFormatting sqref="R31">
    <cfRule type="cellIs" dxfId="2317" priority="2143" operator="lessThan">
      <formula>0.8</formula>
    </cfRule>
    <cfRule type="cellIs" dxfId="2316" priority="2144" operator="greaterThan">
      <formula>1</formula>
    </cfRule>
  </conditionalFormatting>
  <conditionalFormatting sqref="R31">
    <cfRule type="cellIs" dxfId="2315" priority="2141" operator="greaterThan">
      <formula>1</formula>
    </cfRule>
    <cfRule type="cellIs" dxfId="2314" priority="2142" operator="lessThan">
      <formula>0.8</formula>
    </cfRule>
  </conditionalFormatting>
  <conditionalFormatting sqref="R31">
    <cfRule type="cellIs" dxfId="2313" priority="2137" operator="lessThan">
      <formula>0.8</formula>
    </cfRule>
    <cfRule type="cellIs" dxfId="2312" priority="2138" operator="greaterThan">
      <formula>1</formula>
    </cfRule>
  </conditionalFormatting>
  <conditionalFormatting sqref="R31">
    <cfRule type="cellIs" dxfId="2311" priority="2135" operator="greaterThan">
      <formula>1</formula>
    </cfRule>
    <cfRule type="cellIs" dxfId="2310" priority="2136" operator="lessThan">
      <formula>0.8</formula>
    </cfRule>
  </conditionalFormatting>
  <conditionalFormatting sqref="P31:P40">
    <cfRule type="cellIs" dxfId="2309" priority="2134" operator="greaterThan">
      <formula>0</formula>
    </cfRule>
  </conditionalFormatting>
  <conditionalFormatting sqref="Q31">
    <cfRule type="cellIs" dxfId="2308" priority="2139" operator="lessThan">
      <formula>0</formula>
    </cfRule>
  </conditionalFormatting>
  <conditionalFormatting sqref="P79">
    <cfRule type="cellIs" dxfId="2307" priority="2128" operator="greaterThan">
      <formula>0</formula>
    </cfRule>
  </conditionalFormatting>
  <conditionalFormatting sqref="Q79">
    <cfRule type="cellIs" dxfId="2306" priority="2133" operator="lessThan">
      <formula>0</formula>
    </cfRule>
  </conditionalFormatting>
  <conditionalFormatting sqref="R79">
    <cfRule type="cellIs" dxfId="2305" priority="2131" operator="lessThan">
      <formula>0.8</formula>
    </cfRule>
    <cfRule type="cellIs" dxfId="2304" priority="2132" operator="greaterThan">
      <formula>1</formula>
    </cfRule>
  </conditionalFormatting>
  <conditionalFormatting sqref="R79">
    <cfRule type="cellIs" dxfId="2303" priority="2129" operator="greaterThan">
      <formula>1</formula>
    </cfRule>
    <cfRule type="cellIs" dxfId="2302" priority="2130" operator="lessThan">
      <formula>0.8</formula>
    </cfRule>
  </conditionalFormatting>
  <conditionalFormatting sqref="Q79">
    <cfRule type="cellIs" dxfId="2301" priority="2127" operator="lessThan">
      <formula>0</formula>
    </cfRule>
  </conditionalFormatting>
  <conditionalFormatting sqref="R79">
    <cfRule type="cellIs" dxfId="2300" priority="2125" operator="lessThan">
      <formula>0.8</formula>
    </cfRule>
    <cfRule type="cellIs" dxfId="2299" priority="2126" operator="greaterThan">
      <formula>1</formula>
    </cfRule>
  </conditionalFormatting>
  <conditionalFormatting sqref="R79">
    <cfRule type="cellIs" dxfId="2298" priority="2123" operator="greaterThan">
      <formula>1</formula>
    </cfRule>
    <cfRule type="cellIs" dxfId="2297" priority="2124" operator="lessThan">
      <formula>0.8</formula>
    </cfRule>
  </conditionalFormatting>
  <conditionalFormatting sqref="P79">
    <cfRule type="cellIs" dxfId="2296" priority="2122" operator="greaterThan">
      <formula>0</formula>
    </cfRule>
  </conditionalFormatting>
  <conditionalFormatting sqref="P79">
    <cfRule type="cellIs" dxfId="2295" priority="2116" operator="greaterThan">
      <formula>0</formula>
    </cfRule>
  </conditionalFormatting>
  <conditionalFormatting sqref="Q79">
    <cfRule type="cellIs" dxfId="2294" priority="2121" operator="lessThan">
      <formula>0</formula>
    </cfRule>
  </conditionalFormatting>
  <conditionalFormatting sqref="R79">
    <cfRule type="cellIs" dxfId="2293" priority="2119" operator="lessThan">
      <formula>0.8</formula>
    </cfRule>
    <cfRule type="cellIs" dxfId="2292" priority="2120" operator="greaterThan">
      <formula>1</formula>
    </cfRule>
  </conditionalFormatting>
  <conditionalFormatting sqref="R79">
    <cfRule type="cellIs" dxfId="2291" priority="2117" operator="greaterThan">
      <formula>1</formula>
    </cfRule>
    <cfRule type="cellIs" dxfId="2290" priority="2118" operator="lessThan">
      <formula>0.8</formula>
    </cfRule>
  </conditionalFormatting>
  <conditionalFormatting sqref="Q79">
    <cfRule type="cellIs" dxfId="2289" priority="2110" operator="lessThan">
      <formula>0</formula>
    </cfRule>
  </conditionalFormatting>
  <conditionalFormatting sqref="P79">
    <cfRule type="cellIs" dxfId="2288" priority="2111" operator="greaterThan">
      <formula>0</formula>
    </cfRule>
  </conditionalFormatting>
  <conditionalFormatting sqref="R79">
    <cfRule type="cellIs" dxfId="2287" priority="2114" operator="lessThan">
      <formula>0.8</formula>
    </cfRule>
    <cfRule type="cellIs" dxfId="2286" priority="2115" operator="greaterThan">
      <formula>1</formula>
    </cfRule>
  </conditionalFormatting>
  <conditionalFormatting sqref="R79">
    <cfRule type="cellIs" dxfId="2285" priority="2112" operator="greaterThan">
      <formula>1</formula>
    </cfRule>
    <cfRule type="cellIs" dxfId="2284" priority="2113" operator="lessThan">
      <formula>0.8</formula>
    </cfRule>
  </conditionalFormatting>
  <conditionalFormatting sqref="Q79">
    <cfRule type="cellIs" dxfId="2283" priority="2104" operator="lessThan">
      <formula>0</formula>
    </cfRule>
  </conditionalFormatting>
  <conditionalFormatting sqref="R79">
    <cfRule type="cellIs" dxfId="2282" priority="2108" operator="lessThan">
      <formula>0.8</formula>
    </cfRule>
    <cfRule type="cellIs" dxfId="2281" priority="2109" operator="greaterThan">
      <formula>1</formula>
    </cfRule>
  </conditionalFormatting>
  <conditionalFormatting sqref="R79">
    <cfRule type="cellIs" dxfId="2280" priority="2106" operator="greaterThan">
      <formula>1</formula>
    </cfRule>
    <cfRule type="cellIs" dxfId="2279" priority="2107" operator="lessThan">
      <formula>0.8</formula>
    </cfRule>
  </conditionalFormatting>
  <conditionalFormatting sqref="P79">
    <cfRule type="cellIs" dxfId="2278" priority="2105" operator="greaterThan">
      <formula>0</formula>
    </cfRule>
  </conditionalFormatting>
  <conditionalFormatting sqref="Q79">
    <cfRule type="cellIs" dxfId="2277" priority="2103" operator="lessThan">
      <formula>0</formula>
    </cfRule>
  </conditionalFormatting>
  <conditionalFormatting sqref="R79">
    <cfRule type="cellIs" dxfId="2276" priority="2101" operator="lessThan">
      <formula>0.8</formula>
    </cfRule>
    <cfRule type="cellIs" dxfId="2275" priority="2102" operator="greaterThan">
      <formula>1</formula>
    </cfRule>
  </conditionalFormatting>
  <conditionalFormatting sqref="R79">
    <cfRule type="cellIs" dxfId="2274" priority="2099" operator="greaterThan">
      <formula>1</formula>
    </cfRule>
    <cfRule type="cellIs" dxfId="2273" priority="2100" operator="lessThan">
      <formula>0.8</formula>
    </cfRule>
  </conditionalFormatting>
  <conditionalFormatting sqref="P79">
    <cfRule type="cellIs" dxfId="2272" priority="2098" operator="greaterThan">
      <formula>0</formula>
    </cfRule>
  </conditionalFormatting>
  <conditionalFormatting sqref="Q79">
    <cfRule type="cellIs" dxfId="2271" priority="2097" operator="lessThan">
      <formula>0</formula>
    </cfRule>
  </conditionalFormatting>
  <conditionalFormatting sqref="R79">
    <cfRule type="cellIs" dxfId="2270" priority="2095" operator="lessThan">
      <formula>0.8</formula>
    </cfRule>
    <cfRule type="cellIs" dxfId="2269" priority="2096" operator="greaterThan">
      <formula>1</formula>
    </cfRule>
  </conditionalFormatting>
  <conditionalFormatting sqref="R79">
    <cfRule type="cellIs" dxfId="2268" priority="2093" operator="greaterThan">
      <formula>1</formula>
    </cfRule>
    <cfRule type="cellIs" dxfId="2267" priority="2094" operator="lessThan">
      <formula>0.8</formula>
    </cfRule>
  </conditionalFormatting>
  <conditionalFormatting sqref="P79">
    <cfRule type="cellIs" dxfId="2266" priority="2092" operator="greaterThan">
      <formula>0</formula>
    </cfRule>
  </conditionalFormatting>
  <conditionalFormatting sqref="P79">
    <cfRule type="cellIs" dxfId="2265" priority="2086" operator="greaterThan">
      <formula>0</formula>
    </cfRule>
  </conditionalFormatting>
  <conditionalFormatting sqref="Q79">
    <cfRule type="cellIs" dxfId="2264" priority="2091" operator="lessThan">
      <formula>0</formula>
    </cfRule>
  </conditionalFormatting>
  <conditionalFormatting sqref="R79">
    <cfRule type="cellIs" dxfId="2263" priority="2089" operator="lessThan">
      <formula>0.8</formula>
    </cfRule>
    <cfRule type="cellIs" dxfId="2262" priority="2090" operator="greaterThan">
      <formula>1</formula>
    </cfRule>
  </conditionalFormatting>
  <conditionalFormatting sqref="R79">
    <cfRule type="cellIs" dxfId="2261" priority="2087" operator="greaterThan">
      <formula>1</formula>
    </cfRule>
    <cfRule type="cellIs" dxfId="2260" priority="2088" operator="lessThan">
      <formula>0.8</formula>
    </cfRule>
  </conditionalFormatting>
  <conditionalFormatting sqref="P71:P78">
    <cfRule type="cellIs" dxfId="2259" priority="2080" operator="greaterThan">
      <formula>0</formula>
    </cfRule>
  </conditionalFormatting>
  <conditionalFormatting sqref="Q71:Q78">
    <cfRule type="cellIs" dxfId="2258" priority="2085" operator="lessThan">
      <formula>0</formula>
    </cfRule>
  </conditionalFormatting>
  <conditionalFormatting sqref="R71:R78">
    <cfRule type="cellIs" dxfId="2257" priority="2083" operator="lessThan">
      <formula>0.8</formula>
    </cfRule>
    <cfRule type="cellIs" dxfId="2256" priority="2084" operator="greaterThan">
      <formula>1</formula>
    </cfRule>
  </conditionalFormatting>
  <conditionalFormatting sqref="R71:R78">
    <cfRule type="cellIs" dxfId="2255" priority="2081" operator="greaterThan">
      <formula>1</formula>
    </cfRule>
    <cfRule type="cellIs" dxfId="2254" priority="2082" operator="lessThan">
      <formula>0.8</formula>
    </cfRule>
  </conditionalFormatting>
  <conditionalFormatting sqref="Q148:Q156">
    <cfRule type="cellIs" dxfId="2253" priority="2079" operator="lessThan">
      <formula>0</formula>
    </cfRule>
  </conditionalFormatting>
  <conditionalFormatting sqref="R148:R156">
    <cfRule type="cellIs" dxfId="2252" priority="2077" operator="lessThan">
      <formula>0.8</formula>
    </cfRule>
    <cfRule type="cellIs" dxfId="2251" priority="2078" operator="greaterThan">
      <formula>1</formula>
    </cfRule>
  </conditionalFormatting>
  <conditionalFormatting sqref="R148:R156">
    <cfRule type="cellIs" dxfId="2250" priority="2075" operator="greaterThan">
      <formula>1</formula>
    </cfRule>
    <cfRule type="cellIs" dxfId="2249" priority="2076" operator="lessThan">
      <formula>0.8</formula>
    </cfRule>
  </conditionalFormatting>
  <conditionalFormatting sqref="P148:P156">
    <cfRule type="cellIs" dxfId="2248" priority="2074" operator="greaterThan">
      <formula>0</formula>
    </cfRule>
  </conditionalFormatting>
  <conditionalFormatting sqref="Q148:Q156">
    <cfRule type="cellIs" dxfId="2247" priority="2073" operator="lessThan">
      <formula>0</formula>
    </cfRule>
  </conditionalFormatting>
  <conditionalFormatting sqref="R148:R156">
    <cfRule type="cellIs" dxfId="2246" priority="2071" operator="lessThan">
      <formula>0.8</formula>
    </cfRule>
    <cfRule type="cellIs" dxfId="2245" priority="2072" operator="greaterThan">
      <formula>1</formula>
    </cfRule>
  </conditionalFormatting>
  <conditionalFormatting sqref="R148:R156">
    <cfRule type="cellIs" dxfId="2244" priority="2069" operator="greaterThan">
      <formula>1</formula>
    </cfRule>
    <cfRule type="cellIs" dxfId="2243" priority="2070" operator="lessThan">
      <formula>0.8</formula>
    </cfRule>
  </conditionalFormatting>
  <conditionalFormatting sqref="P148:P156">
    <cfRule type="cellIs" dxfId="2242" priority="2068" operator="greaterThan">
      <formula>0</formula>
    </cfRule>
  </conditionalFormatting>
  <conditionalFormatting sqref="Q148:Q156">
    <cfRule type="cellIs" dxfId="2241" priority="2067" operator="lessThan">
      <formula>0</formula>
    </cfRule>
  </conditionalFormatting>
  <conditionalFormatting sqref="R148:R156">
    <cfRule type="cellIs" dxfId="2240" priority="2065" operator="lessThan">
      <formula>0.8</formula>
    </cfRule>
    <cfRule type="cellIs" dxfId="2239" priority="2066" operator="greaterThan">
      <formula>1</formula>
    </cfRule>
  </conditionalFormatting>
  <conditionalFormatting sqref="R148:R156">
    <cfRule type="cellIs" dxfId="2238" priority="2063" operator="greaterThan">
      <formula>1</formula>
    </cfRule>
    <cfRule type="cellIs" dxfId="2237" priority="2064" operator="lessThan">
      <formula>0.8</formula>
    </cfRule>
  </conditionalFormatting>
  <conditionalFormatting sqref="P148:P156">
    <cfRule type="cellIs" dxfId="2236" priority="2062" operator="greaterThan">
      <formula>0</formula>
    </cfRule>
  </conditionalFormatting>
  <conditionalFormatting sqref="Q148:Q156">
    <cfRule type="cellIs" dxfId="2235" priority="2061" operator="lessThan">
      <formula>0</formula>
    </cfRule>
  </conditionalFormatting>
  <conditionalFormatting sqref="R148:R156">
    <cfRule type="cellIs" dxfId="2234" priority="2059" operator="lessThan">
      <formula>0.8</formula>
    </cfRule>
    <cfRule type="cellIs" dxfId="2233" priority="2060" operator="greaterThan">
      <formula>1</formula>
    </cfRule>
  </conditionalFormatting>
  <conditionalFormatting sqref="R148:R156">
    <cfRule type="cellIs" dxfId="2232" priority="2057" operator="greaterThan">
      <formula>1</formula>
    </cfRule>
    <cfRule type="cellIs" dxfId="2231" priority="2058" operator="lessThan">
      <formula>0.8</formula>
    </cfRule>
  </conditionalFormatting>
  <conditionalFormatting sqref="P148:P156">
    <cfRule type="cellIs" dxfId="2230" priority="2056" operator="greaterThan">
      <formula>0</formula>
    </cfRule>
  </conditionalFormatting>
  <conditionalFormatting sqref="P148:P156">
    <cfRule type="cellIs" dxfId="2229" priority="2050" operator="greaterThan">
      <formula>0</formula>
    </cfRule>
  </conditionalFormatting>
  <conditionalFormatting sqref="Q148:Q156">
    <cfRule type="cellIs" dxfId="2228" priority="2055" operator="lessThan">
      <formula>0</formula>
    </cfRule>
  </conditionalFormatting>
  <conditionalFormatting sqref="R148:R156">
    <cfRule type="cellIs" dxfId="2227" priority="2053" operator="lessThan">
      <formula>0.8</formula>
    </cfRule>
    <cfRule type="cellIs" dxfId="2226" priority="2054" operator="greaterThan">
      <formula>1</formula>
    </cfRule>
  </conditionalFormatting>
  <conditionalFormatting sqref="R148:R156">
    <cfRule type="cellIs" dxfId="2225" priority="2051" operator="greaterThan">
      <formula>1</formula>
    </cfRule>
    <cfRule type="cellIs" dxfId="2224" priority="2052" operator="lessThan">
      <formula>0.8</formula>
    </cfRule>
  </conditionalFormatting>
  <conditionalFormatting sqref="P148:P156">
    <cfRule type="cellIs" dxfId="2223" priority="2044" operator="greaterThan">
      <formula>0</formula>
    </cfRule>
  </conditionalFormatting>
  <conditionalFormatting sqref="Q148:Q156">
    <cfRule type="cellIs" dxfId="2222" priority="2049" operator="lessThan">
      <formula>0</formula>
    </cfRule>
  </conditionalFormatting>
  <conditionalFormatting sqref="R148:R156">
    <cfRule type="cellIs" dxfId="2221" priority="2047" operator="lessThan">
      <formula>0.8</formula>
    </cfRule>
    <cfRule type="cellIs" dxfId="2220" priority="2048" operator="greaterThan">
      <formula>1</formula>
    </cfRule>
  </conditionalFormatting>
  <conditionalFormatting sqref="R148:R156">
    <cfRule type="cellIs" dxfId="2219" priority="2045" operator="greaterThan">
      <formula>1</formula>
    </cfRule>
    <cfRule type="cellIs" dxfId="2218" priority="2046" operator="lessThan">
      <formula>0.8</formula>
    </cfRule>
  </conditionalFormatting>
  <conditionalFormatting sqref="R148:R156">
    <cfRule type="cellIs" dxfId="2217" priority="2041" operator="lessThan">
      <formula>0.8</formula>
    </cfRule>
    <cfRule type="cellIs" dxfId="2216" priority="2042" operator="greaterThan">
      <formula>1</formula>
    </cfRule>
  </conditionalFormatting>
  <conditionalFormatting sqref="R148:R156">
    <cfRule type="cellIs" dxfId="2215" priority="2039" operator="greaterThan">
      <formula>1</formula>
    </cfRule>
    <cfRule type="cellIs" dxfId="2214" priority="2040" operator="lessThan">
      <formula>0.8</formula>
    </cfRule>
  </conditionalFormatting>
  <conditionalFormatting sqref="P148:P156">
    <cfRule type="cellIs" dxfId="2213" priority="2038" operator="greaterThan">
      <formula>0</formula>
    </cfRule>
  </conditionalFormatting>
  <conditionalFormatting sqref="Q148:Q156">
    <cfRule type="cellIs" dxfId="2212" priority="2043" operator="lessThan">
      <formula>0</formula>
    </cfRule>
  </conditionalFormatting>
  <conditionalFormatting sqref="Q148:Q156">
    <cfRule type="cellIs" dxfId="2211" priority="2037" operator="lessThan">
      <formula>0</formula>
    </cfRule>
  </conditionalFormatting>
  <conditionalFormatting sqref="R148:R156">
    <cfRule type="cellIs" dxfId="2210" priority="2035" operator="lessThan">
      <formula>0.8</formula>
    </cfRule>
    <cfRule type="cellIs" dxfId="2209" priority="2036" operator="greaterThan">
      <formula>1</formula>
    </cfRule>
  </conditionalFormatting>
  <conditionalFormatting sqref="R148:R156">
    <cfRule type="cellIs" dxfId="2208" priority="2033" operator="greaterThan">
      <formula>1</formula>
    </cfRule>
    <cfRule type="cellIs" dxfId="2207" priority="2034" operator="lessThan">
      <formula>0.8</formula>
    </cfRule>
  </conditionalFormatting>
  <conditionalFormatting sqref="P148:P156">
    <cfRule type="cellIs" dxfId="2206" priority="2032" operator="greaterThan">
      <formula>0</formula>
    </cfRule>
  </conditionalFormatting>
  <conditionalFormatting sqref="P148:P156">
    <cfRule type="cellIs" dxfId="2205" priority="2026" operator="greaterThan">
      <formula>0</formula>
    </cfRule>
  </conditionalFormatting>
  <conditionalFormatting sqref="Q148:Q156">
    <cfRule type="cellIs" dxfId="2204" priority="2031" operator="lessThan">
      <formula>0</formula>
    </cfRule>
  </conditionalFormatting>
  <conditionalFormatting sqref="R148:R156">
    <cfRule type="cellIs" dxfId="2203" priority="2029" operator="lessThan">
      <formula>0.8</formula>
    </cfRule>
    <cfRule type="cellIs" dxfId="2202" priority="2030" operator="greaterThan">
      <formula>1</formula>
    </cfRule>
  </conditionalFormatting>
  <conditionalFormatting sqref="R148:R156">
    <cfRule type="cellIs" dxfId="2201" priority="2027" operator="greaterThan">
      <formula>1</formula>
    </cfRule>
    <cfRule type="cellIs" dxfId="2200" priority="2028" operator="lessThan">
      <formula>0.8</formula>
    </cfRule>
  </conditionalFormatting>
  <conditionalFormatting sqref="P148:P156">
    <cfRule type="cellIs" dxfId="2199" priority="2020" operator="greaterThan">
      <formula>0</formula>
    </cfRule>
  </conditionalFormatting>
  <conditionalFormatting sqref="Q148:Q156">
    <cfRule type="cellIs" dxfId="2198" priority="2025" operator="lessThan">
      <formula>0</formula>
    </cfRule>
  </conditionalFormatting>
  <conditionalFormatting sqref="R148:R156">
    <cfRule type="cellIs" dxfId="2197" priority="2023" operator="lessThan">
      <formula>0.8</formula>
    </cfRule>
    <cfRule type="cellIs" dxfId="2196" priority="2024" operator="greaterThan">
      <formula>1</formula>
    </cfRule>
  </conditionalFormatting>
  <conditionalFormatting sqref="R148:R156">
    <cfRule type="cellIs" dxfId="2195" priority="2021" operator="greaterThan">
      <formula>1</formula>
    </cfRule>
    <cfRule type="cellIs" dxfId="2194" priority="2022" operator="lessThan">
      <formula>0.8</formula>
    </cfRule>
  </conditionalFormatting>
  <conditionalFormatting sqref="R148:R156">
    <cfRule type="cellIs" dxfId="2193" priority="2017" operator="lessThan">
      <formula>0.8</formula>
    </cfRule>
    <cfRule type="cellIs" dxfId="2192" priority="2018" operator="greaterThan">
      <formula>1</formula>
    </cfRule>
  </conditionalFormatting>
  <conditionalFormatting sqref="R148:R156">
    <cfRule type="cellIs" dxfId="2191" priority="2015" operator="greaterThan">
      <formula>1</formula>
    </cfRule>
    <cfRule type="cellIs" dxfId="2190" priority="2016" operator="lessThan">
      <formula>0.8</formula>
    </cfRule>
  </conditionalFormatting>
  <conditionalFormatting sqref="P148:P156">
    <cfRule type="cellIs" dxfId="2189" priority="2014" operator="greaterThan">
      <formula>0</formula>
    </cfRule>
  </conditionalFormatting>
  <conditionalFormatting sqref="Q148:Q156">
    <cfRule type="cellIs" dxfId="2188" priority="2019" operator="lessThan">
      <formula>0</formula>
    </cfRule>
  </conditionalFormatting>
  <conditionalFormatting sqref="P148:P156">
    <cfRule type="cellIs" dxfId="2187" priority="2008" operator="greaterThan">
      <formula>0</formula>
    </cfRule>
  </conditionalFormatting>
  <conditionalFormatting sqref="Q148:Q156">
    <cfRule type="cellIs" dxfId="2186" priority="2013" operator="lessThan">
      <formula>0</formula>
    </cfRule>
  </conditionalFormatting>
  <conditionalFormatting sqref="R148:R156">
    <cfRule type="cellIs" dxfId="2185" priority="2011" operator="lessThan">
      <formula>0.8</formula>
    </cfRule>
    <cfRule type="cellIs" dxfId="2184" priority="2012" operator="greaterThan">
      <formula>1</formula>
    </cfRule>
  </conditionalFormatting>
  <conditionalFormatting sqref="R148:R156">
    <cfRule type="cellIs" dxfId="2183" priority="2009" operator="greaterThan">
      <formula>1</formula>
    </cfRule>
    <cfRule type="cellIs" dxfId="2182" priority="2010" operator="lessThan">
      <formula>0.8</formula>
    </cfRule>
  </conditionalFormatting>
  <conditionalFormatting sqref="R148:R156">
    <cfRule type="cellIs" dxfId="2181" priority="2005" operator="lessThan">
      <formula>0.8</formula>
    </cfRule>
    <cfRule type="cellIs" dxfId="2180" priority="2006" operator="greaterThan">
      <formula>1</formula>
    </cfRule>
  </conditionalFormatting>
  <conditionalFormatting sqref="R148:R156">
    <cfRule type="cellIs" dxfId="2179" priority="2003" operator="greaterThan">
      <formula>1</formula>
    </cfRule>
    <cfRule type="cellIs" dxfId="2178" priority="2004" operator="lessThan">
      <formula>0.8</formula>
    </cfRule>
  </conditionalFormatting>
  <conditionalFormatting sqref="P148:P156">
    <cfRule type="cellIs" dxfId="2177" priority="2002" operator="greaterThan">
      <formula>0</formula>
    </cfRule>
  </conditionalFormatting>
  <conditionalFormatting sqref="Q148:Q156">
    <cfRule type="cellIs" dxfId="2176" priority="2007" operator="lessThan">
      <formula>0</formula>
    </cfRule>
  </conditionalFormatting>
  <conditionalFormatting sqref="R148:R156">
    <cfRule type="cellIs" dxfId="2175" priority="1999" operator="lessThan">
      <formula>0.8</formula>
    </cfRule>
    <cfRule type="cellIs" dxfId="2174" priority="2000" operator="greaterThan">
      <formula>1</formula>
    </cfRule>
  </conditionalFormatting>
  <conditionalFormatting sqref="R148:R156">
    <cfRule type="cellIs" dxfId="2173" priority="1997" operator="greaterThan">
      <formula>1</formula>
    </cfRule>
    <cfRule type="cellIs" dxfId="2172" priority="1998" operator="lessThan">
      <formula>0.8</formula>
    </cfRule>
  </conditionalFormatting>
  <conditionalFormatting sqref="P148:P156">
    <cfRule type="cellIs" dxfId="2171" priority="1996" operator="greaterThan">
      <formula>0</formula>
    </cfRule>
  </conditionalFormatting>
  <conditionalFormatting sqref="Q148:Q156">
    <cfRule type="cellIs" dxfId="2170" priority="2001" operator="lessThan">
      <formula>0</formula>
    </cfRule>
  </conditionalFormatting>
  <conditionalFormatting sqref="Q148:Q156">
    <cfRule type="cellIs" dxfId="2169" priority="1995" operator="lessThan">
      <formula>0</formula>
    </cfRule>
  </conditionalFormatting>
  <conditionalFormatting sqref="R148:R156">
    <cfRule type="cellIs" dxfId="2168" priority="1993" operator="lessThan">
      <formula>0.8</formula>
    </cfRule>
    <cfRule type="cellIs" dxfId="2167" priority="1994" operator="greaterThan">
      <formula>1</formula>
    </cfRule>
  </conditionalFormatting>
  <conditionalFormatting sqref="R148:R156">
    <cfRule type="cellIs" dxfId="2166" priority="1991" operator="greaterThan">
      <formula>1</formula>
    </cfRule>
    <cfRule type="cellIs" dxfId="2165" priority="1992" operator="lessThan">
      <formula>0.8</formula>
    </cfRule>
  </conditionalFormatting>
  <conditionalFormatting sqref="P148:P156">
    <cfRule type="cellIs" dxfId="2164" priority="1990" operator="greaterThan">
      <formula>0</formula>
    </cfRule>
  </conditionalFormatting>
  <conditionalFormatting sqref="Q148:Q156">
    <cfRule type="cellIs" dxfId="2163" priority="1984" operator="lessThan">
      <formula>0</formula>
    </cfRule>
  </conditionalFormatting>
  <conditionalFormatting sqref="R148:R156">
    <cfRule type="cellIs" dxfId="2162" priority="1988" operator="lessThan">
      <formula>0.8</formula>
    </cfRule>
    <cfRule type="cellIs" dxfId="2161" priority="1989" operator="greaterThan">
      <formula>1</formula>
    </cfRule>
  </conditionalFormatting>
  <conditionalFormatting sqref="R148:R156">
    <cfRule type="cellIs" dxfId="2160" priority="1986" operator="greaterThan">
      <formula>1</formula>
    </cfRule>
    <cfRule type="cellIs" dxfId="2159" priority="1987" operator="lessThan">
      <formula>0.8</formula>
    </cfRule>
  </conditionalFormatting>
  <conditionalFormatting sqref="P148:P156">
    <cfRule type="cellIs" dxfId="2158" priority="1985" operator="greaterThan">
      <formula>0</formula>
    </cfRule>
  </conditionalFormatting>
  <conditionalFormatting sqref="Q148:Q156">
    <cfRule type="cellIs" dxfId="2157" priority="1983" operator="lessThan">
      <formula>0</formula>
    </cfRule>
  </conditionalFormatting>
  <conditionalFormatting sqref="R148:R156">
    <cfRule type="cellIs" dxfId="2156" priority="1981" operator="lessThan">
      <formula>0.8</formula>
    </cfRule>
    <cfRule type="cellIs" dxfId="2155" priority="1982" operator="greaterThan">
      <formula>1</formula>
    </cfRule>
  </conditionalFormatting>
  <conditionalFormatting sqref="R148:R156">
    <cfRule type="cellIs" dxfId="2154" priority="1979" operator="greaterThan">
      <formula>1</formula>
    </cfRule>
    <cfRule type="cellIs" dxfId="2153" priority="1980" operator="lessThan">
      <formula>0.8</formula>
    </cfRule>
  </conditionalFormatting>
  <conditionalFormatting sqref="P148:P156">
    <cfRule type="cellIs" dxfId="2152" priority="1978" operator="greaterThan">
      <formula>0</formula>
    </cfRule>
  </conditionalFormatting>
  <conditionalFormatting sqref="Q148:Q156">
    <cfRule type="cellIs" dxfId="2151" priority="1977" operator="lessThan">
      <formula>0</formula>
    </cfRule>
  </conditionalFormatting>
  <conditionalFormatting sqref="R148:R156">
    <cfRule type="cellIs" dxfId="2150" priority="1975" operator="lessThan">
      <formula>0.8</formula>
    </cfRule>
    <cfRule type="cellIs" dxfId="2149" priority="1976" operator="greaterThan">
      <formula>1</formula>
    </cfRule>
  </conditionalFormatting>
  <conditionalFormatting sqref="R148:R156">
    <cfRule type="cellIs" dxfId="2148" priority="1973" operator="greaterThan">
      <formula>1</formula>
    </cfRule>
    <cfRule type="cellIs" dxfId="2147" priority="1974" operator="lessThan">
      <formula>0.8</formula>
    </cfRule>
  </conditionalFormatting>
  <conditionalFormatting sqref="P148:P156">
    <cfRule type="cellIs" dxfId="2146" priority="1972" operator="greaterThan">
      <formula>0</formula>
    </cfRule>
  </conditionalFormatting>
  <conditionalFormatting sqref="Q148:Q156">
    <cfRule type="cellIs" dxfId="2145" priority="1971" operator="lessThan">
      <formula>0</formula>
    </cfRule>
  </conditionalFormatting>
  <conditionalFormatting sqref="R148:R156">
    <cfRule type="cellIs" dxfId="2144" priority="1969" operator="lessThan">
      <formula>0.8</formula>
    </cfRule>
    <cfRule type="cellIs" dxfId="2143" priority="1970" operator="greaterThan">
      <formula>1</formula>
    </cfRule>
  </conditionalFormatting>
  <conditionalFormatting sqref="R148:R156">
    <cfRule type="cellIs" dxfId="2142" priority="1967" operator="greaterThan">
      <formula>1</formula>
    </cfRule>
    <cfRule type="cellIs" dxfId="2141" priority="1968" operator="lessThan">
      <formula>0.8</formula>
    </cfRule>
  </conditionalFormatting>
  <conditionalFormatting sqref="P148:P156">
    <cfRule type="cellIs" dxfId="2140" priority="1966" operator="greaterThan">
      <formula>0</formula>
    </cfRule>
  </conditionalFormatting>
  <conditionalFormatting sqref="Q148:Q156">
    <cfRule type="cellIs" dxfId="2139" priority="1965" operator="lessThan">
      <formula>0</formula>
    </cfRule>
  </conditionalFormatting>
  <conditionalFormatting sqref="R148:R156">
    <cfRule type="cellIs" dxfId="2138" priority="1963" operator="lessThan">
      <formula>0.8</formula>
    </cfRule>
    <cfRule type="cellIs" dxfId="2137" priority="1964" operator="greaterThan">
      <formula>1</formula>
    </cfRule>
  </conditionalFormatting>
  <conditionalFormatting sqref="R148:R156">
    <cfRule type="cellIs" dxfId="2136" priority="1961" operator="greaterThan">
      <formula>1</formula>
    </cfRule>
    <cfRule type="cellIs" dxfId="2135" priority="1962" operator="lessThan">
      <formula>0.8</formula>
    </cfRule>
  </conditionalFormatting>
  <conditionalFormatting sqref="P148:P156">
    <cfRule type="cellIs" dxfId="2134" priority="1960" operator="greaterThan">
      <formula>0</formula>
    </cfRule>
  </conditionalFormatting>
  <conditionalFormatting sqref="Q148:Q156">
    <cfRule type="cellIs" dxfId="2133" priority="1959" operator="lessThan">
      <formula>0</formula>
    </cfRule>
  </conditionalFormatting>
  <conditionalFormatting sqref="R148:R156">
    <cfRule type="cellIs" dxfId="2132" priority="1957" operator="lessThan">
      <formula>0.8</formula>
    </cfRule>
    <cfRule type="cellIs" dxfId="2131" priority="1958" operator="greaterThan">
      <formula>1</formula>
    </cfRule>
  </conditionalFormatting>
  <conditionalFormatting sqref="R148:R156">
    <cfRule type="cellIs" dxfId="2130" priority="1955" operator="greaterThan">
      <formula>1</formula>
    </cfRule>
    <cfRule type="cellIs" dxfId="2129" priority="1956" operator="lessThan">
      <formula>0.8</formula>
    </cfRule>
  </conditionalFormatting>
  <conditionalFormatting sqref="P148:P156">
    <cfRule type="cellIs" dxfId="2128" priority="1954" operator="greaterThan">
      <formula>0</formula>
    </cfRule>
  </conditionalFormatting>
  <conditionalFormatting sqref="P148:P156">
    <cfRule type="cellIs" dxfId="2127" priority="1948" operator="greaterThan">
      <formula>0</formula>
    </cfRule>
  </conditionalFormatting>
  <conditionalFormatting sqref="Q148:Q156">
    <cfRule type="cellIs" dxfId="2126" priority="1953" operator="lessThan">
      <formula>0</formula>
    </cfRule>
  </conditionalFormatting>
  <conditionalFormatting sqref="R148:R156">
    <cfRule type="cellIs" dxfId="2125" priority="1951" operator="lessThan">
      <formula>0.8</formula>
    </cfRule>
    <cfRule type="cellIs" dxfId="2124" priority="1952" operator="greaterThan">
      <formula>1</formula>
    </cfRule>
  </conditionalFormatting>
  <conditionalFormatting sqref="R148:R156">
    <cfRule type="cellIs" dxfId="2123" priority="1949" operator="greaterThan">
      <formula>1</formula>
    </cfRule>
    <cfRule type="cellIs" dxfId="2122" priority="1950" operator="lessThan">
      <formula>0.8</formula>
    </cfRule>
  </conditionalFormatting>
  <conditionalFormatting sqref="P148:P156">
    <cfRule type="cellIs" dxfId="2121" priority="1942" operator="greaterThan">
      <formula>0</formula>
    </cfRule>
  </conditionalFormatting>
  <conditionalFormatting sqref="Q148:Q156">
    <cfRule type="cellIs" dxfId="2120" priority="1947" operator="lessThan">
      <formula>0</formula>
    </cfRule>
  </conditionalFormatting>
  <conditionalFormatting sqref="R148:R156">
    <cfRule type="cellIs" dxfId="2119" priority="1945" operator="lessThan">
      <formula>0.8</formula>
    </cfRule>
    <cfRule type="cellIs" dxfId="2118" priority="1946" operator="greaterThan">
      <formula>1</formula>
    </cfRule>
  </conditionalFormatting>
  <conditionalFormatting sqref="R148:R156">
    <cfRule type="cellIs" dxfId="2117" priority="1943" operator="greaterThan">
      <formula>1</formula>
    </cfRule>
    <cfRule type="cellIs" dxfId="2116" priority="1944" operator="lessThan">
      <formula>0.8</formula>
    </cfRule>
  </conditionalFormatting>
  <conditionalFormatting sqref="R148:R156">
    <cfRule type="cellIs" dxfId="2115" priority="1939" operator="lessThan">
      <formula>0.8</formula>
    </cfRule>
    <cfRule type="cellIs" dxfId="2114" priority="1940" operator="greaterThan">
      <formula>1</formula>
    </cfRule>
  </conditionalFormatting>
  <conditionalFormatting sqref="R148:R156">
    <cfRule type="cellIs" dxfId="2113" priority="1937" operator="greaterThan">
      <formula>1</formula>
    </cfRule>
    <cfRule type="cellIs" dxfId="2112" priority="1938" operator="lessThan">
      <formula>0.8</formula>
    </cfRule>
  </conditionalFormatting>
  <conditionalFormatting sqref="P148:P156">
    <cfRule type="cellIs" dxfId="2111" priority="1936" operator="greaterThan">
      <formula>0</formula>
    </cfRule>
  </conditionalFormatting>
  <conditionalFormatting sqref="Q148:Q156">
    <cfRule type="cellIs" dxfId="2110" priority="1941" operator="lessThan">
      <formula>0</formula>
    </cfRule>
  </conditionalFormatting>
  <conditionalFormatting sqref="Q148:Q156">
    <cfRule type="cellIs" dxfId="2109" priority="1930" operator="lessThan">
      <formula>0</formula>
    </cfRule>
  </conditionalFormatting>
  <conditionalFormatting sqref="P148:P156">
    <cfRule type="cellIs" dxfId="2108" priority="1931" operator="greaterThan">
      <formula>0</formula>
    </cfRule>
  </conditionalFormatting>
  <conditionalFormatting sqref="R148:R156">
    <cfRule type="cellIs" dxfId="2107" priority="1934" operator="lessThan">
      <formula>0.8</formula>
    </cfRule>
    <cfRule type="cellIs" dxfId="2106" priority="1935" operator="greaterThan">
      <formula>1</formula>
    </cfRule>
  </conditionalFormatting>
  <conditionalFormatting sqref="R148:R156">
    <cfRule type="cellIs" dxfId="2105" priority="1932" operator="greaterThan">
      <formula>1</formula>
    </cfRule>
    <cfRule type="cellIs" dxfId="2104" priority="1933" operator="lessThan">
      <formula>0.8</formula>
    </cfRule>
  </conditionalFormatting>
  <conditionalFormatting sqref="Q148:Q156">
    <cfRule type="cellIs" dxfId="2103" priority="1924" operator="lessThan">
      <formula>0</formula>
    </cfRule>
  </conditionalFormatting>
  <conditionalFormatting sqref="R148:R156">
    <cfRule type="cellIs" dxfId="2102" priority="1928" operator="lessThan">
      <formula>0.8</formula>
    </cfRule>
    <cfRule type="cellIs" dxfId="2101" priority="1929" operator="greaterThan">
      <formula>1</formula>
    </cfRule>
  </conditionalFormatting>
  <conditionalFormatting sqref="R148:R156">
    <cfRule type="cellIs" dxfId="2100" priority="1926" operator="greaterThan">
      <formula>1</formula>
    </cfRule>
    <cfRule type="cellIs" dxfId="2099" priority="1927" operator="lessThan">
      <formula>0.8</formula>
    </cfRule>
  </conditionalFormatting>
  <conditionalFormatting sqref="P148:P156">
    <cfRule type="cellIs" dxfId="2098" priority="1925" operator="greaterThan">
      <formula>0</formula>
    </cfRule>
  </conditionalFormatting>
  <conditionalFormatting sqref="Q148:Q156">
    <cfRule type="cellIs" dxfId="2097" priority="1923" operator="lessThan">
      <formula>0</formula>
    </cfRule>
  </conditionalFormatting>
  <conditionalFormatting sqref="R148:R156">
    <cfRule type="cellIs" dxfId="2096" priority="1921" operator="lessThan">
      <formula>0.8</formula>
    </cfRule>
    <cfRule type="cellIs" dxfId="2095" priority="1922" operator="greaterThan">
      <formula>1</formula>
    </cfRule>
  </conditionalFormatting>
  <conditionalFormatting sqref="R148:R156">
    <cfRule type="cellIs" dxfId="2094" priority="1919" operator="greaterThan">
      <formula>1</formula>
    </cfRule>
    <cfRule type="cellIs" dxfId="2093" priority="1920" operator="lessThan">
      <formula>0.8</formula>
    </cfRule>
  </conditionalFormatting>
  <conditionalFormatting sqref="P148:P156">
    <cfRule type="cellIs" dxfId="2092" priority="1918" operator="greaterThan">
      <formula>0</formula>
    </cfRule>
  </conditionalFormatting>
  <conditionalFormatting sqref="Q148:Q156">
    <cfRule type="cellIs" dxfId="2091" priority="1917" operator="lessThan">
      <formula>0</formula>
    </cfRule>
  </conditionalFormatting>
  <conditionalFormatting sqref="R148:R156">
    <cfRule type="cellIs" dxfId="2090" priority="1915" operator="lessThan">
      <formula>0.8</formula>
    </cfRule>
    <cfRule type="cellIs" dxfId="2089" priority="1916" operator="greaterThan">
      <formula>1</formula>
    </cfRule>
  </conditionalFormatting>
  <conditionalFormatting sqref="R148:R156">
    <cfRule type="cellIs" dxfId="2088" priority="1913" operator="greaterThan">
      <formula>1</formula>
    </cfRule>
    <cfRule type="cellIs" dxfId="2087" priority="1914" operator="lessThan">
      <formula>0.8</formula>
    </cfRule>
  </conditionalFormatting>
  <conditionalFormatting sqref="P148:P156">
    <cfRule type="cellIs" dxfId="2086" priority="1912" operator="greaterThan">
      <formula>0</formula>
    </cfRule>
  </conditionalFormatting>
  <conditionalFormatting sqref="Q148:Q156">
    <cfRule type="cellIs" dxfId="2085" priority="1911" operator="lessThan">
      <formula>0</formula>
    </cfRule>
  </conditionalFormatting>
  <conditionalFormatting sqref="R148:R156">
    <cfRule type="cellIs" dxfId="2084" priority="1909" operator="lessThan">
      <formula>0.8</formula>
    </cfRule>
    <cfRule type="cellIs" dxfId="2083" priority="1910" operator="greaterThan">
      <formula>1</formula>
    </cfRule>
  </conditionalFormatting>
  <conditionalFormatting sqref="R148:R156">
    <cfRule type="cellIs" dxfId="2082" priority="1907" operator="greaterThan">
      <formula>1</formula>
    </cfRule>
    <cfRule type="cellIs" dxfId="2081" priority="1908" operator="lessThan">
      <formula>0.8</formula>
    </cfRule>
  </conditionalFormatting>
  <conditionalFormatting sqref="P148:P156">
    <cfRule type="cellIs" dxfId="2080" priority="1906" operator="greaterThan">
      <formula>0</formula>
    </cfRule>
  </conditionalFormatting>
  <conditionalFormatting sqref="Q148:Q156">
    <cfRule type="cellIs" dxfId="2079" priority="1905" operator="lessThan">
      <formula>0</formula>
    </cfRule>
  </conditionalFormatting>
  <conditionalFormatting sqref="R148:R156">
    <cfRule type="cellIs" dxfId="2078" priority="1903" operator="lessThan">
      <formula>0.8</formula>
    </cfRule>
    <cfRule type="cellIs" dxfId="2077" priority="1904" operator="greaterThan">
      <formula>1</formula>
    </cfRule>
  </conditionalFormatting>
  <conditionalFormatting sqref="R148:R156">
    <cfRule type="cellIs" dxfId="2076" priority="1901" operator="greaterThan">
      <formula>1</formula>
    </cfRule>
    <cfRule type="cellIs" dxfId="2075" priority="1902" operator="lessThan">
      <formula>0.8</formula>
    </cfRule>
  </conditionalFormatting>
  <conditionalFormatting sqref="P148:P156">
    <cfRule type="cellIs" dxfId="2074" priority="1900" operator="greaterThan">
      <formula>0</formula>
    </cfRule>
  </conditionalFormatting>
  <conditionalFormatting sqref="Q124">
    <cfRule type="cellIs" dxfId="2073" priority="1894" operator="lessThan">
      <formula>0</formula>
    </cfRule>
  </conditionalFormatting>
  <conditionalFormatting sqref="P124">
    <cfRule type="cellIs" dxfId="2072" priority="1895" operator="greaterThan">
      <formula>0</formula>
    </cfRule>
  </conditionalFormatting>
  <conditionalFormatting sqref="R124">
    <cfRule type="cellIs" dxfId="2071" priority="1898" operator="lessThan">
      <formula>0.8</formula>
    </cfRule>
    <cfRule type="cellIs" dxfId="2070" priority="1899" operator="greaterThan">
      <formula>1</formula>
    </cfRule>
  </conditionalFormatting>
  <conditionalFormatting sqref="R124">
    <cfRule type="cellIs" dxfId="2069" priority="1896" operator="greaterThan">
      <formula>1</formula>
    </cfRule>
    <cfRule type="cellIs" dxfId="2068" priority="1897" operator="lessThan">
      <formula>0.8</formula>
    </cfRule>
  </conditionalFormatting>
  <conditionalFormatting sqref="Q124">
    <cfRule type="cellIs" dxfId="2067" priority="1888" operator="lessThan">
      <formula>0</formula>
    </cfRule>
  </conditionalFormatting>
  <conditionalFormatting sqref="R124">
    <cfRule type="cellIs" dxfId="2066" priority="1892" operator="lessThan">
      <formula>0.8</formula>
    </cfRule>
    <cfRule type="cellIs" dxfId="2065" priority="1893" operator="greaterThan">
      <formula>1</formula>
    </cfRule>
  </conditionalFormatting>
  <conditionalFormatting sqref="R124">
    <cfRule type="cellIs" dxfId="2064" priority="1890" operator="greaterThan">
      <formula>1</formula>
    </cfRule>
    <cfRule type="cellIs" dxfId="2063" priority="1891" operator="lessThan">
      <formula>0.8</formula>
    </cfRule>
  </conditionalFormatting>
  <conditionalFormatting sqref="P124">
    <cfRule type="cellIs" dxfId="2062" priority="1889" operator="greaterThan">
      <formula>0</formula>
    </cfRule>
  </conditionalFormatting>
  <conditionalFormatting sqref="Q124">
    <cfRule type="cellIs" dxfId="2061" priority="1887" operator="lessThan">
      <formula>0</formula>
    </cfRule>
  </conditionalFormatting>
  <conditionalFormatting sqref="R124">
    <cfRule type="cellIs" dxfId="2060" priority="1885" operator="lessThan">
      <formula>0.8</formula>
    </cfRule>
    <cfRule type="cellIs" dxfId="2059" priority="1886" operator="greaterThan">
      <formula>1</formula>
    </cfRule>
  </conditionalFormatting>
  <conditionalFormatting sqref="R124">
    <cfRule type="cellIs" dxfId="2058" priority="1883" operator="greaterThan">
      <formula>1</formula>
    </cfRule>
    <cfRule type="cellIs" dxfId="2057" priority="1884" operator="lessThan">
      <formula>0.8</formula>
    </cfRule>
  </conditionalFormatting>
  <conditionalFormatting sqref="P124">
    <cfRule type="cellIs" dxfId="2056" priority="1882" operator="greaterThan">
      <formula>0</formula>
    </cfRule>
  </conditionalFormatting>
  <conditionalFormatting sqref="Q124">
    <cfRule type="cellIs" dxfId="2055" priority="1881" operator="lessThan">
      <formula>0</formula>
    </cfRule>
  </conditionalFormatting>
  <conditionalFormatting sqref="R124">
    <cfRule type="cellIs" dxfId="2054" priority="1879" operator="lessThan">
      <formula>0.8</formula>
    </cfRule>
    <cfRule type="cellIs" dxfId="2053" priority="1880" operator="greaterThan">
      <formula>1</formula>
    </cfRule>
  </conditionalFormatting>
  <conditionalFormatting sqref="R124">
    <cfRule type="cellIs" dxfId="2052" priority="1877" operator="greaterThan">
      <formula>1</formula>
    </cfRule>
    <cfRule type="cellIs" dxfId="2051" priority="1878" operator="lessThan">
      <formula>0.8</formula>
    </cfRule>
  </conditionalFormatting>
  <conditionalFormatting sqref="P124">
    <cfRule type="cellIs" dxfId="2050" priority="1876" operator="greaterThan">
      <formula>0</formula>
    </cfRule>
  </conditionalFormatting>
  <conditionalFormatting sqref="Q124">
    <cfRule type="cellIs" dxfId="2049" priority="1875" operator="lessThan">
      <formula>0</formula>
    </cfRule>
  </conditionalFormatting>
  <conditionalFormatting sqref="R124">
    <cfRule type="cellIs" dxfId="2048" priority="1873" operator="lessThan">
      <formula>0.8</formula>
    </cfRule>
    <cfRule type="cellIs" dxfId="2047" priority="1874" operator="greaterThan">
      <formula>1</formula>
    </cfRule>
  </conditionalFormatting>
  <conditionalFormatting sqref="R124">
    <cfRule type="cellIs" dxfId="2046" priority="1871" operator="greaterThan">
      <formula>1</formula>
    </cfRule>
    <cfRule type="cellIs" dxfId="2045" priority="1872" operator="lessThan">
      <formula>0.8</formula>
    </cfRule>
  </conditionalFormatting>
  <conditionalFormatting sqref="P124">
    <cfRule type="cellIs" dxfId="2044" priority="1870" operator="greaterThan">
      <formula>0</formula>
    </cfRule>
  </conditionalFormatting>
  <conditionalFormatting sqref="Q124">
    <cfRule type="cellIs" dxfId="2043" priority="1869" operator="lessThan">
      <formula>0</formula>
    </cfRule>
  </conditionalFormatting>
  <conditionalFormatting sqref="R124">
    <cfRule type="cellIs" dxfId="2042" priority="1867" operator="lessThan">
      <formula>0.8</formula>
    </cfRule>
    <cfRule type="cellIs" dxfId="2041" priority="1868" operator="greaterThan">
      <formula>1</formula>
    </cfRule>
  </conditionalFormatting>
  <conditionalFormatting sqref="R124">
    <cfRule type="cellIs" dxfId="2040" priority="1865" operator="greaterThan">
      <formula>1</formula>
    </cfRule>
    <cfRule type="cellIs" dxfId="2039" priority="1866" operator="lessThan">
      <formula>0.8</formula>
    </cfRule>
  </conditionalFormatting>
  <conditionalFormatting sqref="P124">
    <cfRule type="cellIs" dxfId="2038" priority="1864" operator="greaterThan">
      <formula>0</formula>
    </cfRule>
  </conditionalFormatting>
  <conditionalFormatting sqref="Q124">
    <cfRule type="cellIs" dxfId="2037" priority="1863" operator="lessThan">
      <formula>0</formula>
    </cfRule>
  </conditionalFormatting>
  <conditionalFormatting sqref="R124">
    <cfRule type="cellIs" dxfId="2036" priority="1861" operator="lessThan">
      <formula>0.8</formula>
    </cfRule>
    <cfRule type="cellIs" dxfId="2035" priority="1862" operator="greaterThan">
      <formula>1</formula>
    </cfRule>
  </conditionalFormatting>
  <conditionalFormatting sqref="R124">
    <cfRule type="cellIs" dxfId="2034" priority="1859" operator="greaterThan">
      <formula>1</formula>
    </cfRule>
    <cfRule type="cellIs" dxfId="2033" priority="1860" operator="lessThan">
      <formula>0.8</formula>
    </cfRule>
  </conditionalFormatting>
  <conditionalFormatting sqref="P124">
    <cfRule type="cellIs" dxfId="2032" priority="1858" operator="greaterThan">
      <formula>0</formula>
    </cfRule>
  </conditionalFormatting>
  <conditionalFormatting sqref="Q124">
    <cfRule type="cellIs" dxfId="2031" priority="1857" operator="lessThan">
      <formula>0</formula>
    </cfRule>
  </conditionalFormatting>
  <conditionalFormatting sqref="R124">
    <cfRule type="cellIs" dxfId="2030" priority="1855" operator="lessThan">
      <formula>0.8</formula>
    </cfRule>
    <cfRule type="cellIs" dxfId="2029" priority="1856" operator="greaterThan">
      <formula>1</formula>
    </cfRule>
  </conditionalFormatting>
  <conditionalFormatting sqref="R124">
    <cfRule type="cellIs" dxfId="2028" priority="1853" operator="greaterThan">
      <formula>1</formula>
    </cfRule>
    <cfRule type="cellIs" dxfId="2027" priority="1854" operator="lessThan">
      <formula>0.8</formula>
    </cfRule>
  </conditionalFormatting>
  <conditionalFormatting sqref="P124">
    <cfRule type="cellIs" dxfId="2026" priority="1852" operator="greaterThan">
      <formula>0</formula>
    </cfRule>
  </conditionalFormatting>
  <conditionalFormatting sqref="Q124">
    <cfRule type="cellIs" dxfId="2025" priority="1851" operator="lessThan">
      <formula>0</formula>
    </cfRule>
  </conditionalFormatting>
  <conditionalFormatting sqref="R124">
    <cfRule type="cellIs" dxfId="2024" priority="1849" operator="lessThan">
      <formula>0.8</formula>
    </cfRule>
    <cfRule type="cellIs" dxfId="2023" priority="1850" operator="greaterThan">
      <formula>1</formula>
    </cfRule>
  </conditionalFormatting>
  <conditionalFormatting sqref="R124">
    <cfRule type="cellIs" dxfId="2022" priority="1847" operator="greaterThan">
      <formula>1</formula>
    </cfRule>
    <cfRule type="cellIs" dxfId="2021" priority="1848" operator="lessThan">
      <formula>0.8</formula>
    </cfRule>
  </conditionalFormatting>
  <conditionalFormatting sqref="P124">
    <cfRule type="cellIs" dxfId="2020" priority="1846" operator="greaterThan">
      <formula>0</formula>
    </cfRule>
  </conditionalFormatting>
  <conditionalFormatting sqref="P124">
    <cfRule type="cellIs" dxfId="2019" priority="1840" operator="greaterThan">
      <formula>0</formula>
    </cfRule>
  </conditionalFormatting>
  <conditionalFormatting sqref="Q124">
    <cfRule type="cellIs" dxfId="2018" priority="1845" operator="lessThan">
      <formula>0</formula>
    </cfRule>
  </conditionalFormatting>
  <conditionalFormatting sqref="R124">
    <cfRule type="cellIs" dxfId="2017" priority="1843" operator="lessThan">
      <formula>0.8</formula>
    </cfRule>
    <cfRule type="cellIs" dxfId="2016" priority="1844" operator="greaterThan">
      <formula>1</formula>
    </cfRule>
  </conditionalFormatting>
  <conditionalFormatting sqref="R124">
    <cfRule type="cellIs" dxfId="2015" priority="1841" operator="greaterThan">
      <formula>1</formula>
    </cfRule>
    <cfRule type="cellIs" dxfId="2014" priority="1842" operator="lessThan">
      <formula>0.8</formula>
    </cfRule>
  </conditionalFormatting>
  <conditionalFormatting sqref="P124">
    <cfRule type="cellIs" dxfId="2013" priority="1834" operator="greaterThan">
      <formula>0</formula>
    </cfRule>
  </conditionalFormatting>
  <conditionalFormatting sqref="Q124">
    <cfRule type="cellIs" dxfId="2012" priority="1839" operator="lessThan">
      <formula>0</formula>
    </cfRule>
  </conditionalFormatting>
  <conditionalFormatting sqref="R124">
    <cfRule type="cellIs" dxfId="2011" priority="1837" operator="lessThan">
      <formula>0.8</formula>
    </cfRule>
    <cfRule type="cellIs" dxfId="2010" priority="1838" operator="greaterThan">
      <formula>1</formula>
    </cfRule>
  </conditionalFormatting>
  <conditionalFormatting sqref="R124">
    <cfRule type="cellIs" dxfId="2009" priority="1835" operator="greaterThan">
      <formula>1</formula>
    </cfRule>
    <cfRule type="cellIs" dxfId="2008" priority="1836" operator="lessThan">
      <formula>0.8</formula>
    </cfRule>
  </conditionalFormatting>
  <conditionalFormatting sqref="R124">
    <cfRule type="cellIs" dxfId="2007" priority="1831" operator="lessThan">
      <formula>0.8</formula>
    </cfRule>
    <cfRule type="cellIs" dxfId="2006" priority="1832" operator="greaterThan">
      <formula>1</formula>
    </cfRule>
  </conditionalFormatting>
  <conditionalFormatting sqref="R124">
    <cfRule type="cellIs" dxfId="2005" priority="1829" operator="greaterThan">
      <formula>1</formula>
    </cfRule>
    <cfRule type="cellIs" dxfId="2004" priority="1830" operator="lessThan">
      <formula>0.8</formula>
    </cfRule>
  </conditionalFormatting>
  <conditionalFormatting sqref="P124">
    <cfRule type="cellIs" dxfId="2003" priority="1828" operator="greaterThan">
      <formula>0</formula>
    </cfRule>
  </conditionalFormatting>
  <conditionalFormatting sqref="Q124">
    <cfRule type="cellIs" dxfId="2002" priority="1833" operator="lessThan">
      <formula>0</formula>
    </cfRule>
  </conditionalFormatting>
  <conditionalFormatting sqref="Q124">
    <cfRule type="cellIs" dxfId="2001" priority="1827" operator="lessThan">
      <formula>0</formula>
    </cfRule>
  </conditionalFormatting>
  <conditionalFormatting sqref="R124">
    <cfRule type="cellIs" dxfId="2000" priority="1825" operator="lessThan">
      <formula>0.8</formula>
    </cfRule>
    <cfRule type="cellIs" dxfId="1999" priority="1826" operator="greaterThan">
      <formula>1</formula>
    </cfRule>
  </conditionalFormatting>
  <conditionalFormatting sqref="R124">
    <cfRule type="cellIs" dxfId="1998" priority="1823" operator="greaterThan">
      <formula>1</formula>
    </cfRule>
    <cfRule type="cellIs" dxfId="1997" priority="1824" operator="lessThan">
      <formula>0.8</formula>
    </cfRule>
  </conditionalFormatting>
  <conditionalFormatting sqref="P124">
    <cfRule type="cellIs" dxfId="1996" priority="1822" operator="greaterThan">
      <formula>0</formula>
    </cfRule>
  </conditionalFormatting>
  <conditionalFormatting sqref="P124">
    <cfRule type="cellIs" dxfId="1995" priority="1816" operator="greaterThan">
      <formula>0</formula>
    </cfRule>
  </conditionalFormatting>
  <conditionalFormatting sqref="Q124">
    <cfRule type="cellIs" dxfId="1994" priority="1821" operator="lessThan">
      <formula>0</formula>
    </cfRule>
  </conditionalFormatting>
  <conditionalFormatting sqref="R124">
    <cfRule type="cellIs" dxfId="1993" priority="1819" operator="lessThan">
      <formula>0.8</formula>
    </cfRule>
    <cfRule type="cellIs" dxfId="1992" priority="1820" operator="greaterThan">
      <formula>1</formula>
    </cfRule>
  </conditionalFormatting>
  <conditionalFormatting sqref="R124">
    <cfRule type="cellIs" dxfId="1991" priority="1817" operator="greaterThan">
      <formula>1</formula>
    </cfRule>
    <cfRule type="cellIs" dxfId="1990" priority="1818" operator="lessThan">
      <formula>0.8</formula>
    </cfRule>
  </conditionalFormatting>
  <conditionalFormatting sqref="P124">
    <cfRule type="cellIs" dxfId="1989" priority="1810" operator="greaterThan">
      <formula>0</formula>
    </cfRule>
  </conditionalFormatting>
  <conditionalFormatting sqref="Q124">
    <cfRule type="cellIs" dxfId="1988" priority="1815" operator="lessThan">
      <formula>0</formula>
    </cfRule>
  </conditionalFormatting>
  <conditionalFormatting sqref="R124">
    <cfRule type="cellIs" dxfId="1987" priority="1813" operator="lessThan">
      <formula>0.8</formula>
    </cfRule>
    <cfRule type="cellIs" dxfId="1986" priority="1814" operator="greaterThan">
      <formula>1</formula>
    </cfRule>
  </conditionalFormatting>
  <conditionalFormatting sqref="R124">
    <cfRule type="cellIs" dxfId="1985" priority="1811" operator="greaterThan">
      <formula>1</formula>
    </cfRule>
    <cfRule type="cellIs" dxfId="1984" priority="1812" operator="lessThan">
      <formula>0.8</formula>
    </cfRule>
  </conditionalFormatting>
  <conditionalFormatting sqref="R124">
    <cfRule type="cellIs" dxfId="1983" priority="1807" operator="lessThan">
      <formula>0.8</formula>
    </cfRule>
    <cfRule type="cellIs" dxfId="1982" priority="1808" operator="greaterThan">
      <formula>1</formula>
    </cfRule>
  </conditionalFormatting>
  <conditionalFormatting sqref="R124">
    <cfRule type="cellIs" dxfId="1981" priority="1805" operator="greaterThan">
      <formula>1</formula>
    </cfRule>
    <cfRule type="cellIs" dxfId="1980" priority="1806" operator="lessThan">
      <formula>0.8</formula>
    </cfRule>
  </conditionalFormatting>
  <conditionalFormatting sqref="P124">
    <cfRule type="cellIs" dxfId="1979" priority="1804" operator="greaterThan">
      <formula>0</formula>
    </cfRule>
  </conditionalFormatting>
  <conditionalFormatting sqref="Q124">
    <cfRule type="cellIs" dxfId="1978" priority="1809" operator="lessThan">
      <formula>0</formula>
    </cfRule>
  </conditionalFormatting>
  <conditionalFormatting sqref="P124">
    <cfRule type="cellIs" dxfId="1977" priority="1798" operator="greaterThan">
      <formula>0</formula>
    </cfRule>
  </conditionalFormatting>
  <conditionalFormatting sqref="Q124">
    <cfRule type="cellIs" dxfId="1976" priority="1803" operator="lessThan">
      <formula>0</formula>
    </cfRule>
  </conditionalFormatting>
  <conditionalFormatting sqref="R124">
    <cfRule type="cellIs" dxfId="1975" priority="1801" operator="lessThan">
      <formula>0.8</formula>
    </cfRule>
    <cfRule type="cellIs" dxfId="1974" priority="1802" operator="greaterThan">
      <formula>1</formula>
    </cfRule>
  </conditionalFormatting>
  <conditionalFormatting sqref="R124">
    <cfRule type="cellIs" dxfId="1973" priority="1799" operator="greaterThan">
      <formula>1</formula>
    </cfRule>
    <cfRule type="cellIs" dxfId="1972" priority="1800" operator="lessThan">
      <formula>0.8</formula>
    </cfRule>
  </conditionalFormatting>
  <conditionalFormatting sqref="R124">
    <cfRule type="cellIs" dxfId="1971" priority="1795" operator="lessThan">
      <formula>0.8</formula>
    </cfRule>
    <cfRule type="cellIs" dxfId="1970" priority="1796" operator="greaterThan">
      <formula>1</formula>
    </cfRule>
  </conditionalFormatting>
  <conditionalFormatting sqref="R124">
    <cfRule type="cellIs" dxfId="1969" priority="1793" operator="greaterThan">
      <formula>1</formula>
    </cfRule>
    <cfRule type="cellIs" dxfId="1968" priority="1794" operator="lessThan">
      <formula>0.8</formula>
    </cfRule>
  </conditionalFormatting>
  <conditionalFormatting sqref="P124">
    <cfRule type="cellIs" dxfId="1967" priority="1792" operator="greaterThan">
      <formula>0</formula>
    </cfRule>
  </conditionalFormatting>
  <conditionalFormatting sqref="Q124">
    <cfRule type="cellIs" dxfId="1966" priority="1797" operator="lessThan">
      <formula>0</formula>
    </cfRule>
  </conditionalFormatting>
  <conditionalFormatting sqref="R124">
    <cfRule type="cellIs" dxfId="1965" priority="1789" operator="lessThan">
      <formula>0.8</formula>
    </cfRule>
    <cfRule type="cellIs" dxfId="1964" priority="1790" operator="greaterThan">
      <formula>1</formula>
    </cfRule>
  </conditionalFormatting>
  <conditionalFormatting sqref="R124">
    <cfRule type="cellIs" dxfId="1963" priority="1787" operator="greaterThan">
      <formula>1</formula>
    </cfRule>
    <cfRule type="cellIs" dxfId="1962" priority="1788" operator="lessThan">
      <formula>0.8</formula>
    </cfRule>
  </conditionalFormatting>
  <conditionalFormatting sqref="P124">
    <cfRule type="cellIs" dxfId="1961" priority="1786" operator="greaterThan">
      <formula>0</formula>
    </cfRule>
  </conditionalFormatting>
  <conditionalFormatting sqref="Q124">
    <cfRule type="cellIs" dxfId="1960" priority="1791" operator="lessThan">
      <formula>0</formula>
    </cfRule>
  </conditionalFormatting>
  <conditionalFormatting sqref="Q124">
    <cfRule type="cellIs" dxfId="1959" priority="1785" operator="lessThan">
      <formula>0</formula>
    </cfRule>
  </conditionalFormatting>
  <conditionalFormatting sqref="R124">
    <cfRule type="cellIs" dxfId="1958" priority="1783" operator="lessThan">
      <formula>0.8</formula>
    </cfRule>
    <cfRule type="cellIs" dxfId="1957" priority="1784" operator="greaterThan">
      <formula>1</formula>
    </cfRule>
  </conditionalFormatting>
  <conditionalFormatting sqref="R124">
    <cfRule type="cellIs" dxfId="1956" priority="1781" operator="greaterThan">
      <formula>1</formula>
    </cfRule>
    <cfRule type="cellIs" dxfId="1955" priority="1782" operator="lessThan">
      <formula>0.8</formula>
    </cfRule>
  </conditionalFormatting>
  <conditionalFormatting sqref="P124">
    <cfRule type="cellIs" dxfId="1954" priority="1780" operator="greaterThan">
      <formula>0</formula>
    </cfRule>
  </conditionalFormatting>
  <conditionalFormatting sqref="Q124">
    <cfRule type="cellIs" dxfId="1953" priority="1774" operator="lessThan">
      <formula>0</formula>
    </cfRule>
  </conditionalFormatting>
  <conditionalFormatting sqref="R124">
    <cfRule type="cellIs" dxfId="1952" priority="1778" operator="lessThan">
      <formula>0.8</formula>
    </cfRule>
    <cfRule type="cellIs" dxfId="1951" priority="1779" operator="greaterThan">
      <formula>1</formula>
    </cfRule>
  </conditionalFormatting>
  <conditionalFormatting sqref="R124">
    <cfRule type="cellIs" dxfId="1950" priority="1776" operator="greaterThan">
      <formula>1</formula>
    </cfRule>
    <cfRule type="cellIs" dxfId="1949" priority="1777" operator="lessThan">
      <formula>0.8</formula>
    </cfRule>
  </conditionalFormatting>
  <conditionalFormatting sqref="P124">
    <cfRule type="cellIs" dxfId="1948" priority="1775" operator="greaterThan">
      <formula>0</formula>
    </cfRule>
  </conditionalFormatting>
  <conditionalFormatting sqref="Q124">
    <cfRule type="cellIs" dxfId="1947" priority="1773" operator="lessThan">
      <formula>0</formula>
    </cfRule>
  </conditionalFormatting>
  <conditionalFormatting sqref="R124">
    <cfRule type="cellIs" dxfId="1946" priority="1771" operator="lessThan">
      <formula>0.8</formula>
    </cfRule>
    <cfRule type="cellIs" dxfId="1945" priority="1772" operator="greaterThan">
      <formula>1</formula>
    </cfRule>
  </conditionalFormatting>
  <conditionalFormatting sqref="R124">
    <cfRule type="cellIs" dxfId="1944" priority="1769" operator="greaterThan">
      <formula>1</formula>
    </cfRule>
    <cfRule type="cellIs" dxfId="1943" priority="1770" operator="lessThan">
      <formula>0.8</formula>
    </cfRule>
  </conditionalFormatting>
  <conditionalFormatting sqref="P124">
    <cfRule type="cellIs" dxfId="1942" priority="1768" operator="greaterThan">
      <formula>0</formula>
    </cfRule>
  </conditionalFormatting>
  <conditionalFormatting sqref="Q124">
    <cfRule type="cellIs" dxfId="1941" priority="1767" operator="lessThan">
      <formula>0</formula>
    </cfRule>
  </conditionalFormatting>
  <conditionalFormatting sqref="R124">
    <cfRule type="cellIs" dxfId="1940" priority="1765" operator="lessThan">
      <formula>0.8</formula>
    </cfRule>
    <cfRule type="cellIs" dxfId="1939" priority="1766" operator="greaterThan">
      <formula>1</formula>
    </cfRule>
  </conditionalFormatting>
  <conditionalFormatting sqref="R124">
    <cfRule type="cellIs" dxfId="1938" priority="1763" operator="greaterThan">
      <formula>1</formula>
    </cfRule>
    <cfRule type="cellIs" dxfId="1937" priority="1764" operator="lessThan">
      <formula>0.8</formula>
    </cfRule>
  </conditionalFormatting>
  <conditionalFormatting sqref="P124">
    <cfRule type="cellIs" dxfId="1936" priority="1762" operator="greaterThan">
      <formula>0</formula>
    </cfRule>
  </conditionalFormatting>
  <conditionalFormatting sqref="Q124">
    <cfRule type="cellIs" dxfId="1935" priority="1761" operator="lessThan">
      <formula>0</formula>
    </cfRule>
  </conditionalFormatting>
  <conditionalFormatting sqref="R124">
    <cfRule type="cellIs" dxfId="1934" priority="1759" operator="lessThan">
      <formula>0.8</formula>
    </cfRule>
    <cfRule type="cellIs" dxfId="1933" priority="1760" operator="greaterThan">
      <formula>1</formula>
    </cfRule>
  </conditionalFormatting>
  <conditionalFormatting sqref="R124">
    <cfRule type="cellIs" dxfId="1932" priority="1757" operator="greaterThan">
      <formula>1</formula>
    </cfRule>
    <cfRule type="cellIs" dxfId="1931" priority="1758" operator="lessThan">
      <formula>0.8</formula>
    </cfRule>
  </conditionalFormatting>
  <conditionalFormatting sqref="P124">
    <cfRule type="cellIs" dxfId="1930" priority="1756" operator="greaterThan">
      <formula>0</formula>
    </cfRule>
  </conditionalFormatting>
  <conditionalFormatting sqref="Q124">
    <cfRule type="cellIs" dxfId="1929" priority="1755" operator="lessThan">
      <formula>0</formula>
    </cfRule>
  </conditionalFormatting>
  <conditionalFormatting sqref="R124">
    <cfRule type="cellIs" dxfId="1928" priority="1753" operator="lessThan">
      <formula>0.8</formula>
    </cfRule>
    <cfRule type="cellIs" dxfId="1927" priority="1754" operator="greaterThan">
      <formula>1</formula>
    </cfRule>
  </conditionalFormatting>
  <conditionalFormatting sqref="R124">
    <cfRule type="cellIs" dxfId="1926" priority="1751" operator="greaterThan">
      <formula>1</formula>
    </cfRule>
    <cfRule type="cellIs" dxfId="1925" priority="1752" operator="lessThan">
      <formula>0.8</formula>
    </cfRule>
  </conditionalFormatting>
  <conditionalFormatting sqref="P124">
    <cfRule type="cellIs" dxfId="1924" priority="1750" operator="greaterThan">
      <formula>0</formula>
    </cfRule>
  </conditionalFormatting>
  <conditionalFormatting sqref="Q124">
    <cfRule type="cellIs" dxfId="1923" priority="1749" operator="lessThan">
      <formula>0</formula>
    </cfRule>
  </conditionalFormatting>
  <conditionalFormatting sqref="R124">
    <cfRule type="cellIs" dxfId="1922" priority="1747" operator="lessThan">
      <formula>0.8</formula>
    </cfRule>
    <cfRule type="cellIs" dxfId="1921" priority="1748" operator="greaterThan">
      <formula>1</formula>
    </cfRule>
  </conditionalFormatting>
  <conditionalFormatting sqref="R124">
    <cfRule type="cellIs" dxfId="1920" priority="1745" operator="greaterThan">
      <formula>1</formula>
    </cfRule>
    <cfRule type="cellIs" dxfId="1919" priority="1746" operator="lessThan">
      <formula>0.8</formula>
    </cfRule>
  </conditionalFormatting>
  <conditionalFormatting sqref="P124">
    <cfRule type="cellIs" dxfId="1918" priority="1744" operator="greaterThan">
      <formula>0</formula>
    </cfRule>
  </conditionalFormatting>
  <conditionalFormatting sqref="P124">
    <cfRule type="cellIs" dxfId="1917" priority="1738" operator="greaterThan">
      <formula>0</formula>
    </cfRule>
  </conditionalFormatting>
  <conditionalFormatting sqref="Q124">
    <cfRule type="cellIs" dxfId="1916" priority="1743" operator="lessThan">
      <formula>0</formula>
    </cfRule>
  </conditionalFormatting>
  <conditionalFormatting sqref="R124">
    <cfRule type="cellIs" dxfId="1915" priority="1741" operator="lessThan">
      <formula>0.8</formula>
    </cfRule>
    <cfRule type="cellIs" dxfId="1914" priority="1742" operator="greaterThan">
      <formula>1</formula>
    </cfRule>
  </conditionalFormatting>
  <conditionalFormatting sqref="R124">
    <cfRule type="cellIs" dxfId="1913" priority="1739" operator="greaterThan">
      <formula>1</formula>
    </cfRule>
    <cfRule type="cellIs" dxfId="1912" priority="1740" operator="lessThan">
      <formula>0.8</formula>
    </cfRule>
  </conditionalFormatting>
  <conditionalFormatting sqref="P124">
    <cfRule type="cellIs" dxfId="1911" priority="1732" operator="greaterThan">
      <formula>0</formula>
    </cfRule>
  </conditionalFormatting>
  <conditionalFormatting sqref="Q124">
    <cfRule type="cellIs" dxfId="1910" priority="1737" operator="lessThan">
      <formula>0</formula>
    </cfRule>
  </conditionalFormatting>
  <conditionalFormatting sqref="R124">
    <cfRule type="cellIs" dxfId="1909" priority="1735" operator="lessThan">
      <formula>0.8</formula>
    </cfRule>
    <cfRule type="cellIs" dxfId="1908" priority="1736" operator="greaterThan">
      <formula>1</formula>
    </cfRule>
  </conditionalFormatting>
  <conditionalFormatting sqref="R124">
    <cfRule type="cellIs" dxfId="1907" priority="1733" operator="greaterThan">
      <formula>1</formula>
    </cfRule>
    <cfRule type="cellIs" dxfId="1906" priority="1734" operator="lessThan">
      <formula>0.8</formula>
    </cfRule>
  </conditionalFormatting>
  <conditionalFormatting sqref="R124">
    <cfRule type="cellIs" dxfId="1905" priority="1729" operator="lessThan">
      <formula>0.8</formula>
    </cfRule>
    <cfRule type="cellIs" dxfId="1904" priority="1730" operator="greaterThan">
      <formula>1</formula>
    </cfRule>
  </conditionalFormatting>
  <conditionalFormatting sqref="R124">
    <cfRule type="cellIs" dxfId="1903" priority="1727" operator="greaterThan">
      <formula>1</formula>
    </cfRule>
    <cfRule type="cellIs" dxfId="1902" priority="1728" operator="lessThan">
      <formula>0.8</formula>
    </cfRule>
  </conditionalFormatting>
  <conditionalFormatting sqref="P124">
    <cfRule type="cellIs" dxfId="1901" priority="1726" operator="greaterThan">
      <formula>0</formula>
    </cfRule>
  </conditionalFormatting>
  <conditionalFormatting sqref="Q124">
    <cfRule type="cellIs" dxfId="1900" priority="1731" operator="lessThan">
      <formula>0</formula>
    </cfRule>
  </conditionalFormatting>
  <conditionalFormatting sqref="Q5:Q14">
    <cfRule type="cellIs" dxfId="1899" priority="1725" operator="lessThan">
      <formula>0</formula>
    </cfRule>
  </conditionalFormatting>
  <conditionalFormatting sqref="R5:R14">
    <cfRule type="cellIs" dxfId="1898" priority="1723" operator="lessThan">
      <formula>0.8</formula>
    </cfRule>
    <cfRule type="cellIs" dxfId="1897" priority="1724" operator="greaterThan">
      <formula>1</formula>
    </cfRule>
  </conditionalFormatting>
  <conditionalFormatting sqref="R5:R14">
    <cfRule type="cellIs" dxfId="1896" priority="1721" operator="greaterThan">
      <formula>1</formula>
    </cfRule>
    <cfRule type="cellIs" dxfId="1895" priority="1722" operator="lessThan">
      <formula>0.8</formula>
    </cfRule>
  </conditionalFormatting>
  <conditionalFormatting sqref="P5:P14">
    <cfRule type="cellIs" dxfId="1894" priority="1720" operator="greaterThan">
      <formula>0</formula>
    </cfRule>
  </conditionalFormatting>
  <conditionalFormatting sqref="Q83">
    <cfRule type="cellIs" dxfId="1893" priority="1719" operator="lessThan">
      <formula>0</formula>
    </cfRule>
  </conditionalFormatting>
  <conditionalFormatting sqref="R83">
    <cfRule type="cellIs" dxfId="1892" priority="1717" operator="lessThan">
      <formula>0.8</formula>
    </cfRule>
    <cfRule type="cellIs" dxfId="1891" priority="1718" operator="greaterThan">
      <formula>1</formula>
    </cfRule>
  </conditionalFormatting>
  <conditionalFormatting sqref="R83">
    <cfRule type="cellIs" dxfId="1890" priority="1715" operator="greaterThan">
      <formula>1</formula>
    </cfRule>
    <cfRule type="cellIs" dxfId="1889" priority="1716" operator="lessThan">
      <formula>0.8</formula>
    </cfRule>
  </conditionalFormatting>
  <conditionalFormatting sqref="P83">
    <cfRule type="cellIs" dxfId="1888" priority="1714" operator="greaterThan">
      <formula>0</formula>
    </cfRule>
  </conditionalFormatting>
  <conditionalFormatting sqref="Q83">
    <cfRule type="cellIs" dxfId="1887" priority="1713" operator="lessThan">
      <formula>0</formula>
    </cfRule>
  </conditionalFormatting>
  <conditionalFormatting sqref="R83">
    <cfRule type="cellIs" dxfId="1886" priority="1711" operator="lessThan">
      <formula>0.8</formula>
    </cfRule>
    <cfRule type="cellIs" dxfId="1885" priority="1712" operator="greaterThan">
      <formula>1</formula>
    </cfRule>
  </conditionalFormatting>
  <conditionalFormatting sqref="R83">
    <cfRule type="cellIs" dxfId="1884" priority="1709" operator="greaterThan">
      <formula>1</formula>
    </cfRule>
    <cfRule type="cellIs" dxfId="1883" priority="1710" operator="lessThan">
      <formula>0.8</formula>
    </cfRule>
  </conditionalFormatting>
  <conditionalFormatting sqref="P83">
    <cfRule type="cellIs" dxfId="1882" priority="1708" operator="greaterThan">
      <formula>0</formula>
    </cfRule>
  </conditionalFormatting>
  <conditionalFormatting sqref="Q83">
    <cfRule type="cellIs" dxfId="1881" priority="1707" operator="lessThan">
      <formula>0</formula>
    </cfRule>
  </conditionalFormatting>
  <conditionalFormatting sqref="R83">
    <cfRule type="cellIs" dxfId="1880" priority="1705" operator="lessThan">
      <formula>0.8</formula>
    </cfRule>
    <cfRule type="cellIs" dxfId="1879" priority="1706" operator="greaterThan">
      <formula>1</formula>
    </cfRule>
  </conditionalFormatting>
  <conditionalFormatting sqref="R83">
    <cfRule type="cellIs" dxfId="1878" priority="1703" operator="greaterThan">
      <formula>1</formula>
    </cfRule>
    <cfRule type="cellIs" dxfId="1877" priority="1704" operator="lessThan">
      <formula>0.8</formula>
    </cfRule>
  </conditionalFormatting>
  <conditionalFormatting sqref="P83">
    <cfRule type="cellIs" dxfId="1876" priority="1702" operator="greaterThan">
      <formula>0</formula>
    </cfRule>
  </conditionalFormatting>
  <conditionalFormatting sqref="Q83">
    <cfRule type="cellIs" dxfId="1875" priority="1701" operator="lessThan">
      <formula>0</formula>
    </cfRule>
  </conditionalFormatting>
  <conditionalFormatting sqref="R83">
    <cfRule type="cellIs" dxfId="1874" priority="1699" operator="lessThan">
      <formula>0.8</formula>
    </cfRule>
    <cfRule type="cellIs" dxfId="1873" priority="1700" operator="greaterThan">
      <formula>1</formula>
    </cfRule>
  </conditionalFormatting>
  <conditionalFormatting sqref="R83">
    <cfRule type="cellIs" dxfId="1872" priority="1697" operator="greaterThan">
      <formula>1</formula>
    </cfRule>
    <cfRule type="cellIs" dxfId="1871" priority="1698" operator="lessThan">
      <formula>0.8</formula>
    </cfRule>
  </conditionalFormatting>
  <conditionalFormatting sqref="P83">
    <cfRule type="cellIs" dxfId="1870" priority="1696" operator="greaterThan">
      <formula>0</formula>
    </cfRule>
  </conditionalFormatting>
  <conditionalFormatting sqref="P83">
    <cfRule type="cellIs" dxfId="1869" priority="1690" operator="greaterThan">
      <formula>0</formula>
    </cfRule>
  </conditionalFormatting>
  <conditionalFormatting sqref="Q83">
    <cfRule type="cellIs" dxfId="1868" priority="1695" operator="lessThan">
      <formula>0</formula>
    </cfRule>
  </conditionalFormatting>
  <conditionalFormatting sqref="R83">
    <cfRule type="cellIs" dxfId="1867" priority="1693" operator="lessThan">
      <formula>0.8</formula>
    </cfRule>
    <cfRule type="cellIs" dxfId="1866" priority="1694" operator="greaterThan">
      <formula>1</formula>
    </cfRule>
  </conditionalFormatting>
  <conditionalFormatting sqref="R83">
    <cfRule type="cellIs" dxfId="1865" priority="1691" operator="greaterThan">
      <formula>1</formula>
    </cfRule>
    <cfRule type="cellIs" dxfId="1864" priority="1692" operator="lessThan">
      <formula>0.8</formula>
    </cfRule>
  </conditionalFormatting>
  <conditionalFormatting sqref="P83">
    <cfRule type="cellIs" dxfId="1863" priority="1684" operator="greaterThan">
      <formula>0</formula>
    </cfRule>
  </conditionalFormatting>
  <conditionalFormatting sqref="Q83">
    <cfRule type="cellIs" dxfId="1862" priority="1689" operator="lessThan">
      <formula>0</formula>
    </cfRule>
  </conditionalFormatting>
  <conditionalFormatting sqref="R83">
    <cfRule type="cellIs" dxfId="1861" priority="1687" operator="lessThan">
      <formula>0.8</formula>
    </cfRule>
    <cfRule type="cellIs" dxfId="1860" priority="1688" operator="greaterThan">
      <formula>1</formula>
    </cfRule>
  </conditionalFormatting>
  <conditionalFormatting sqref="R83">
    <cfRule type="cellIs" dxfId="1859" priority="1685" operator="greaterThan">
      <formula>1</formula>
    </cfRule>
    <cfRule type="cellIs" dxfId="1858" priority="1686" operator="lessThan">
      <formula>0.8</formula>
    </cfRule>
  </conditionalFormatting>
  <conditionalFormatting sqref="R83">
    <cfRule type="cellIs" dxfId="1857" priority="1681" operator="lessThan">
      <formula>0.8</formula>
    </cfRule>
    <cfRule type="cellIs" dxfId="1856" priority="1682" operator="greaterThan">
      <formula>1</formula>
    </cfRule>
  </conditionalFormatting>
  <conditionalFormatting sqref="R83">
    <cfRule type="cellIs" dxfId="1855" priority="1679" operator="greaterThan">
      <formula>1</formula>
    </cfRule>
    <cfRule type="cellIs" dxfId="1854" priority="1680" operator="lessThan">
      <formula>0.8</formula>
    </cfRule>
  </conditionalFormatting>
  <conditionalFormatting sqref="P83">
    <cfRule type="cellIs" dxfId="1853" priority="1678" operator="greaterThan">
      <formula>0</formula>
    </cfRule>
  </conditionalFormatting>
  <conditionalFormatting sqref="Q83">
    <cfRule type="cellIs" dxfId="1852" priority="1683" operator="lessThan">
      <formula>0</formula>
    </cfRule>
  </conditionalFormatting>
  <conditionalFormatting sqref="Q83">
    <cfRule type="cellIs" dxfId="1851" priority="1677" operator="lessThan">
      <formula>0</formula>
    </cfRule>
  </conditionalFormatting>
  <conditionalFormatting sqref="R83">
    <cfRule type="cellIs" dxfId="1850" priority="1675" operator="lessThan">
      <formula>0.8</formula>
    </cfRule>
    <cfRule type="cellIs" dxfId="1849" priority="1676" operator="greaterThan">
      <formula>1</formula>
    </cfRule>
  </conditionalFormatting>
  <conditionalFormatting sqref="R83">
    <cfRule type="cellIs" dxfId="1848" priority="1673" operator="greaterThan">
      <formula>1</formula>
    </cfRule>
    <cfRule type="cellIs" dxfId="1847" priority="1674" operator="lessThan">
      <formula>0.8</formula>
    </cfRule>
  </conditionalFormatting>
  <conditionalFormatting sqref="P83">
    <cfRule type="cellIs" dxfId="1846" priority="1672" operator="greaterThan">
      <formula>0</formula>
    </cfRule>
  </conditionalFormatting>
  <conditionalFormatting sqref="P83">
    <cfRule type="cellIs" dxfId="1845" priority="1666" operator="greaterThan">
      <formula>0</formula>
    </cfRule>
  </conditionalFormatting>
  <conditionalFormatting sqref="Q83">
    <cfRule type="cellIs" dxfId="1844" priority="1671" operator="lessThan">
      <formula>0</formula>
    </cfRule>
  </conditionalFormatting>
  <conditionalFormatting sqref="R83">
    <cfRule type="cellIs" dxfId="1843" priority="1669" operator="lessThan">
      <formula>0.8</formula>
    </cfRule>
    <cfRule type="cellIs" dxfId="1842" priority="1670" operator="greaterThan">
      <formula>1</formula>
    </cfRule>
  </conditionalFormatting>
  <conditionalFormatting sqref="R83">
    <cfRule type="cellIs" dxfId="1841" priority="1667" operator="greaterThan">
      <formula>1</formula>
    </cfRule>
    <cfRule type="cellIs" dxfId="1840" priority="1668" operator="lessThan">
      <formula>0.8</formula>
    </cfRule>
  </conditionalFormatting>
  <conditionalFormatting sqref="P83">
    <cfRule type="cellIs" dxfId="1839" priority="1660" operator="greaterThan">
      <formula>0</formula>
    </cfRule>
  </conditionalFormatting>
  <conditionalFormatting sqref="Q83">
    <cfRule type="cellIs" dxfId="1838" priority="1665" operator="lessThan">
      <formula>0</formula>
    </cfRule>
  </conditionalFormatting>
  <conditionalFormatting sqref="R83">
    <cfRule type="cellIs" dxfId="1837" priority="1663" operator="lessThan">
      <formula>0.8</formula>
    </cfRule>
    <cfRule type="cellIs" dxfId="1836" priority="1664" operator="greaterThan">
      <formula>1</formula>
    </cfRule>
  </conditionalFormatting>
  <conditionalFormatting sqref="R83">
    <cfRule type="cellIs" dxfId="1835" priority="1661" operator="greaterThan">
      <formula>1</formula>
    </cfRule>
    <cfRule type="cellIs" dxfId="1834" priority="1662" operator="lessThan">
      <formula>0.8</formula>
    </cfRule>
  </conditionalFormatting>
  <conditionalFormatting sqref="R83">
    <cfRule type="cellIs" dxfId="1833" priority="1657" operator="lessThan">
      <formula>0.8</formula>
    </cfRule>
    <cfRule type="cellIs" dxfId="1832" priority="1658" operator="greaterThan">
      <formula>1</formula>
    </cfRule>
  </conditionalFormatting>
  <conditionalFormatting sqref="R83">
    <cfRule type="cellIs" dxfId="1831" priority="1655" operator="greaterThan">
      <formula>1</formula>
    </cfRule>
    <cfRule type="cellIs" dxfId="1830" priority="1656" operator="lessThan">
      <formula>0.8</formula>
    </cfRule>
  </conditionalFormatting>
  <conditionalFormatting sqref="P83">
    <cfRule type="cellIs" dxfId="1829" priority="1654" operator="greaterThan">
      <formula>0</formula>
    </cfRule>
  </conditionalFormatting>
  <conditionalFormatting sqref="Q83">
    <cfRule type="cellIs" dxfId="1828" priority="1659" operator="lessThan">
      <formula>0</formula>
    </cfRule>
  </conditionalFormatting>
  <conditionalFormatting sqref="P83">
    <cfRule type="cellIs" dxfId="1827" priority="1648" operator="greaterThan">
      <formula>0</formula>
    </cfRule>
  </conditionalFormatting>
  <conditionalFormatting sqref="Q83">
    <cfRule type="cellIs" dxfId="1826" priority="1653" operator="lessThan">
      <formula>0</formula>
    </cfRule>
  </conditionalFormatting>
  <conditionalFormatting sqref="R83">
    <cfRule type="cellIs" dxfId="1825" priority="1651" operator="lessThan">
      <formula>0.8</formula>
    </cfRule>
    <cfRule type="cellIs" dxfId="1824" priority="1652" operator="greaterThan">
      <formula>1</formula>
    </cfRule>
  </conditionalFormatting>
  <conditionalFormatting sqref="R83">
    <cfRule type="cellIs" dxfId="1823" priority="1649" operator="greaterThan">
      <formula>1</formula>
    </cfRule>
    <cfRule type="cellIs" dxfId="1822" priority="1650" operator="lessThan">
      <formula>0.8</formula>
    </cfRule>
  </conditionalFormatting>
  <conditionalFormatting sqref="R83">
    <cfRule type="cellIs" dxfId="1821" priority="1645" operator="lessThan">
      <formula>0.8</formula>
    </cfRule>
    <cfRule type="cellIs" dxfId="1820" priority="1646" operator="greaterThan">
      <formula>1</formula>
    </cfRule>
  </conditionalFormatting>
  <conditionalFormatting sqref="R83">
    <cfRule type="cellIs" dxfId="1819" priority="1643" operator="greaterThan">
      <formula>1</formula>
    </cfRule>
    <cfRule type="cellIs" dxfId="1818" priority="1644" operator="lessThan">
      <formula>0.8</formula>
    </cfRule>
  </conditionalFormatting>
  <conditionalFormatting sqref="P83">
    <cfRule type="cellIs" dxfId="1817" priority="1642" operator="greaterThan">
      <formula>0</formula>
    </cfRule>
  </conditionalFormatting>
  <conditionalFormatting sqref="Q83">
    <cfRule type="cellIs" dxfId="1816" priority="1647" operator="lessThan">
      <formula>0</formula>
    </cfRule>
  </conditionalFormatting>
  <conditionalFormatting sqref="R83">
    <cfRule type="cellIs" dxfId="1815" priority="1639" operator="lessThan">
      <formula>0.8</formula>
    </cfRule>
    <cfRule type="cellIs" dxfId="1814" priority="1640" operator="greaterThan">
      <formula>1</formula>
    </cfRule>
  </conditionalFormatting>
  <conditionalFormatting sqref="R83">
    <cfRule type="cellIs" dxfId="1813" priority="1637" operator="greaterThan">
      <formula>1</formula>
    </cfRule>
    <cfRule type="cellIs" dxfId="1812" priority="1638" operator="lessThan">
      <formula>0.8</formula>
    </cfRule>
  </conditionalFormatting>
  <conditionalFormatting sqref="P83">
    <cfRule type="cellIs" dxfId="1811" priority="1636" operator="greaterThan">
      <formula>0</formula>
    </cfRule>
  </conditionalFormatting>
  <conditionalFormatting sqref="Q83">
    <cfRule type="cellIs" dxfId="1810" priority="1641" operator="lessThan">
      <formula>0</formula>
    </cfRule>
  </conditionalFormatting>
  <conditionalFormatting sqref="Q83">
    <cfRule type="cellIs" dxfId="1809" priority="1635" operator="lessThan">
      <formula>0</formula>
    </cfRule>
  </conditionalFormatting>
  <conditionalFormatting sqref="R83">
    <cfRule type="cellIs" dxfId="1808" priority="1633" operator="lessThan">
      <formula>0.8</formula>
    </cfRule>
    <cfRule type="cellIs" dxfId="1807" priority="1634" operator="greaterThan">
      <formula>1</formula>
    </cfRule>
  </conditionalFormatting>
  <conditionalFormatting sqref="R83">
    <cfRule type="cellIs" dxfId="1806" priority="1631" operator="greaterThan">
      <formula>1</formula>
    </cfRule>
    <cfRule type="cellIs" dxfId="1805" priority="1632" operator="lessThan">
      <formula>0.8</formula>
    </cfRule>
  </conditionalFormatting>
  <conditionalFormatting sqref="P83">
    <cfRule type="cellIs" dxfId="1804" priority="1630" operator="greaterThan">
      <formula>0</formula>
    </cfRule>
  </conditionalFormatting>
  <conditionalFormatting sqref="Q83">
    <cfRule type="cellIs" dxfId="1803" priority="1624" operator="lessThan">
      <formula>0</formula>
    </cfRule>
  </conditionalFormatting>
  <conditionalFormatting sqref="R83">
    <cfRule type="cellIs" dxfId="1802" priority="1628" operator="lessThan">
      <formula>0.8</formula>
    </cfRule>
    <cfRule type="cellIs" dxfId="1801" priority="1629" operator="greaterThan">
      <formula>1</formula>
    </cfRule>
  </conditionalFormatting>
  <conditionalFormatting sqref="R83">
    <cfRule type="cellIs" dxfId="1800" priority="1626" operator="greaterThan">
      <formula>1</formula>
    </cfRule>
    <cfRule type="cellIs" dxfId="1799" priority="1627" operator="lessThan">
      <formula>0.8</formula>
    </cfRule>
  </conditionalFormatting>
  <conditionalFormatting sqref="P83">
    <cfRule type="cellIs" dxfId="1798" priority="1625" operator="greaterThan">
      <formula>0</formula>
    </cfRule>
  </conditionalFormatting>
  <conditionalFormatting sqref="Q83">
    <cfRule type="cellIs" dxfId="1797" priority="1623" operator="lessThan">
      <formula>0</formula>
    </cfRule>
  </conditionalFormatting>
  <conditionalFormatting sqref="R83">
    <cfRule type="cellIs" dxfId="1796" priority="1621" operator="lessThan">
      <formula>0.8</formula>
    </cfRule>
    <cfRule type="cellIs" dxfId="1795" priority="1622" operator="greaterThan">
      <formula>1</formula>
    </cfRule>
  </conditionalFormatting>
  <conditionalFormatting sqref="R83">
    <cfRule type="cellIs" dxfId="1794" priority="1619" operator="greaterThan">
      <formula>1</formula>
    </cfRule>
    <cfRule type="cellIs" dxfId="1793" priority="1620" operator="lessThan">
      <formula>0.8</formula>
    </cfRule>
  </conditionalFormatting>
  <conditionalFormatting sqref="P83">
    <cfRule type="cellIs" dxfId="1792" priority="1618" operator="greaterThan">
      <formula>0</formula>
    </cfRule>
  </conditionalFormatting>
  <conditionalFormatting sqref="Q83">
    <cfRule type="cellIs" dxfId="1791" priority="1617" operator="lessThan">
      <formula>0</formula>
    </cfRule>
  </conditionalFormatting>
  <conditionalFormatting sqref="R83">
    <cfRule type="cellIs" dxfId="1790" priority="1615" operator="lessThan">
      <formula>0.8</formula>
    </cfRule>
    <cfRule type="cellIs" dxfId="1789" priority="1616" operator="greaterThan">
      <formula>1</formula>
    </cfRule>
  </conditionalFormatting>
  <conditionalFormatting sqref="R83">
    <cfRule type="cellIs" dxfId="1788" priority="1613" operator="greaterThan">
      <formula>1</formula>
    </cfRule>
    <cfRule type="cellIs" dxfId="1787" priority="1614" operator="lessThan">
      <formula>0.8</formula>
    </cfRule>
  </conditionalFormatting>
  <conditionalFormatting sqref="P83">
    <cfRule type="cellIs" dxfId="1786" priority="1612" operator="greaterThan">
      <formula>0</formula>
    </cfRule>
  </conditionalFormatting>
  <conditionalFormatting sqref="Q83">
    <cfRule type="cellIs" dxfId="1785" priority="1611" operator="lessThan">
      <formula>0</formula>
    </cfRule>
  </conditionalFormatting>
  <conditionalFormatting sqref="R83">
    <cfRule type="cellIs" dxfId="1784" priority="1609" operator="lessThan">
      <formula>0.8</formula>
    </cfRule>
    <cfRule type="cellIs" dxfId="1783" priority="1610" operator="greaterThan">
      <formula>1</formula>
    </cfRule>
  </conditionalFormatting>
  <conditionalFormatting sqref="R83">
    <cfRule type="cellIs" dxfId="1782" priority="1607" operator="greaterThan">
      <formula>1</formula>
    </cfRule>
    <cfRule type="cellIs" dxfId="1781" priority="1608" operator="lessThan">
      <formula>0.8</formula>
    </cfRule>
  </conditionalFormatting>
  <conditionalFormatting sqref="P83">
    <cfRule type="cellIs" dxfId="1780" priority="1606" operator="greaterThan">
      <formula>0</formula>
    </cfRule>
  </conditionalFormatting>
  <conditionalFormatting sqref="Q83">
    <cfRule type="cellIs" dxfId="1779" priority="1605" operator="lessThan">
      <formula>0</formula>
    </cfRule>
  </conditionalFormatting>
  <conditionalFormatting sqref="R83">
    <cfRule type="cellIs" dxfId="1778" priority="1603" operator="lessThan">
      <formula>0.8</formula>
    </cfRule>
    <cfRule type="cellIs" dxfId="1777" priority="1604" operator="greaterThan">
      <formula>1</formula>
    </cfRule>
  </conditionalFormatting>
  <conditionalFormatting sqref="R83">
    <cfRule type="cellIs" dxfId="1776" priority="1601" operator="greaterThan">
      <formula>1</formula>
    </cfRule>
    <cfRule type="cellIs" dxfId="1775" priority="1602" operator="lessThan">
      <formula>0.8</formula>
    </cfRule>
  </conditionalFormatting>
  <conditionalFormatting sqref="P83">
    <cfRule type="cellIs" dxfId="1774" priority="1600" operator="greaterThan">
      <formula>0</formula>
    </cfRule>
  </conditionalFormatting>
  <conditionalFormatting sqref="Q83">
    <cfRule type="cellIs" dxfId="1773" priority="1599" operator="lessThan">
      <formula>0</formula>
    </cfRule>
  </conditionalFormatting>
  <conditionalFormatting sqref="R83">
    <cfRule type="cellIs" dxfId="1772" priority="1597" operator="lessThan">
      <formula>0.8</formula>
    </cfRule>
    <cfRule type="cellIs" dxfId="1771" priority="1598" operator="greaterThan">
      <formula>1</formula>
    </cfRule>
  </conditionalFormatting>
  <conditionalFormatting sqref="R83">
    <cfRule type="cellIs" dxfId="1770" priority="1595" operator="greaterThan">
      <formula>1</formula>
    </cfRule>
    <cfRule type="cellIs" dxfId="1769" priority="1596" operator="lessThan">
      <formula>0.8</formula>
    </cfRule>
  </conditionalFormatting>
  <conditionalFormatting sqref="P83">
    <cfRule type="cellIs" dxfId="1768" priority="1594" operator="greaterThan">
      <formula>0</formula>
    </cfRule>
  </conditionalFormatting>
  <conditionalFormatting sqref="P83">
    <cfRule type="cellIs" dxfId="1767" priority="1588" operator="greaterThan">
      <formula>0</formula>
    </cfRule>
  </conditionalFormatting>
  <conditionalFormatting sqref="Q83">
    <cfRule type="cellIs" dxfId="1766" priority="1593" operator="lessThan">
      <formula>0</formula>
    </cfRule>
  </conditionalFormatting>
  <conditionalFormatting sqref="R83">
    <cfRule type="cellIs" dxfId="1765" priority="1591" operator="lessThan">
      <formula>0.8</formula>
    </cfRule>
    <cfRule type="cellIs" dxfId="1764" priority="1592" operator="greaterThan">
      <formula>1</formula>
    </cfRule>
  </conditionalFormatting>
  <conditionalFormatting sqref="R83">
    <cfRule type="cellIs" dxfId="1763" priority="1589" operator="greaterThan">
      <formula>1</formula>
    </cfRule>
    <cfRule type="cellIs" dxfId="1762" priority="1590" operator="lessThan">
      <formula>0.8</formula>
    </cfRule>
  </conditionalFormatting>
  <conditionalFormatting sqref="P83">
    <cfRule type="cellIs" dxfId="1761" priority="1582" operator="greaterThan">
      <formula>0</formula>
    </cfRule>
  </conditionalFormatting>
  <conditionalFormatting sqref="Q83">
    <cfRule type="cellIs" dxfId="1760" priority="1587" operator="lessThan">
      <formula>0</formula>
    </cfRule>
  </conditionalFormatting>
  <conditionalFormatting sqref="R83">
    <cfRule type="cellIs" dxfId="1759" priority="1585" operator="lessThan">
      <formula>0.8</formula>
    </cfRule>
    <cfRule type="cellIs" dxfId="1758" priority="1586" operator="greaterThan">
      <formula>1</formula>
    </cfRule>
  </conditionalFormatting>
  <conditionalFormatting sqref="R83">
    <cfRule type="cellIs" dxfId="1757" priority="1583" operator="greaterThan">
      <formula>1</formula>
    </cfRule>
    <cfRule type="cellIs" dxfId="1756" priority="1584" operator="lessThan">
      <formula>0.8</formula>
    </cfRule>
  </conditionalFormatting>
  <conditionalFormatting sqref="R83">
    <cfRule type="cellIs" dxfId="1755" priority="1579" operator="lessThan">
      <formula>0.8</formula>
    </cfRule>
    <cfRule type="cellIs" dxfId="1754" priority="1580" operator="greaterThan">
      <formula>1</formula>
    </cfRule>
  </conditionalFormatting>
  <conditionalFormatting sqref="R83">
    <cfRule type="cellIs" dxfId="1753" priority="1577" operator="greaterThan">
      <formula>1</formula>
    </cfRule>
    <cfRule type="cellIs" dxfId="1752" priority="1578" operator="lessThan">
      <formula>0.8</formula>
    </cfRule>
  </conditionalFormatting>
  <conditionalFormatting sqref="P83">
    <cfRule type="cellIs" dxfId="1751" priority="1576" operator="greaterThan">
      <formula>0</formula>
    </cfRule>
  </conditionalFormatting>
  <conditionalFormatting sqref="Q83">
    <cfRule type="cellIs" dxfId="1750" priority="1581" operator="lessThan">
      <formula>0</formula>
    </cfRule>
  </conditionalFormatting>
  <conditionalFormatting sqref="Q83">
    <cfRule type="cellIs" dxfId="1749" priority="1570" operator="lessThan">
      <formula>0</formula>
    </cfRule>
  </conditionalFormatting>
  <conditionalFormatting sqref="P83">
    <cfRule type="cellIs" dxfId="1748" priority="1571" operator="greaterThan">
      <formula>0</formula>
    </cfRule>
  </conditionalFormatting>
  <conditionalFormatting sqref="R83">
    <cfRule type="cellIs" dxfId="1747" priority="1574" operator="lessThan">
      <formula>0.8</formula>
    </cfRule>
    <cfRule type="cellIs" dxfId="1746" priority="1575" operator="greaterThan">
      <formula>1</formula>
    </cfRule>
  </conditionalFormatting>
  <conditionalFormatting sqref="R83">
    <cfRule type="cellIs" dxfId="1745" priority="1572" operator="greaterThan">
      <formula>1</formula>
    </cfRule>
    <cfRule type="cellIs" dxfId="1744" priority="1573" operator="lessThan">
      <formula>0.8</formula>
    </cfRule>
  </conditionalFormatting>
  <conditionalFormatting sqref="Q83">
    <cfRule type="cellIs" dxfId="1743" priority="1564" operator="lessThan">
      <formula>0</formula>
    </cfRule>
  </conditionalFormatting>
  <conditionalFormatting sqref="R83">
    <cfRule type="cellIs" dxfId="1742" priority="1568" operator="lessThan">
      <formula>0.8</formula>
    </cfRule>
    <cfRule type="cellIs" dxfId="1741" priority="1569" operator="greaterThan">
      <formula>1</formula>
    </cfRule>
  </conditionalFormatting>
  <conditionalFormatting sqref="R83">
    <cfRule type="cellIs" dxfId="1740" priority="1566" operator="greaterThan">
      <formula>1</formula>
    </cfRule>
    <cfRule type="cellIs" dxfId="1739" priority="1567" operator="lessThan">
      <formula>0.8</formula>
    </cfRule>
  </conditionalFormatting>
  <conditionalFormatting sqref="P83">
    <cfRule type="cellIs" dxfId="1738" priority="1565" operator="greaterThan">
      <formula>0</formula>
    </cfRule>
  </conditionalFormatting>
  <conditionalFormatting sqref="Q83">
    <cfRule type="cellIs" dxfId="1737" priority="1563" operator="lessThan">
      <formula>0</formula>
    </cfRule>
  </conditionalFormatting>
  <conditionalFormatting sqref="R83">
    <cfRule type="cellIs" dxfId="1736" priority="1561" operator="lessThan">
      <formula>0.8</formula>
    </cfRule>
    <cfRule type="cellIs" dxfId="1735" priority="1562" operator="greaterThan">
      <formula>1</formula>
    </cfRule>
  </conditionalFormatting>
  <conditionalFormatting sqref="R83">
    <cfRule type="cellIs" dxfId="1734" priority="1559" operator="greaterThan">
      <formula>1</formula>
    </cfRule>
    <cfRule type="cellIs" dxfId="1733" priority="1560" operator="lessThan">
      <formula>0.8</formula>
    </cfRule>
  </conditionalFormatting>
  <conditionalFormatting sqref="P83">
    <cfRule type="cellIs" dxfId="1732" priority="1558" operator="greaterThan">
      <formula>0</formula>
    </cfRule>
  </conditionalFormatting>
  <conditionalFormatting sqref="Q83">
    <cfRule type="cellIs" dxfId="1731" priority="1557" operator="lessThan">
      <formula>0</formula>
    </cfRule>
  </conditionalFormatting>
  <conditionalFormatting sqref="R83">
    <cfRule type="cellIs" dxfId="1730" priority="1555" operator="lessThan">
      <formula>0.8</formula>
    </cfRule>
    <cfRule type="cellIs" dxfId="1729" priority="1556" operator="greaterThan">
      <formula>1</formula>
    </cfRule>
  </conditionalFormatting>
  <conditionalFormatting sqref="R83">
    <cfRule type="cellIs" dxfId="1728" priority="1553" operator="greaterThan">
      <formula>1</formula>
    </cfRule>
    <cfRule type="cellIs" dxfId="1727" priority="1554" operator="lessThan">
      <formula>0.8</formula>
    </cfRule>
  </conditionalFormatting>
  <conditionalFormatting sqref="P83">
    <cfRule type="cellIs" dxfId="1726" priority="1552" operator="greaterThan">
      <formula>0</formula>
    </cfRule>
  </conditionalFormatting>
  <conditionalFormatting sqref="Q83">
    <cfRule type="cellIs" dxfId="1725" priority="1551" operator="lessThan">
      <formula>0</formula>
    </cfRule>
  </conditionalFormatting>
  <conditionalFormatting sqref="R83">
    <cfRule type="cellIs" dxfId="1724" priority="1549" operator="lessThan">
      <formula>0.8</formula>
    </cfRule>
    <cfRule type="cellIs" dxfId="1723" priority="1550" operator="greaterThan">
      <formula>1</formula>
    </cfRule>
  </conditionalFormatting>
  <conditionalFormatting sqref="R83">
    <cfRule type="cellIs" dxfId="1722" priority="1547" operator="greaterThan">
      <formula>1</formula>
    </cfRule>
    <cfRule type="cellIs" dxfId="1721" priority="1548" operator="lessThan">
      <formula>0.8</formula>
    </cfRule>
  </conditionalFormatting>
  <conditionalFormatting sqref="P83">
    <cfRule type="cellIs" dxfId="1720" priority="1546" operator="greaterThan">
      <formula>0</formula>
    </cfRule>
  </conditionalFormatting>
  <conditionalFormatting sqref="Q32:Q40">
    <cfRule type="cellIs" dxfId="1719" priority="1541" operator="lessThan">
      <formula>0</formula>
    </cfRule>
  </conditionalFormatting>
  <conditionalFormatting sqref="R32:R40">
    <cfRule type="cellIs" dxfId="1718" priority="1544" operator="lessThan">
      <formula>0.8</formula>
    </cfRule>
    <cfRule type="cellIs" dxfId="1717" priority="1545" operator="greaterThan">
      <formula>1</formula>
    </cfRule>
  </conditionalFormatting>
  <conditionalFormatting sqref="R32:R40">
    <cfRule type="cellIs" dxfId="1716" priority="1542" operator="greaterThan">
      <formula>1</formula>
    </cfRule>
    <cfRule type="cellIs" dxfId="1715" priority="1543" operator="lessThan">
      <formula>0.8</formula>
    </cfRule>
  </conditionalFormatting>
  <conditionalFormatting sqref="Q32:Q40">
    <cfRule type="cellIs" dxfId="1714" priority="1536" operator="lessThan">
      <formula>0</formula>
    </cfRule>
  </conditionalFormatting>
  <conditionalFormatting sqref="R32:R40">
    <cfRule type="cellIs" dxfId="1713" priority="1539" operator="lessThan">
      <formula>0.8</formula>
    </cfRule>
    <cfRule type="cellIs" dxfId="1712" priority="1540" operator="greaterThan">
      <formula>1</formula>
    </cfRule>
  </conditionalFormatting>
  <conditionalFormatting sqref="R32:R40">
    <cfRule type="cellIs" dxfId="1711" priority="1537" operator="greaterThan">
      <formula>1</formula>
    </cfRule>
    <cfRule type="cellIs" dxfId="1710" priority="1538" operator="lessThan">
      <formula>0.8</formula>
    </cfRule>
  </conditionalFormatting>
  <conditionalFormatting sqref="Q32:Q40">
    <cfRule type="cellIs" dxfId="1709" priority="1535" operator="lessThan">
      <formula>0</formula>
    </cfRule>
  </conditionalFormatting>
  <conditionalFormatting sqref="R32:R40">
    <cfRule type="cellIs" dxfId="1708" priority="1533" operator="lessThan">
      <formula>0.8</formula>
    </cfRule>
    <cfRule type="cellIs" dxfId="1707" priority="1534" operator="greaterThan">
      <formula>1</formula>
    </cfRule>
  </conditionalFormatting>
  <conditionalFormatting sqref="R32:R40">
    <cfRule type="cellIs" dxfId="1706" priority="1531" operator="greaterThan">
      <formula>1</formula>
    </cfRule>
    <cfRule type="cellIs" dxfId="1705" priority="1532" operator="lessThan">
      <formula>0.8</formula>
    </cfRule>
  </conditionalFormatting>
  <conditionalFormatting sqref="Q32:Q40">
    <cfRule type="cellIs" dxfId="1704" priority="1530" operator="lessThan">
      <formula>0</formula>
    </cfRule>
  </conditionalFormatting>
  <conditionalFormatting sqref="R32:R40">
    <cfRule type="cellIs" dxfId="1703" priority="1528" operator="lessThan">
      <formula>0.8</formula>
    </cfRule>
    <cfRule type="cellIs" dxfId="1702" priority="1529" operator="greaterThan">
      <formula>1</formula>
    </cfRule>
  </conditionalFormatting>
  <conditionalFormatting sqref="R32:R40">
    <cfRule type="cellIs" dxfId="1701" priority="1526" operator="greaterThan">
      <formula>1</formula>
    </cfRule>
    <cfRule type="cellIs" dxfId="1700" priority="1527" operator="lessThan">
      <formula>0.8</formula>
    </cfRule>
  </conditionalFormatting>
  <conditionalFormatting sqref="Q32:Q40">
    <cfRule type="cellIs" dxfId="1699" priority="1521" operator="lessThan">
      <formula>0</formula>
    </cfRule>
  </conditionalFormatting>
  <conditionalFormatting sqref="R32:R40">
    <cfRule type="cellIs" dxfId="1698" priority="1524" operator="lessThan">
      <formula>0.8</formula>
    </cfRule>
    <cfRule type="cellIs" dxfId="1697" priority="1525" operator="greaterThan">
      <formula>1</formula>
    </cfRule>
  </conditionalFormatting>
  <conditionalFormatting sqref="R32:R40">
    <cfRule type="cellIs" dxfId="1696" priority="1522" operator="greaterThan">
      <formula>1</formula>
    </cfRule>
    <cfRule type="cellIs" dxfId="1695" priority="1523" operator="lessThan">
      <formula>0.8</formula>
    </cfRule>
  </conditionalFormatting>
  <conditionalFormatting sqref="Q32:Q40">
    <cfRule type="cellIs" dxfId="1694" priority="1520" operator="lessThan">
      <formula>0</formula>
    </cfRule>
  </conditionalFormatting>
  <conditionalFormatting sqref="R32:R40">
    <cfRule type="cellIs" dxfId="1693" priority="1518" operator="lessThan">
      <formula>0.8</formula>
    </cfRule>
    <cfRule type="cellIs" dxfId="1692" priority="1519" operator="greaterThan">
      <formula>1</formula>
    </cfRule>
  </conditionalFormatting>
  <conditionalFormatting sqref="R32:R40">
    <cfRule type="cellIs" dxfId="1691" priority="1516" operator="greaterThan">
      <formula>1</formula>
    </cfRule>
    <cfRule type="cellIs" dxfId="1690" priority="1517" operator="lessThan">
      <formula>0.8</formula>
    </cfRule>
  </conditionalFormatting>
  <conditionalFormatting sqref="Q32:Q40">
    <cfRule type="cellIs" dxfId="1689" priority="1515" operator="lessThan">
      <formula>0</formula>
    </cfRule>
  </conditionalFormatting>
  <conditionalFormatting sqref="R32:R40">
    <cfRule type="cellIs" dxfId="1688" priority="1513" operator="lessThan">
      <formula>0.8</formula>
    </cfRule>
    <cfRule type="cellIs" dxfId="1687" priority="1514" operator="greaterThan">
      <formula>1</formula>
    </cfRule>
  </conditionalFormatting>
  <conditionalFormatting sqref="R32:R40">
    <cfRule type="cellIs" dxfId="1686" priority="1511" operator="greaterThan">
      <formula>1</formula>
    </cfRule>
    <cfRule type="cellIs" dxfId="1685" priority="1512" operator="lessThan">
      <formula>0.8</formula>
    </cfRule>
  </conditionalFormatting>
  <conditionalFormatting sqref="Q32:Q40">
    <cfRule type="cellIs" dxfId="1684" priority="1510" operator="lessThan">
      <formula>0</formula>
    </cfRule>
  </conditionalFormatting>
  <conditionalFormatting sqref="R32:R40">
    <cfRule type="cellIs" dxfId="1683" priority="1508" operator="lessThan">
      <formula>0.8</formula>
    </cfRule>
    <cfRule type="cellIs" dxfId="1682" priority="1509" operator="greaterThan">
      <formula>1</formula>
    </cfRule>
  </conditionalFormatting>
  <conditionalFormatting sqref="R32:R40">
    <cfRule type="cellIs" dxfId="1681" priority="1506" operator="greaterThan">
      <formula>1</formula>
    </cfRule>
    <cfRule type="cellIs" dxfId="1680" priority="1507" operator="lessThan">
      <formula>0.8</formula>
    </cfRule>
  </conditionalFormatting>
  <conditionalFormatting sqref="Q32:Q40">
    <cfRule type="cellIs" dxfId="1679" priority="1505" operator="lessThan">
      <formula>0</formula>
    </cfRule>
  </conditionalFormatting>
  <conditionalFormatting sqref="R32:R40">
    <cfRule type="cellIs" dxfId="1678" priority="1503" operator="lessThan">
      <formula>0.8</formula>
    </cfRule>
    <cfRule type="cellIs" dxfId="1677" priority="1504" operator="greaterThan">
      <formula>1</formula>
    </cfRule>
  </conditionalFormatting>
  <conditionalFormatting sqref="R32:R40">
    <cfRule type="cellIs" dxfId="1676" priority="1501" operator="greaterThan">
      <formula>1</formula>
    </cfRule>
    <cfRule type="cellIs" dxfId="1675" priority="1502" operator="lessThan">
      <formula>0.8</formula>
    </cfRule>
  </conditionalFormatting>
  <conditionalFormatting sqref="Q32:Q40">
    <cfRule type="cellIs" dxfId="1674" priority="1500" operator="lessThan">
      <formula>0</formula>
    </cfRule>
  </conditionalFormatting>
  <conditionalFormatting sqref="R32:R40">
    <cfRule type="cellIs" dxfId="1673" priority="1498" operator="lessThan">
      <formula>0.8</formula>
    </cfRule>
    <cfRule type="cellIs" dxfId="1672" priority="1499" operator="greaterThan">
      <formula>1</formula>
    </cfRule>
  </conditionalFormatting>
  <conditionalFormatting sqref="R32:R40">
    <cfRule type="cellIs" dxfId="1671" priority="1496" operator="greaterThan">
      <formula>1</formula>
    </cfRule>
    <cfRule type="cellIs" dxfId="1670" priority="1497" operator="lessThan">
      <formula>0.8</formula>
    </cfRule>
  </conditionalFormatting>
  <conditionalFormatting sqref="Q32:Q40">
    <cfRule type="cellIs" dxfId="1669" priority="1495" operator="lessThan">
      <formula>0</formula>
    </cfRule>
  </conditionalFormatting>
  <conditionalFormatting sqref="R32:R40">
    <cfRule type="cellIs" dxfId="1668" priority="1493" operator="lessThan">
      <formula>0.8</formula>
    </cfRule>
    <cfRule type="cellIs" dxfId="1667" priority="1494" operator="greaterThan">
      <formula>1</formula>
    </cfRule>
  </conditionalFormatting>
  <conditionalFormatting sqref="R32:R40">
    <cfRule type="cellIs" dxfId="1666" priority="1491" operator="greaterThan">
      <formula>1</formula>
    </cfRule>
    <cfRule type="cellIs" dxfId="1665" priority="1492" operator="lessThan">
      <formula>0.8</formula>
    </cfRule>
  </conditionalFormatting>
  <conditionalFormatting sqref="Q32:Q40">
    <cfRule type="cellIs" dxfId="1664" priority="1490" operator="lessThan">
      <formula>0</formula>
    </cfRule>
  </conditionalFormatting>
  <conditionalFormatting sqref="R32:R40">
    <cfRule type="cellIs" dxfId="1663" priority="1488" operator="lessThan">
      <formula>0.8</formula>
    </cfRule>
    <cfRule type="cellIs" dxfId="1662" priority="1489" operator="greaterThan">
      <formula>1</formula>
    </cfRule>
  </conditionalFormatting>
  <conditionalFormatting sqref="R32:R40">
    <cfRule type="cellIs" dxfId="1661" priority="1486" operator="greaterThan">
      <formula>1</formula>
    </cfRule>
    <cfRule type="cellIs" dxfId="1660" priority="1487" operator="lessThan">
      <formula>0.8</formula>
    </cfRule>
  </conditionalFormatting>
  <conditionalFormatting sqref="R32:R40">
    <cfRule type="cellIs" dxfId="1659" priority="1483" operator="lessThan">
      <formula>0.8</formula>
    </cfRule>
    <cfRule type="cellIs" dxfId="1658" priority="1484" operator="greaterThan">
      <formula>1</formula>
    </cfRule>
  </conditionalFormatting>
  <conditionalFormatting sqref="R32:R40">
    <cfRule type="cellIs" dxfId="1657" priority="1481" operator="greaterThan">
      <formula>1</formula>
    </cfRule>
    <cfRule type="cellIs" dxfId="1656" priority="1482" operator="lessThan">
      <formula>0.8</formula>
    </cfRule>
  </conditionalFormatting>
  <conditionalFormatting sqref="Q32:Q40">
    <cfRule type="cellIs" dxfId="1655" priority="1485" operator="lessThan">
      <formula>0</formula>
    </cfRule>
  </conditionalFormatting>
  <conditionalFormatting sqref="Q32:Q40">
    <cfRule type="cellIs" dxfId="1654" priority="1476" operator="lessThan">
      <formula>0</formula>
    </cfRule>
  </conditionalFormatting>
  <conditionalFormatting sqref="R32:R40">
    <cfRule type="cellIs" dxfId="1653" priority="1479" operator="lessThan">
      <formula>0.8</formula>
    </cfRule>
    <cfRule type="cellIs" dxfId="1652" priority="1480" operator="greaterThan">
      <formula>1</formula>
    </cfRule>
  </conditionalFormatting>
  <conditionalFormatting sqref="R32:R40">
    <cfRule type="cellIs" dxfId="1651" priority="1477" operator="greaterThan">
      <formula>1</formula>
    </cfRule>
    <cfRule type="cellIs" dxfId="1650" priority="1478" operator="lessThan">
      <formula>0.8</formula>
    </cfRule>
  </conditionalFormatting>
  <conditionalFormatting sqref="Q32:Q40">
    <cfRule type="cellIs" dxfId="1649" priority="1471" operator="lessThan">
      <formula>0</formula>
    </cfRule>
  </conditionalFormatting>
  <conditionalFormatting sqref="R32:R40">
    <cfRule type="cellIs" dxfId="1648" priority="1474" operator="lessThan">
      <formula>0.8</formula>
    </cfRule>
    <cfRule type="cellIs" dxfId="1647" priority="1475" operator="greaterThan">
      <formula>1</formula>
    </cfRule>
  </conditionalFormatting>
  <conditionalFormatting sqref="R32:R40">
    <cfRule type="cellIs" dxfId="1646" priority="1472" operator="greaterThan">
      <formula>1</formula>
    </cfRule>
    <cfRule type="cellIs" dxfId="1645" priority="1473" operator="lessThan">
      <formula>0.8</formula>
    </cfRule>
  </conditionalFormatting>
  <conditionalFormatting sqref="Q32:Q40">
    <cfRule type="cellIs" dxfId="1644" priority="1470" operator="lessThan">
      <formula>0</formula>
    </cfRule>
  </conditionalFormatting>
  <conditionalFormatting sqref="R32:R40">
    <cfRule type="cellIs" dxfId="1643" priority="1468" operator="lessThan">
      <formula>0.8</formula>
    </cfRule>
    <cfRule type="cellIs" dxfId="1642" priority="1469" operator="greaterThan">
      <formula>1</formula>
    </cfRule>
  </conditionalFormatting>
  <conditionalFormatting sqref="R32:R40">
    <cfRule type="cellIs" dxfId="1641" priority="1466" operator="greaterThan">
      <formula>1</formula>
    </cfRule>
    <cfRule type="cellIs" dxfId="1640" priority="1467" operator="lessThan">
      <formula>0.8</formula>
    </cfRule>
  </conditionalFormatting>
  <conditionalFormatting sqref="Q32:Q40">
    <cfRule type="cellIs" dxfId="1639" priority="1465" operator="lessThan">
      <formula>0</formula>
    </cfRule>
  </conditionalFormatting>
  <conditionalFormatting sqref="R32:R40">
    <cfRule type="cellIs" dxfId="1638" priority="1463" operator="lessThan">
      <formula>0.8</formula>
    </cfRule>
    <cfRule type="cellIs" dxfId="1637" priority="1464" operator="greaterThan">
      <formula>1</formula>
    </cfRule>
  </conditionalFormatting>
  <conditionalFormatting sqref="R32:R40">
    <cfRule type="cellIs" dxfId="1636" priority="1461" operator="greaterThan">
      <formula>1</formula>
    </cfRule>
    <cfRule type="cellIs" dxfId="1635" priority="1462" operator="lessThan">
      <formula>0.8</formula>
    </cfRule>
  </conditionalFormatting>
  <conditionalFormatting sqref="Q32:Q40">
    <cfRule type="cellIs" dxfId="1634" priority="1456" operator="lessThan">
      <formula>0</formula>
    </cfRule>
  </conditionalFormatting>
  <conditionalFormatting sqref="R32:R40">
    <cfRule type="cellIs" dxfId="1633" priority="1459" operator="lessThan">
      <formula>0.8</formula>
    </cfRule>
    <cfRule type="cellIs" dxfId="1632" priority="1460" operator="greaterThan">
      <formula>1</formula>
    </cfRule>
  </conditionalFormatting>
  <conditionalFormatting sqref="R32:R40">
    <cfRule type="cellIs" dxfId="1631" priority="1457" operator="greaterThan">
      <formula>1</formula>
    </cfRule>
    <cfRule type="cellIs" dxfId="1630" priority="1458" operator="lessThan">
      <formula>0.8</formula>
    </cfRule>
  </conditionalFormatting>
  <conditionalFormatting sqref="Q32:Q40">
    <cfRule type="cellIs" dxfId="1629" priority="1451" operator="lessThan">
      <formula>0</formula>
    </cfRule>
  </conditionalFormatting>
  <conditionalFormatting sqref="R32:R40">
    <cfRule type="cellIs" dxfId="1628" priority="1454" operator="lessThan">
      <formula>0.8</formula>
    </cfRule>
    <cfRule type="cellIs" dxfId="1627" priority="1455" operator="greaterThan">
      <formula>1</formula>
    </cfRule>
  </conditionalFormatting>
  <conditionalFormatting sqref="R32:R40">
    <cfRule type="cellIs" dxfId="1626" priority="1452" operator="greaterThan">
      <formula>1</formula>
    </cfRule>
    <cfRule type="cellIs" dxfId="1625" priority="1453" operator="lessThan">
      <formula>0.8</formula>
    </cfRule>
  </conditionalFormatting>
  <conditionalFormatting sqref="Q32:Q40">
    <cfRule type="cellIs" dxfId="1624" priority="1450" operator="lessThan">
      <formula>0</formula>
    </cfRule>
  </conditionalFormatting>
  <conditionalFormatting sqref="R32:R40">
    <cfRule type="cellIs" dxfId="1623" priority="1448" operator="lessThan">
      <formula>0.8</formula>
    </cfRule>
    <cfRule type="cellIs" dxfId="1622" priority="1449" operator="greaterThan">
      <formula>1</formula>
    </cfRule>
  </conditionalFormatting>
  <conditionalFormatting sqref="R32:R40">
    <cfRule type="cellIs" dxfId="1621" priority="1446" operator="greaterThan">
      <formula>1</formula>
    </cfRule>
    <cfRule type="cellIs" dxfId="1620" priority="1447" operator="lessThan">
      <formula>0.8</formula>
    </cfRule>
  </conditionalFormatting>
  <conditionalFormatting sqref="Q32:Q40">
    <cfRule type="cellIs" dxfId="1619" priority="1445" operator="lessThan">
      <formula>0</formula>
    </cfRule>
  </conditionalFormatting>
  <conditionalFormatting sqref="R32:R40">
    <cfRule type="cellIs" dxfId="1618" priority="1443" operator="lessThan">
      <formula>0.8</formula>
    </cfRule>
    <cfRule type="cellIs" dxfId="1617" priority="1444" operator="greaterThan">
      <formula>1</formula>
    </cfRule>
  </conditionalFormatting>
  <conditionalFormatting sqref="R32:R40">
    <cfRule type="cellIs" dxfId="1616" priority="1441" operator="greaterThan">
      <formula>1</formula>
    </cfRule>
    <cfRule type="cellIs" dxfId="1615" priority="1442" operator="lessThan">
      <formula>0.8</formula>
    </cfRule>
  </conditionalFormatting>
  <conditionalFormatting sqref="Q19:Q25">
    <cfRule type="cellIs" dxfId="1614" priority="1440" operator="lessThan">
      <formula>0</formula>
    </cfRule>
  </conditionalFormatting>
  <conditionalFormatting sqref="R19:R25">
    <cfRule type="cellIs" dxfId="1613" priority="1438" operator="lessThan">
      <formula>0.8</formula>
    </cfRule>
    <cfRule type="cellIs" dxfId="1612" priority="1439" operator="greaterThan">
      <formula>1</formula>
    </cfRule>
  </conditionalFormatting>
  <conditionalFormatting sqref="R19:R25">
    <cfRule type="cellIs" dxfId="1611" priority="1436" operator="greaterThan">
      <formula>1</formula>
    </cfRule>
    <cfRule type="cellIs" dxfId="1610" priority="1437" operator="lessThan">
      <formula>0.8</formula>
    </cfRule>
  </conditionalFormatting>
  <conditionalFormatting sqref="R19:R25">
    <cfRule type="cellIs" dxfId="1609" priority="1433" operator="lessThan">
      <formula>0.8</formula>
    </cfRule>
    <cfRule type="cellIs" dxfId="1608" priority="1434" operator="greaterThan">
      <formula>1</formula>
    </cfRule>
  </conditionalFormatting>
  <conditionalFormatting sqref="R19:R25">
    <cfRule type="cellIs" dxfId="1607" priority="1431" operator="greaterThan">
      <formula>1</formula>
    </cfRule>
    <cfRule type="cellIs" dxfId="1606" priority="1432" operator="lessThan">
      <formula>0.8</formula>
    </cfRule>
  </conditionalFormatting>
  <conditionalFormatting sqref="Q19:Q25">
    <cfRule type="cellIs" dxfId="1605" priority="1435" operator="lessThan">
      <formula>0</formula>
    </cfRule>
  </conditionalFormatting>
  <conditionalFormatting sqref="R19:R25">
    <cfRule type="cellIs" dxfId="1604" priority="1428" operator="lessThan">
      <formula>0.8</formula>
    </cfRule>
    <cfRule type="cellIs" dxfId="1603" priority="1429" operator="greaterThan">
      <formula>1</formula>
    </cfRule>
  </conditionalFormatting>
  <conditionalFormatting sqref="R19:R25">
    <cfRule type="cellIs" dxfId="1602" priority="1426" operator="greaterThan">
      <formula>1</formula>
    </cfRule>
    <cfRule type="cellIs" dxfId="1601" priority="1427" operator="lessThan">
      <formula>0.8</formula>
    </cfRule>
  </conditionalFormatting>
  <conditionalFormatting sqref="Q19:Q25">
    <cfRule type="cellIs" dxfId="1600" priority="1430" operator="lessThan">
      <formula>0</formula>
    </cfRule>
  </conditionalFormatting>
  <conditionalFormatting sqref="Q19:Q25">
    <cfRule type="cellIs" dxfId="1599" priority="1425" operator="lessThan">
      <formula>0</formula>
    </cfRule>
  </conditionalFormatting>
  <conditionalFormatting sqref="R19:R25">
    <cfRule type="cellIs" dxfId="1598" priority="1423" operator="lessThan">
      <formula>0.8</formula>
    </cfRule>
    <cfRule type="cellIs" dxfId="1597" priority="1424" operator="greaterThan">
      <formula>1</formula>
    </cfRule>
  </conditionalFormatting>
  <conditionalFormatting sqref="R19:R25">
    <cfRule type="cellIs" dxfId="1596" priority="1421" operator="greaterThan">
      <formula>1</formula>
    </cfRule>
    <cfRule type="cellIs" dxfId="1595" priority="1422" operator="lessThan">
      <formula>0.8</formula>
    </cfRule>
  </conditionalFormatting>
  <conditionalFormatting sqref="Q135:Q136">
    <cfRule type="cellIs" dxfId="1594" priority="1420" operator="lessThan">
      <formula>0</formula>
    </cfRule>
  </conditionalFormatting>
  <conditionalFormatting sqref="R135:R136 R139:R145">
    <cfRule type="cellIs" dxfId="1593" priority="1418" operator="lessThan">
      <formula>0.8</formula>
    </cfRule>
    <cfRule type="cellIs" dxfId="1592" priority="1419" operator="greaterThan">
      <formula>1</formula>
    </cfRule>
  </conditionalFormatting>
  <conditionalFormatting sqref="R135:R136 R139:R145">
    <cfRule type="cellIs" dxfId="1591" priority="1416" operator="greaterThan">
      <formula>1</formula>
    </cfRule>
    <cfRule type="cellIs" dxfId="1590" priority="1417" operator="lessThan">
      <formula>0.8</formula>
    </cfRule>
  </conditionalFormatting>
  <conditionalFormatting sqref="P135:P136 P139 P141 P143 P145">
    <cfRule type="cellIs" dxfId="1589" priority="1415" operator="greaterThan">
      <formula>0</formula>
    </cfRule>
  </conditionalFormatting>
  <conditionalFormatting sqref="P135:P136 P139 P141 P143 P145">
    <cfRule type="cellIs" dxfId="1588" priority="1409" operator="greaterThan">
      <formula>0</formula>
    </cfRule>
  </conditionalFormatting>
  <conditionalFormatting sqref="Q135:Q136">
    <cfRule type="cellIs" dxfId="1587" priority="1414" operator="lessThan">
      <formula>0</formula>
    </cfRule>
  </conditionalFormatting>
  <conditionalFormatting sqref="R135:R136 R139:R145">
    <cfRule type="cellIs" dxfId="1586" priority="1412" operator="lessThan">
      <formula>0.8</formula>
    </cfRule>
    <cfRule type="cellIs" dxfId="1585" priority="1413" operator="greaterThan">
      <formula>1</formula>
    </cfRule>
  </conditionalFormatting>
  <conditionalFormatting sqref="R135:R136 R139:R145">
    <cfRule type="cellIs" dxfId="1584" priority="1410" operator="greaterThan">
      <formula>1</formula>
    </cfRule>
    <cfRule type="cellIs" dxfId="1583" priority="1411" operator="lessThan">
      <formula>0.8</formula>
    </cfRule>
  </conditionalFormatting>
  <conditionalFormatting sqref="Q19:Q25">
    <cfRule type="cellIs" dxfId="1582" priority="1408" operator="lessThan">
      <formula>0</formula>
    </cfRule>
  </conditionalFormatting>
  <conditionalFormatting sqref="R19:R25">
    <cfRule type="cellIs" dxfId="1581" priority="1406" operator="lessThan">
      <formula>0.8</formula>
    </cfRule>
    <cfRule type="cellIs" dxfId="1580" priority="1407" operator="greaterThan">
      <formula>1</formula>
    </cfRule>
  </conditionalFormatting>
  <conditionalFormatting sqref="R19:R25">
    <cfRule type="cellIs" dxfId="1579" priority="1404" operator="greaterThan">
      <formula>1</formula>
    </cfRule>
    <cfRule type="cellIs" dxfId="1578" priority="1405" operator="lessThan">
      <formula>0.8</formula>
    </cfRule>
  </conditionalFormatting>
  <conditionalFormatting sqref="Q19:Q25">
    <cfRule type="cellIs" dxfId="1577" priority="1403" operator="lessThan">
      <formula>0</formula>
    </cfRule>
  </conditionalFormatting>
  <conditionalFormatting sqref="R19:R25">
    <cfRule type="cellIs" dxfId="1576" priority="1401" operator="lessThan">
      <formula>0.8</formula>
    </cfRule>
    <cfRule type="cellIs" dxfId="1575" priority="1402" operator="greaterThan">
      <formula>1</formula>
    </cfRule>
  </conditionalFormatting>
  <conditionalFormatting sqref="R19:R25">
    <cfRule type="cellIs" dxfId="1574" priority="1399" operator="greaterThan">
      <formula>1</formula>
    </cfRule>
    <cfRule type="cellIs" dxfId="1573" priority="1400" operator="lessThan">
      <formula>0.8</formula>
    </cfRule>
  </conditionalFormatting>
  <conditionalFormatting sqref="Q19:Q25">
    <cfRule type="cellIs" dxfId="1572" priority="1398" operator="lessThan">
      <formula>0</formula>
    </cfRule>
  </conditionalFormatting>
  <conditionalFormatting sqref="R19:R25">
    <cfRule type="cellIs" dxfId="1571" priority="1396" operator="lessThan">
      <formula>0.8</formula>
    </cfRule>
    <cfRule type="cellIs" dxfId="1570" priority="1397" operator="greaterThan">
      <formula>1</formula>
    </cfRule>
  </conditionalFormatting>
  <conditionalFormatting sqref="R19:R25">
    <cfRule type="cellIs" dxfId="1569" priority="1394" operator="greaterThan">
      <formula>1</formula>
    </cfRule>
    <cfRule type="cellIs" dxfId="1568" priority="1395" operator="lessThan">
      <formula>0.8</formula>
    </cfRule>
  </conditionalFormatting>
  <conditionalFormatting sqref="Q19:Q25">
    <cfRule type="cellIs" dxfId="1567" priority="1393" operator="lessThan">
      <formula>0</formula>
    </cfRule>
  </conditionalFormatting>
  <conditionalFormatting sqref="R19:R25">
    <cfRule type="cellIs" dxfId="1566" priority="1391" operator="lessThan">
      <formula>0.8</formula>
    </cfRule>
    <cfRule type="cellIs" dxfId="1565" priority="1392" operator="greaterThan">
      <formula>1</formula>
    </cfRule>
  </conditionalFormatting>
  <conditionalFormatting sqref="R19:R25">
    <cfRule type="cellIs" dxfId="1564" priority="1389" operator="greaterThan">
      <formula>1</formula>
    </cfRule>
    <cfRule type="cellIs" dxfId="1563" priority="1390" operator="lessThan">
      <formula>0.8</formula>
    </cfRule>
  </conditionalFormatting>
  <conditionalFormatting sqref="R19:R25">
    <cfRule type="cellIs" dxfId="1562" priority="1386" operator="lessThan">
      <formula>0.8</formula>
    </cfRule>
    <cfRule type="cellIs" dxfId="1561" priority="1387" operator="greaterThan">
      <formula>1</formula>
    </cfRule>
  </conditionalFormatting>
  <conditionalFormatting sqref="R19:R25">
    <cfRule type="cellIs" dxfId="1560" priority="1384" operator="greaterThan">
      <formula>1</formula>
    </cfRule>
    <cfRule type="cellIs" dxfId="1559" priority="1385" operator="lessThan">
      <formula>0.8</formula>
    </cfRule>
  </conditionalFormatting>
  <conditionalFormatting sqref="Q19:Q25">
    <cfRule type="cellIs" dxfId="1558" priority="1388" operator="lessThan">
      <formula>0</formula>
    </cfRule>
  </conditionalFormatting>
  <conditionalFormatting sqref="Q19:Q25">
    <cfRule type="cellIs" dxfId="1557" priority="1383" operator="lessThan">
      <formula>0</formula>
    </cfRule>
  </conditionalFormatting>
  <conditionalFormatting sqref="R19:R25">
    <cfRule type="cellIs" dxfId="1556" priority="1381" operator="lessThan">
      <formula>0.8</formula>
    </cfRule>
    <cfRule type="cellIs" dxfId="1555" priority="1382" operator="greaterThan">
      <formula>1</formula>
    </cfRule>
  </conditionalFormatting>
  <conditionalFormatting sqref="R19:R25">
    <cfRule type="cellIs" dxfId="1554" priority="1379" operator="greaterThan">
      <formula>1</formula>
    </cfRule>
    <cfRule type="cellIs" dxfId="1553" priority="1380" operator="lessThan">
      <formula>0.8</formula>
    </cfRule>
  </conditionalFormatting>
  <conditionalFormatting sqref="Q19:Q25">
    <cfRule type="cellIs" dxfId="1552" priority="1378" operator="lessThan">
      <formula>0</formula>
    </cfRule>
  </conditionalFormatting>
  <conditionalFormatting sqref="R19:R25">
    <cfRule type="cellIs" dxfId="1551" priority="1376" operator="lessThan">
      <formula>0.8</formula>
    </cfRule>
    <cfRule type="cellIs" dxfId="1550" priority="1377" operator="greaterThan">
      <formula>1</formula>
    </cfRule>
  </conditionalFormatting>
  <conditionalFormatting sqref="R19:R25">
    <cfRule type="cellIs" dxfId="1549" priority="1374" operator="greaterThan">
      <formula>1</formula>
    </cfRule>
    <cfRule type="cellIs" dxfId="1548" priority="1375" operator="lessThan">
      <formula>0.8</formula>
    </cfRule>
  </conditionalFormatting>
  <conditionalFormatting sqref="Q19:Q25">
    <cfRule type="cellIs" dxfId="1547" priority="1373" operator="lessThan">
      <formula>0</formula>
    </cfRule>
  </conditionalFormatting>
  <conditionalFormatting sqref="R19:R25">
    <cfRule type="cellIs" dxfId="1546" priority="1371" operator="lessThan">
      <formula>0.8</formula>
    </cfRule>
    <cfRule type="cellIs" dxfId="1545" priority="1372" operator="greaterThan">
      <formula>1</formula>
    </cfRule>
  </conditionalFormatting>
  <conditionalFormatting sqref="R19:R25">
    <cfRule type="cellIs" dxfId="1544" priority="1369" operator="greaterThan">
      <formula>1</formula>
    </cfRule>
    <cfRule type="cellIs" dxfId="1543" priority="1370" operator="lessThan">
      <formula>0.8</formula>
    </cfRule>
  </conditionalFormatting>
  <conditionalFormatting sqref="Q19:Q25">
    <cfRule type="cellIs" dxfId="1542" priority="1368" operator="lessThan">
      <formula>0</formula>
    </cfRule>
  </conditionalFormatting>
  <conditionalFormatting sqref="R19:R25">
    <cfRule type="cellIs" dxfId="1541" priority="1366" operator="lessThan">
      <formula>0.8</formula>
    </cfRule>
    <cfRule type="cellIs" dxfId="1540" priority="1367" operator="greaterThan">
      <formula>1</formula>
    </cfRule>
  </conditionalFormatting>
  <conditionalFormatting sqref="R19:R25">
    <cfRule type="cellIs" dxfId="1539" priority="1364" operator="greaterThan">
      <formula>1</formula>
    </cfRule>
    <cfRule type="cellIs" dxfId="1538" priority="1365" operator="lessThan">
      <formula>0.8</formula>
    </cfRule>
  </conditionalFormatting>
  <conditionalFormatting sqref="Q19:Q25">
    <cfRule type="cellIs" dxfId="1537" priority="1363" operator="lessThan">
      <formula>0</formula>
    </cfRule>
  </conditionalFormatting>
  <conditionalFormatting sqref="R19:R25">
    <cfRule type="cellIs" dxfId="1536" priority="1361" operator="lessThan">
      <formula>0.8</formula>
    </cfRule>
    <cfRule type="cellIs" dxfId="1535" priority="1362" operator="greaterThan">
      <formula>1</formula>
    </cfRule>
  </conditionalFormatting>
  <conditionalFormatting sqref="R19:R25">
    <cfRule type="cellIs" dxfId="1534" priority="1359" operator="greaterThan">
      <formula>1</formula>
    </cfRule>
    <cfRule type="cellIs" dxfId="1533" priority="1360" operator="lessThan">
      <formula>0.8</formula>
    </cfRule>
  </conditionalFormatting>
  <conditionalFormatting sqref="Q19:Q25">
    <cfRule type="cellIs" dxfId="1532" priority="1358" operator="lessThan">
      <formula>0</formula>
    </cfRule>
  </conditionalFormatting>
  <conditionalFormatting sqref="R19:R25">
    <cfRule type="cellIs" dxfId="1531" priority="1356" operator="lessThan">
      <formula>0.8</formula>
    </cfRule>
    <cfRule type="cellIs" dxfId="1530" priority="1357" operator="greaterThan">
      <formula>1</formula>
    </cfRule>
  </conditionalFormatting>
  <conditionalFormatting sqref="R19:R25">
    <cfRule type="cellIs" dxfId="1529" priority="1354" operator="greaterThan">
      <formula>1</formula>
    </cfRule>
    <cfRule type="cellIs" dxfId="1528" priority="1355" operator="lessThan">
      <formula>0.8</formula>
    </cfRule>
  </conditionalFormatting>
  <conditionalFormatting sqref="Q19:Q25">
    <cfRule type="cellIs" dxfId="1527" priority="1353" operator="lessThan">
      <formula>0</formula>
    </cfRule>
  </conditionalFormatting>
  <conditionalFormatting sqref="R19:R25">
    <cfRule type="cellIs" dxfId="1526" priority="1351" operator="lessThan">
      <formula>0.8</formula>
    </cfRule>
    <cfRule type="cellIs" dxfId="1525" priority="1352" operator="greaterThan">
      <formula>1</formula>
    </cfRule>
  </conditionalFormatting>
  <conditionalFormatting sqref="R19:R25">
    <cfRule type="cellIs" dxfId="1524" priority="1349" operator="greaterThan">
      <formula>1</formula>
    </cfRule>
    <cfRule type="cellIs" dxfId="1523" priority="1350" operator="lessThan">
      <formula>0.8</formula>
    </cfRule>
  </conditionalFormatting>
  <conditionalFormatting sqref="Q19:Q25">
    <cfRule type="cellIs" dxfId="1522" priority="1348" operator="lessThan">
      <formula>0</formula>
    </cfRule>
  </conditionalFormatting>
  <conditionalFormatting sqref="R19:R25">
    <cfRule type="cellIs" dxfId="1521" priority="1346" operator="lessThan">
      <formula>0.8</formula>
    </cfRule>
    <cfRule type="cellIs" dxfId="1520" priority="1347" operator="greaterThan">
      <formula>1</formula>
    </cfRule>
  </conditionalFormatting>
  <conditionalFormatting sqref="R19:R25">
    <cfRule type="cellIs" dxfId="1519" priority="1344" operator="greaterThan">
      <formula>1</formula>
    </cfRule>
    <cfRule type="cellIs" dxfId="1518" priority="1345" operator="lessThan">
      <formula>0.8</formula>
    </cfRule>
  </conditionalFormatting>
  <conditionalFormatting sqref="Q19:Q25">
    <cfRule type="cellIs" dxfId="1517" priority="1343" operator="lessThan">
      <formula>0</formula>
    </cfRule>
  </conditionalFormatting>
  <conditionalFormatting sqref="R19:R25">
    <cfRule type="cellIs" dxfId="1516" priority="1341" operator="lessThan">
      <formula>0.8</formula>
    </cfRule>
    <cfRule type="cellIs" dxfId="1515" priority="1342" operator="greaterThan">
      <formula>1</formula>
    </cfRule>
  </conditionalFormatting>
  <conditionalFormatting sqref="R19:R25">
    <cfRule type="cellIs" dxfId="1514" priority="1339" operator="greaterThan">
      <formula>1</formula>
    </cfRule>
    <cfRule type="cellIs" dxfId="1513" priority="1340" operator="lessThan">
      <formula>0.8</formula>
    </cfRule>
  </conditionalFormatting>
  <conditionalFormatting sqref="R19:R25">
    <cfRule type="cellIs" dxfId="1512" priority="1336" operator="lessThan">
      <formula>0.8</formula>
    </cfRule>
    <cfRule type="cellIs" dxfId="1511" priority="1337" operator="greaterThan">
      <formula>1</formula>
    </cfRule>
  </conditionalFormatting>
  <conditionalFormatting sqref="R19:R25">
    <cfRule type="cellIs" dxfId="1510" priority="1334" operator="greaterThan">
      <formula>1</formula>
    </cfRule>
    <cfRule type="cellIs" dxfId="1509" priority="1335" operator="lessThan">
      <formula>0.8</formula>
    </cfRule>
  </conditionalFormatting>
  <conditionalFormatting sqref="Q19:Q25">
    <cfRule type="cellIs" dxfId="1508" priority="1338" operator="lessThan">
      <formula>0</formula>
    </cfRule>
  </conditionalFormatting>
  <conditionalFormatting sqref="Q32:Q40">
    <cfRule type="cellIs" dxfId="1507" priority="1333" operator="lessThan">
      <formula>0</formula>
    </cfRule>
  </conditionalFormatting>
  <conditionalFormatting sqref="R32:R40">
    <cfRule type="cellIs" dxfId="1506" priority="1331" operator="lessThan">
      <formula>0.8</formula>
    </cfRule>
    <cfRule type="cellIs" dxfId="1505" priority="1332" operator="greaterThan">
      <formula>1</formula>
    </cfRule>
  </conditionalFormatting>
  <conditionalFormatting sqref="R32:R40">
    <cfRule type="cellIs" dxfId="1504" priority="1329" operator="greaterThan">
      <formula>1</formula>
    </cfRule>
    <cfRule type="cellIs" dxfId="1503" priority="1330" operator="lessThan">
      <formula>0.8</formula>
    </cfRule>
  </conditionalFormatting>
  <conditionalFormatting sqref="Q32:Q40">
    <cfRule type="cellIs" dxfId="1502" priority="1328" operator="lessThan">
      <formula>0</formula>
    </cfRule>
  </conditionalFormatting>
  <conditionalFormatting sqref="R32:R40">
    <cfRule type="cellIs" dxfId="1501" priority="1326" operator="lessThan">
      <formula>0.8</formula>
    </cfRule>
    <cfRule type="cellIs" dxfId="1500" priority="1327" operator="greaterThan">
      <formula>1</formula>
    </cfRule>
  </conditionalFormatting>
  <conditionalFormatting sqref="R32:R40">
    <cfRule type="cellIs" dxfId="1499" priority="1324" operator="greaterThan">
      <formula>1</formula>
    </cfRule>
    <cfRule type="cellIs" dxfId="1498" priority="1325" operator="lessThan">
      <formula>0.8</formula>
    </cfRule>
  </conditionalFormatting>
  <conditionalFormatting sqref="Q32:Q40">
    <cfRule type="cellIs" dxfId="1497" priority="1323" operator="lessThan">
      <formula>0</formula>
    </cfRule>
  </conditionalFormatting>
  <conditionalFormatting sqref="R32:R40">
    <cfRule type="cellIs" dxfId="1496" priority="1321" operator="lessThan">
      <formula>0.8</formula>
    </cfRule>
    <cfRule type="cellIs" dxfId="1495" priority="1322" operator="greaterThan">
      <formula>1</formula>
    </cfRule>
  </conditionalFormatting>
  <conditionalFormatting sqref="R32:R40">
    <cfRule type="cellIs" dxfId="1494" priority="1319" operator="greaterThan">
      <formula>1</formula>
    </cfRule>
    <cfRule type="cellIs" dxfId="1493" priority="1320" operator="lessThan">
      <formula>0.8</formula>
    </cfRule>
  </conditionalFormatting>
  <conditionalFormatting sqref="Q32:Q40">
    <cfRule type="cellIs" dxfId="1492" priority="1318" operator="lessThan">
      <formula>0</formula>
    </cfRule>
  </conditionalFormatting>
  <conditionalFormatting sqref="R32:R40">
    <cfRule type="cellIs" dxfId="1491" priority="1316" operator="lessThan">
      <formula>0.8</formula>
    </cfRule>
    <cfRule type="cellIs" dxfId="1490" priority="1317" operator="greaterThan">
      <formula>1</formula>
    </cfRule>
  </conditionalFormatting>
  <conditionalFormatting sqref="R32:R40">
    <cfRule type="cellIs" dxfId="1489" priority="1314" operator="greaterThan">
      <formula>1</formula>
    </cfRule>
    <cfRule type="cellIs" dxfId="1488" priority="1315" operator="lessThan">
      <formula>0.8</formula>
    </cfRule>
  </conditionalFormatting>
  <conditionalFormatting sqref="Q32:Q40">
    <cfRule type="cellIs" dxfId="1487" priority="1313" operator="lessThan">
      <formula>0</formula>
    </cfRule>
  </conditionalFormatting>
  <conditionalFormatting sqref="R32:R40">
    <cfRule type="cellIs" dxfId="1486" priority="1311" operator="lessThan">
      <formula>0.8</formula>
    </cfRule>
    <cfRule type="cellIs" dxfId="1485" priority="1312" operator="greaterThan">
      <formula>1</formula>
    </cfRule>
  </conditionalFormatting>
  <conditionalFormatting sqref="R32:R40">
    <cfRule type="cellIs" dxfId="1484" priority="1309" operator="greaterThan">
      <formula>1</formula>
    </cfRule>
    <cfRule type="cellIs" dxfId="1483" priority="1310" operator="lessThan">
      <formula>0.8</formula>
    </cfRule>
  </conditionalFormatting>
  <conditionalFormatting sqref="Q32:Q40">
    <cfRule type="cellIs" dxfId="1482" priority="1308" operator="lessThan">
      <formula>0</formula>
    </cfRule>
  </conditionalFormatting>
  <conditionalFormatting sqref="R32:R40">
    <cfRule type="cellIs" dxfId="1481" priority="1306" operator="lessThan">
      <formula>0.8</formula>
    </cfRule>
    <cfRule type="cellIs" dxfId="1480" priority="1307" operator="greaterThan">
      <formula>1</formula>
    </cfRule>
  </conditionalFormatting>
  <conditionalFormatting sqref="R32:R40">
    <cfRule type="cellIs" dxfId="1479" priority="1304" operator="greaterThan">
      <formula>1</formula>
    </cfRule>
    <cfRule type="cellIs" dxfId="1478" priority="1305" operator="lessThan">
      <formula>0.8</formula>
    </cfRule>
  </conditionalFormatting>
  <conditionalFormatting sqref="R32:R40">
    <cfRule type="cellIs" dxfId="1477" priority="1301" operator="lessThan">
      <formula>0.8</formula>
    </cfRule>
    <cfRule type="cellIs" dxfId="1476" priority="1302" operator="greaterThan">
      <formula>1</formula>
    </cfRule>
  </conditionalFormatting>
  <conditionalFormatting sqref="R32:R40">
    <cfRule type="cellIs" dxfId="1475" priority="1299" operator="greaterThan">
      <formula>1</formula>
    </cfRule>
    <cfRule type="cellIs" dxfId="1474" priority="1300" operator="lessThan">
      <formula>0.8</formula>
    </cfRule>
  </conditionalFormatting>
  <conditionalFormatting sqref="Q32:Q40">
    <cfRule type="cellIs" dxfId="1473" priority="1303" operator="lessThan">
      <formula>0</formula>
    </cfRule>
  </conditionalFormatting>
  <conditionalFormatting sqref="Q32:Q40">
    <cfRule type="cellIs" dxfId="1472" priority="1298" operator="lessThan">
      <formula>0</formula>
    </cfRule>
  </conditionalFormatting>
  <conditionalFormatting sqref="R32:R40">
    <cfRule type="cellIs" dxfId="1471" priority="1296" operator="lessThan">
      <formula>0.8</formula>
    </cfRule>
    <cfRule type="cellIs" dxfId="1470" priority="1297" operator="greaterThan">
      <formula>1</formula>
    </cfRule>
  </conditionalFormatting>
  <conditionalFormatting sqref="R32:R40">
    <cfRule type="cellIs" dxfId="1469" priority="1294" operator="greaterThan">
      <formula>1</formula>
    </cfRule>
    <cfRule type="cellIs" dxfId="1468" priority="1295" operator="lessThan">
      <formula>0.8</formula>
    </cfRule>
  </conditionalFormatting>
  <conditionalFormatting sqref="Q32:Q40">
    <cfRule type="cellIs" dxfId="1467" priority="1293" operator="lessThan">
      <formula>0</formula>
    </cfRule>
  </conditionalFormatting>
  <conditionalFormatting sqref="R32:R40">
    <cfRule type="cellIs" dxfId="1466" priority="1291" operator="lessThan">
      <formula>0.8</formula>
    </cfRule>
    <cfRule type="cellIs" dxfId="1465" priority="1292" operator="greaterThan">
      <formula>1</formula>
    </cfRule>
  </conditionalFormatting>
  <conditionalFormatting sqref="R32:R40">
    <cfRule type="cellIs" dxfId="1464" priority="1289" operator="greaterThan">
      <formula>1</formula>
    </cfRule>
    <cfRule type="cellIs" dxfId="1463" priority="1290" operator="lessThan">
      <formula>0.8</formula>
    </cfRule>
  </conditionalFormatting>
  <conditionalFormatting sqref="Q32:Q40">
    <cfRule type="cellIs" dxfId="1462" priority="1288" operator="lessThan">
      <formula>0</formula>
    </cfRule>
  </conditionalFormatting>
  <conditionalFormatting sqref="R32:R40">
    <cfRule type="cellIs" dxfId="1461" priority="1286" operator="lessThan">
      <formula>0.8</formula>
    </cfRule>
    <cfRule type="cellIs" dxfId="1460" priority="1287" operator="greaterThan">
      <formula>1</formula>
    </cfRule>
  </conditionalFormatting>
  <conditionalFormatting sqref="R32:R40">
    <cfRule type="cellIs" dxfId="1459" priority="1284" operator="greaterThan">
      <formula>1</formula>
    </cfRule>
    <cfRule type="cellIs" dxfId="1458" priority="1285" operator="lessThan">
      <formula>0.8</formula>
    </cfRule>
  </conditionalFormatting>
  <conditionalFormatting sqref="R32:R40">
    <cfRule type="cellIs" dxfId="1457" priority="1281" operator="lessThan">
      <formula>0.8</formula>
    </cfRule>
    <cfRule type="cellIs" dxfId="1456" priority="1282" operator="greaterThan">
      <formula>1</formula>
    </cfRule>
  </conditionalFormatting>
  <conditionalFormatting sqref="R32:R40">
    <cfRule type="cellIs" dxfId="1455" priority="1279" operator="greaterThan">
      <formula>1</formula>
    </cfRule>
    <cfRule type="cellIs" dxfId="1454" priority="1280" operator="lessThan">
      <formula>0.8</formula>
    </cfRule>
  </conditionalFormatting>
  <conditionalFormatting sqref="Q32:Q40">
    <cfRule type="cellIs" dxfId="1453" priority="1283" operator="lessThan">
      <formula>0</formula>
    </cfRule>
  </conditionalFormatting>
  <conditionalFormatting sqref="Q32:Q40">
    <cfRule type="cellIs" dxfId="1452" priority="1278" operator="lessThan">
      <formula>0</formula>
    </cfRule>
  </conditionalFormatting>
  <conditionalFormatting sqref="R32:R40">
    <cfRule type="cellIs" dxfId="1451" priority="1276" operator="lessThan">
      <formula>0.8</formula>
    </cfRule>
    <cfRule type="cellIs" dxfId="1450" priority="1277" operator="greaterThan">
      <formula>1</formula>
    </cfRule>
  </conditionalFormatting>
  <conditionalFormatting sqref="R32:R40">
    <cfRule type="cellIs" dxfId="1449" priority="1274" operator="greaterThan">
      <formula>1</formula>
    </cfRule>
    <cfRule type="cellIs" dxfId="1448" priority="1275" operator="lessThan">
      <formula>0.8</formula>
    </cfRule>
  </conditionalFormatting>
  <conditionalFormatting sqref="R32:R40">
    <cfRule type="cellIs" dxfId="1447" priority="1271" operator="lessThan">
      <formula>0.8</formula>
    </cfRule>
    <cfRule type="cellIs" dxfId="1446" priority="1272" operator="greaterThan">
      <formula>1</formula>
    </cfRule>
  </conditionalFormatting>
  <conditionalFormatting sqref="R32:R40">
    <cfRule type="cellIs" dxfId="1445" priority="1269" operator="greaterThan">
      <formula>1</formula>
    </cfRule>
    <cfRule type="cellIs" dxfId="1444" priority="1270" operator="lessThan">
      <formula>0.8</formula>
    </cfRule>
  </conditionalFormatting>
  <conditionalFormatting sqref="Q32:Q40">
    <cfRule type="cellIs" dxfId="1443" priority="1273" operator="lessThan">
      <formula>0</formula>
    </cfRule>
  </conditionalFormatting>
  <conditionalFormatting sqref="R32:R40">
    <cfRule type="cellIs" dxfId="1442" priority="1266" operator="lessThan">
      <formula>0.8</formula>
    </cfRule>
    <cfRule type="cellIs" dxfId="1441" priority="1267" operator="greaterThan">
      <formula>1</formula>
    </cfRule>
  </conditionalFormatting>
  <conditionalFormatting sqref="R32:R40">
    <cfRule type="cellIs" dxfId="1440" priority="1264" operator="greaterThan">
      <formula>1</formula>
    </cfRule>
    <cfRule type="cellIs" dxfId="1439" priority="1265" operator="lessThan">
      <formula>0.8</formula>
    </cfRule>
  </conditionalFormatting>
  <conditionalFormatting sqref="Q32:Q40">
    <cfRule type="cellIs" dxfId="1438" priority="1268" operator="lessThan">
      <formula>0</formula>
    </cfRule>
  </conditionalFormatting>
  <conditionalFormatting sqref="Q32:Q40">
    <cfRule type="cellIs" dxfId="1437" priority="1263" operator="lessThan">
      <formula>0</formula>
    </cfRule>
  </conditionalFormatting>
  <conditionalFormatting sqref="R32:R40">
    <cfRule type="cellIs" dxfId="1436" priority="1261" operator="lessThan">
      <formula>0.8</formula>
    </cfRule>
    <cfRule type="cellIs" dxfId="1435" priority="1262" operator="greaterThan">
      <formula>1</formula>
    </cfRule>
  </conditionalFormatting>
  <conditionalFormatting sqref="R32:R40">
    <cfRule type="cellIs" dxfId="1434" priority="1259" operator="greaterThan">
      <formula>1</formula>
    </cfRule>
    <cfRule type="cellIs" dxfId="1433" priority="1260" operator="lessThan">
      <formula>0.8</formula>
    </cfRule>
  </conditionalFormatting>
  <conditionalFormatting sqref="Q32:Q40">
    <cfRule type="cellIs" dxfId="1432" priority="1254" operator="lessThan">
      <formula>0</formula>
    </cfRule>
  </conditionalFormatting>
  <conditionalFormatting sqref="R32:R40">
    <cfRule type="cellIs" dxfId="1431" priority="1257" operator="lessThan">
      <formula>0.8</formula>
    </cfRule>
    <cfRule type="cellIs" dxfId="1430" priority="1258" operator="greaterThan">
      <formula>1</formula>
    </cfRule>
  </conditionalFormatting>
  <conditionalFormatting sqref="R32:R40">
    <cfRule type="cellIs" dxfId="1429" priority="1255" operator="greaterThan">
      <formula>1</formula>
    </cfRule>
    <cfRule type="cellIs" dxfId="1428" priority="1256" operator="lessThan">
      <formula>0.8</formula>
    </cfRule>
  </conditionalFormatting>
  <conditionalFormatting sqref="Q32:Q40">
    <cfRule type="cellIs" dxfId="1427" priority="1253" operator="lessThan">
      <formula>0</formula>
    </cfRule>
  </conditionalFormatting>
  <conditionalFormatting sqref="R32:R40">
    <cfRule type="cellIs" dxfId="1426" priority="1251" operator="lessThan">
      <formula>0.8</formula>
    </cfRule>
    <cfRule type="cellIs" dxfId="1425" priority="1252" operator="greaterThan">
      <formula>1</formula>
    </cfRule>
  </conditionalFormatting>
  <conditionalFormatting sqref="R32:R40">
    <cfRule type="cellIs" dxfId="1424" priority="1249" operator="greaterThan">
      <formula>1</formula>
    </cfRule>
    <cfRule type="cellIs" dxfId="1423" priority="1250" operator="lessThan">
      <formula>0.8</formula>
    </cfRule>
  </conditionalFormatting>
  <conditionalFormatting sqref="Q32:Q40">
    <cfRule type="cellIs" dxfId="1422" priority="1248" operator="lessThan">
      <formula>0</formula>
    </cfRule>
  </conditionalFormatting>
  <conditionalFormatting sqref="R32:R40">
    <cfRule type="cellIs" dxfId="1421" priority="1246" operator="lessThan">
      <formula>0.8</formula>
    </cfRule>
    <cfRule type="cellIs" dxfId="1420" priority="1247" operator="greaterThan">
      <formula>1</formula>
    </cfRule>
  </conditionalFormatting>
  <conditionalFormatting sqref="R32:R40">
    <cfRule type="cellIs" dxfId="1419" priority="1244" operator="greaterThan">
      <formula>1</formula>
    </cfRule>
    <cfRule type="cellIs" dxfId="1418" priority="1245" operator="lessThan">
      <formula>0.8</formula>
    </cfRule>
  </conditionalFormatting>
  <conditionalFormatting sqref="Q32:Q40">
    <cfRule type="cellIs" dxfId="1417" priority="1243" operator="lessThan">
      <formula>0</formula>
    </cfRule>
  </conditionalFormatting>
  <conditionalFormatting sqref="R32:R40">
    <cfRule type="cellIs" dxfId="1416" priority="1241" operator="lessThan">
      <formula>0.8</formula>
    </cfRule>
    <cfRule type="cellIs" dxfId="1415" priority="1242" operator="greaterThan">
      <formula>1</formula>
    </cfRule>
  </conditionalFormatting>
  <conditionalFormatting sqref="R32:R40">
    <cfRule type="cellIs" dxfId="1414" priority="1239" operator="greaterThan">
      <formula>1</formula>
    </cfRule>
    <cfRule type="cellIs" dxfId="1413" priority="1240" operator="lessThan">
      <formula>0.8</formula>
    </cfRule>
  </conditionalFormatting>
  <conditionalFormatting sqref="Q32:Q40">
    <cfRule type="cellIs" dxfId="1412" priority="1238" operator="lessThan">
      <formula>0</formula>
    </cfRule>
  </conditionalFormatting>
  <conditionalFormatting sqref="R32:R40">
    <cfRule type="cellIs" dxfId="1411" priority="1236" operator="lessThan">
      <formula>0.8</formula>
    </cfRule>
    <cfRule type="cellIs" dxfId="1410" priority="1237" operator="greaterThan">
      <formula>1</formula>
    </cfRule>
  </conditionalFormatting>
  <conditionalFormatting sqref="R32:R40">
    <cfRule type="cellIs" dxfId="1409" priority="1234" operator="greaterThan">
      <formula>1</formula>
    </cfRule>
    <cfRule type="cellIs" dxfId="1408" priority="1235" operator="lessThan">
      <formula>0.8</formula>
    </cfRule>
  </conditionalFormatting>
  <conditionalFormatting sqref="Q32:Q40">
    <cfRule type="cellIs" dxfId="1407" priority="1233" operator="lessThan">
      <formula>0</formula>
    </cfRule>
  </conditionalFormatting>
  <conditionalFormatting sqref="R32:R40">
    <cfRule type="cellIs" dxfId="1406" priority="1231" operator="lessThan">
      <formula>0.8</formula>
    </cfRule>
    <cfRule type="cellIs" dxfId="1405" priority="1232" operator="greaterThan">
      <formula>1</formula>
    </cfRule>
  </conditionalFormatting>
  <conditionalFormatting sqref="R32:R40">
    <cfRule type="cellIs" dxfId="1404" priority="1229" operator="greaterThan">
      <formula>1</formula>
    </cfRule>
    <cfRule type="cellIs" dxfId="1403" priority="1230" operator="lessThan">
      <formula>0.8</formula>
    </cfRule>
  </conditionalFormatting>
  <conditionalFormatting sqref="Q32:Q40">
    <cfRule type="cellIs" dxfId="1402" priority="1228" operator="lessThan">
      <formula>0</formula>
    </cfRule>
  </conditionalFormatting>
  <conditionalFormatting sqref="R32:R40">
    <cfRule type="cellIs" dxfId="1401" priority="1226" operator="lessThan">
      <formula>0.8</formula>
    </cfRule>
    <cfRule type="cellIs" dxfId="1400" priority="1227" operator="greaterThan">
      <formula>1</formula>
    </cfRule>
  </conditionalFormatting>
  <conditionalFormatting sqref="R32:R40">
    <cfRule type="cellIs" dxfId="1399" priority="1224" operator="greaterThan">
      <formula>1</formula>
    </cfRule>
    <cfRule type="cellIs" dxfId="1398" priority="1225" operator="lessThan">
      <formula>0.8</formula>
    </cfRule>
  </conditionalFormatting>
  <conditionalFormatting sqref="Q32:Q40">
    <cfRule type="cellIs" dxfId="1397" priority="1223" operator="lessThan">
      <formula>0</formula>
    </cfRule>
  </conditionalFormatting>
  <conditionalFormatting sqref="R32:R40">
    <cfRule type="cellIs" dxfId="1396" priority="1221" operator="lessThan">
      <formula>0.8</formula>
    </cfRule>
    <cfRule type="cellIs" dxfId="1395" priority="1222" operator="greaterThan">
      <formula>1</formula>
    </cfRule>
  </conditionalFormatting>
  <conditionalFormatting sqref="R32:R40">
    <cfRule type="cellIs" dxfId="1394" priority="1219" operator="greaterThan">
      <formula>1</formula>
    </cfRule>
    <cfRule type="cellIs" dxfId="1393" priority="1220" operator="lessThan">
      <formula>0.8</formula>
    </cfRule>
  </conditionalFormatting>
  <conditionalFormatting sqref="R32:R40">
    <cfRule type="cellIs" dxfId="1392" priority="1216" operator="lessThan">
      <formula>0.8</formula>
    </cfRule>
    <cfRule type="cellIs" dxfId="1391" priority="1217" operator="greaterThan">
      <formula>1</formula>
    </cfRule>
  </conditionalFormatting>
  <conditionalFormatting sqref="R32:R40">
    <cfRule type="cellIs" dxfId="1390" priority="1214" operator="greaterThan">
      <formula>1</formula>
    </cfRule>
    <cfRule type="cellIs" dxfId="1389" priority="1215" operator="lessThan">
      <formula>0.8</formula>
    </cfRule>
  </conditionalFormatting>
  <conditionalFormatting sqref="Q32:Q40">
    <cfRule type="cellIs" dxfId="1388" priority="1218" operator="lessThan">
      <formula>0</formula>
    </cfRule>
  </conditionalFormatting>
  <conditionalFormatting sqref="Q32:Q40">
    <cfRule type="cellIs" dxfId="1387" priority="1209" operator="lessThan">
      <formula>0</formula>
    </cfRule>
  </conditionalFormatting>
  <conditionalFormatting sqref="R32:R40">
    <cfRule type="cellIs" dxfId="1386" priority="1212" operator="lessThan">
      <formula>0.8</formula>
    </cfRule>
    <cfRule type="cellIs" dxfId="1385" priority="1213" operator="greaterThan">
      <formula>1</formula>
    </cfRule>
  </conditionalFormatting>
  <conditionalFormatting sqref="R32:R40">
    <cfRule type="cellIs" dxfId="1384" priority="1210" operator="greaterThan">
      <formula>1</formula>
    </cfRule>
    <cfRule type="cellIs" dxfId="1383" priority="1211" operator="lessThan">
      <formula>0.8</formula>
    </cfRule>
  </conditionalFormatting>
  <conditionalFormatting sqref="Q32:Q40">
    <cfRule type="cellIs" dxfId="1382" priority="1204" operator="lessThan">
      <formula>0</formula>
    </cfRule>
  </conditionalFormatting>
  <conditionalFormatting sqref="R32:R40">
    <cfRule type="cellIs" dxfId="1381" priority="1207" operator="lessThan">
      <formula>0.8</formula>
    </cfRule>
    <cfRule type="cellIs" dxfId="1380" priority="1208" operator="greaterThan">
      <formula>1</formula>
    </cfRule>
  </conditionalFormatting>
  <conditionalFormatting sqref="R32:R40">
    <cfRule type="cellIs" dxfId="1379" priority="1205" operator="greaterThan">
      <formula>1</formula>
    </cfRule>
    <cfRule type="cellIs" dxfId="1378" priority="1206" operator="lessThan">
      <formula>0.8</formula>
    </cfRule>
  </conditionalFormatting>
  <conditionalFormatting sqref="Q32:Q40">
    <cfRule type="cellIs" dxfId="1377" priority="1203" operator="lessThan">
      <formula>0</formula>
    </cfRule>
  </conditionalFormatting>
  <conditionalFormatting sqref="R32:R40">
    <cfRule type="cellIs" dxfId="1376" priority="1201" operator="lessThan">
      <formula>0.8</formula>
    </cfRule>
    <cfRule type="cellIs" dxfId="1375" priority="1202" operator="greaterThan">
      <formula>1</formula>
    </cfRule>
  </conditionalFormatting>
  <conditionalFormatting sqref="R32:R40">
    <cfRule type="cellIs" dxfId="1374" priority="1199" operator="greaterThan">
      <formula>1</formula>
    </cfRule>
    <cfRule type="cellIs" dxfId="1373" priority="1200" operator="lessThan">
      <formula>0.8</formula>
    </cfRule>
  </conditionalFormatting>
  <conditionalFormatting sqref="Q32:Q40">
    <cfRule type="cellIs" dxfId="1372" priority="1198" operator="lessThan">
      <formula>0</formula>
    </cfRule>
  </conditionalFormatting>
  <conditionalFormatting sqref="R32:R40">
    <cfRule type="cellIs" dxfId="1371" priority="1196" operator="lessThan">
      <formula>0.8</formula>
    </cfRule>
    <cfRule type="cellIs" dxfId="1370" priority="1197" operator="greaterThan">
      <formula>1</formula>
    </cfRule>
  </conditionalFormatting>
  <conditionalFormatting sqref="R32:R40">
    <cfRule type="cellIs" dxfId="1369" priority="1194" operator="greaterThan">
      <formula>1</formula>
    </cfRule>
    <cfRule type="cellIs" dxfId="1368" priority="1195" operator="lessThan">
      <formula>0.8</formula>
    </cfRule>
  </conditionalFormatting>
  <conditionalFormatting sqref="Q32:Q40">
    <cfRule type="cellIs" dxfId="1367" priority="1193" operator="lessThan">
      <formula>0</formula>
    </cfRule>
  </conditionalFormatting>
  <conditionalFormatting sqref="R32:R40">
    <cfRule type="cellIs" dxfId="1366" priority="1191" operator="lessThan">
      <formula>0.8</formula>
    </cfRule>
    <cfRule type="cellIs" dxfId="1365" priority="1192" operator="greaterThan">
      <formula>1</formula>
    </cfRule>
  </conditionalFormatting>
  <conditionalFormatting sqref="R32:R40">
    <cfRule type="cellIs" dxfId="1364" priority="1189" operator="greaterThan">
      <formula>1</formula>
    </cfRule>
    <cfRule type="cellIs" dxfId="1363" priority="1190" operator="lessThan">
      <formula>0.8</formula>
    </cfRule>
  </conditionalFormatting>
  <conditionalFormatting sqref="Q32:Q40">
    <cfRule type="cellIs" dxfId="1362" priority="1188" operator="lessThan">
      <formula>0</formula>
    </cfRule>
  </conditionalFormatting>
  <conditionalFormatting sqref="R32:R40">
    <cfRule type="cellIs" dxfId="1361" priority="1186" operator="lessThan">
      <formula>0.8</formula>
    </cfRule>
    <cfRule type="cellIs" dxfId="1360" priority="1187" operator="greaterThan">
      <formula>1</formula>
    </cfRule>
  </conditionalFormatting>
  <conditionalFormatting sqref="R32:R40">
    <cfRule type="cellIs" dxfId="1359" priority="1184" operator="greaterThan">
      <formula>1</formula>
    </cfRule>
    <cfRule type="cellIs" dxfId="1358" priority="1185" operator="lessThan">
      <formula>0.8</formula>
    </cfRule>
  </conditionalFormatting>
  <conditionalFormatting sqref="Q96:Q106">
    <cfRule type="cellIs" dxfId="1357" priority="1178" operator="lessThan">
      <formula>0</formula>
    </cfRule>
  </conditionalFormatting>
  <conditionalFormatting sqref="P96:P106">
    <cfRule type="cellIs" dxfId="1356" priority="1179" operator="greaterThan">
      <formula>0</formula>
    </cfRule>
  </conditionalFormatting>
  <conditionalFormatting sqref="R96:R106">
    <cfRule type="cellIs" dxfId="1355" priority="1182" operator="lessThan">
      <formula>0.8</formula>
    </cfRule>
    <cfRule type="cellIs" dxfId="1354" priority="1183" operator="greaterThan">
      <formula>1</formula>
    </cfRule>
  </conditionalFormatting>
  <conditionalFormatting sqref="R96:R106">
    <cfRule type="cellIs" dxfId="1353" priority="1180" operator="greaterThan">
      <formula>1</formula>
    </cfRule>
    <cfRule type="cellIs" dxfId="1352" priority="1181" operator="lessThan">
      <formula>0.8</formula>
    </cfRule>
  </conditionalFormatting>
  <conditionalFormatting sqref="Q96:Q106">
    <cfRule type="cellIs" dxfId="1351" priority="1172" operator="lessThan">
      <formula>0</formula>
    </cfRule>
  </conditionalFormatting>
  <conditionalFormatting sqref="R96:R106">
    <cfRule type="cellIs" dxfId="1350" priority="1176" operator="lessThan">
      <formula>0.8</formula>
    </cfRule>
    <cfRule type="cellIs" dxfId="1349" priority="1177" operator="greaterThan">
      <formula>1</formula>
    </cfRule>
  </conditionalFormatting>
  <conditionalFormatting sqref="R96:R106">
    <cfRule type="cellIs" dxfId="1348" priority="1174" operator="greaterThan">
      <formula>1</formula>
    </cfRule>
    <cfRule type="cellIs" dxfId="1347" priority="1175" operator="lessThan">
      <formula>0.8</formula>
    </cfRule>
  </conditionalFormatting>
  <conditionalFormatting sqref="P96:P106">
    <cfRule type="cellIs" dxfId="1346" priority="1173" operator="greaterThan">
      <formula>0</formula>
    </cfRule>
  </conditionalFormatting>
  <conditionalFormatting sqref="Q96:Q106">
    <cfRule type="cellIs" dxfId="1345" priority="1171" operator="lessThan">
      <formula>0</formula>
    </cfRule>
  </conditionalFormatting>
  <conditionalFormatting sqref="R96:R106">
    <cfRule type="cellIs" dxfId="1344" priority="1169" operator="lessThan">
      <formula>0.8</formula>
    </cfRule>
    <cfRule type="cellIs" dxfId="1343" priority="1170" operator="greaterThan">
      <formula>1</formula>
    </cfRule>
  </conditionalFormatting>
  <conditionalFormatting sqref="R96:R106">
    <cfRule type="cellIs" dxfId="1342" priority="1167" operator="greaterThan">
      <formula>1</formula>
    </cfRule>
    <cfRule type="cellIs" dxfId="1341" priority="1168" operator="lessThan">
      <formula>0.8</formula>
    </cfRule>
  </conditionalFormatting>
  <conditionalFormatting sqref="P96:P106">
    <cfRule type="cellIs" dxfId="1340" priority="1166" operator="greaterThan">
      <formula>0</formula>
    </cfRule>
  </conditionalFormatting>
  <conditionalFormatting sqref="Q96:Q106">
    <cfRule type="cellIs" dxfId="1339" priority="1165" operator="lessThan">
      <formula>0</formula>
    </cfRule>
  </conditionalFormatting>
  <conditionalFormatting sqref="R96:R106">
    <cfRule type="cellIs" dxfId="1338" priority="1163" operator="lessThan">
      <formula>0.8</formula>
    </cfRule>
    <cfRule type="cellIs" dxfId="1337" priority="1164" operator="greaterThan">
      <formula>1</formula>
    </cfRule>
  </conditionalFormatting>
  <conditionalFormatting sqref="R96:R106">
    <cfRule type="cellIs" dxfId="1336" priority="1161" operator="greaterThan">
      <formula>1</formula>
    </cfRule>
    <cfRule type="cellIs" dxfId="1335" priority="1162" operator="lessThan">
      <formula>0.8</formula>
    </cfRule>
  </conditionalFormatting>
  <conditionalFormatting sqref="P96:P106">
    <cfRule type="cellIs" dxfId="1334" priority="1160" operator="greaterThan">
      <formula>0</formula>
    </cfRule>
  </conditionalFormatting>
  <conditionalFormatting sqref="Q96:Q106">
    <cfRule type="cellIs" dxfId="1333" priority="1154" operator="lessThan">
      <formula>0</formula>
    </cfRule>
  </conditionalFormatting>
  <conditionalFormatting sqref="R96:R106">
    <cfRule type="cellIs" dxfId="1332" priority="1158" operator="lessThan">
      <formula>0.8</formula>
    </cfRule>
    <cfRule type="cellIs" dxfId="1331" priority="1159" operator="greaterThan">
      <formula>1</formula>
    </cfRule>
  </conditionalFormatting>
  <conditionalFormatting sqref="R96:R106">
    <cfRule type="cellIs" dxfId="1330" priority="1156" operator="greaterThan">
      <formula>1</formula>
    </cfRule>
    <cfRule type="cellIs" dxfId="1329" priority="1157" operator="lessThan">
      <formula>0.8</formula>
    </cfRule>
  </conditionalFormatting>
  <conditionalFormatting sqref="P96:P106">
    <cfRule type="cellIs" dxfId="1328" priority="1155" operator="greaterThan">
      <formula>0</formula>
    </cfRule>
  </conditionalFormatting>
  <conditionalFormatting sqref="Q96:Q106">
    <cfRule type="cellIs" dxfId="1327" priority="1153" operator="lessThan">
      <formula>0</formula>
    </cfRule>
  </conditionalFormatting>
  <conditionalFormatting sqref="R96:R106">
    <cfRule type="cellIs" dxfId="1326" priority="1151" operator="lessThan">
      <formula>0.8</formula>
    </cfRule>
    <cfRule type="cellIs" dxfId="1325" priority="1152" operator="greaterThan">
      <formula>1</formula>
    </cfRule>
  </conditionalFormatting>
  <conditionalFormatting sqref="R96:R106">
    <cfRule type="cellIs" dxfId="1324" priority="1149" operator="greaterThan">
      <formula>1</formula>
    </cfRule>
    <cfRule type="cellIs" dxfId="1323" priority="1150" operator="lessThan">
      <formula>0.8</formula>
    </cfRule>
  </conditionalFormatting>
  <conditionalFormatting sqref="P96:P106">
    <cfRule type="cellIs" dxfId="1322" priority="1148" operator="greaterThan">
      <formula>0</formula>
    </cfRule>
  </conditionalFormatting>
  <conditionalFormatting sqref="Q96:Q106">
    <cfRule type="cellIs" dxfId="1321" priority="1147" operator="lessThan">
      <formula>0</formula>
    </cfRule>
  </conditionalFormatting>
  <conditionalFormatting sqref="R96:R106">
    <cfRule type="cellIs" dxfId="1320" priority="1145" operator="lessThan">
      <formula>0.8</formula>
    </cfRule>
    <cfRule type="cellIs" dxfId="1319" priority="1146" operator="greaterThan">
      <formula>1</formula>
    </cfRule>
  </conditionalFormatting>
  <conditionalFormatting sqref="R96:R106">
    <cfRule type="cellIs" dxfId="1318" priority="1143" operator="greaterThan">
      <formula>1</formula>
    </cfRule>
    <cfRule type="cellIs" dxfId="1317" priority="1144" operator="lessThan">
      <formula>0.8</formula>
    </cfRule>
  </conditionalFormatting>
  <conditionalFormatting sqref="P96:P106">
    <cfRule type="cellIs" dxfId="1316" priority="1142" operator="greaterThan">
      <formula>0</formula>
    </cfRule>
  </conditionalFormatting>
  <conditionalFormatting sqref="Q96:Q106">
    <cfRule type="cellIs" dxfId="1315" priority="1141" operator="lessThan">
      <formula>0</formula>
    </cfRule>
  </conditionalFormatting>
  <conditionalFormatting sqref="R96:R106">
    <cfRule type="cellIs" dxfId="1314" priority="1139" operator="lessThan">
      <formula>0.8</formula>
    </cfRule>
    <cfRule type="cellIs" dxfId="1313" priority="1140" operator="greaterThan">
      <formula>1</formula>
    </cfRule>
  </conditionalFormatting>
  <conditionalFormatting sqref="R96:R106">
    <cfRule type="cellIs" dxfId="1312" priority="1137" operator="greaterThan">
      <formula>1</formula>
    </cfRule>
    <cfRule type="cellIs" dxfId="1311" priority="1138" operator="lessThan">
      <formula>0.8</formula>
    </cfRule>
  </conditionalFormatting>
  <conditionalFormatting sqref="P96:P106">
    <cfRule type="cellIs" dxfId="1310" priority="1136" operator="greaterThan">
      <formula>0</formula>
    </cfRule>
  </conditionalFormatting>
  <conditionalFormatting sqref="Q96:Q106">
    <cfRule type="cellIs" dxfId="1309" priority="1135" operator="lessThan">
      <formula>0</formula>
    </cfRule>
  </conditionalFormatting>
  <conditionalFormatting sqref="R96:R106">
    <cfRule type="cellIs" dxfId="1308" priority="1133" operator="lessThan">
      <formula>0.8</formula>
    </cfRule>
    <cfRule type="cellIs" dxfId="1307" priority="1134" operator="greaterThan">
      <formula>1</formula>
    </cfRule>
  </conditionalFormatting>
  <conditionalFormatting sqref="R96:R106">
    <cfRule type="cellIs" dxfId="1306" priority="1131" operator="greaterThan">
      <formula>1</formula>
    </cfRule>
    <cfRule type="cellIs" dxfId="1305" priority="1132" operator="lessThan">
      <formula>0.8</formula>
    </cfRule>
  </conditionalFormatting>
  <conditionalFormatting sqref="P96:P106">
    <cfRule type="cellIs" dxfId="1304" priority="1130" operator="greaterThan">
      <formula>0</formula>
    </cfRule>
  </conditionalFormatting>
  <conditionalFormatting sqref="Q96:Q106">
    <cfRule type="cellIs" dxfId="1303" priority="1129" operator="lessThan">
      <formula>0</formula>
    </cfRule>
  </conditionalFormatting>
  <conditionalFormatting sqref="R96:R106">
    <cfRule type="cellIs" dxfId="1302" priority="1127" operator="lessThan">
      <formula>0.8</formula>
    </cfRule>
    <cfRule type="cellIs" dxfId="1301" priority="1128" operator="greaterThan">
      <formula>1</formula>
    </cfRule>
  </conditionalFormatting>
  <conditionalFormatting sqref="R96:R106">
    <cfRule type="cellIs" dxfId="1300" priority="1125" operator="greaterThan">
      <formula>1</formula>
    </cfRule>
    <cfRule type="cellIs" dxfId="1299" priority="1126" operator="lessThan">
      <formula>0.8</formula>
    </cfRule>
  </conditionalFormatting>
  <conditionalFormatting sqref="P96:P106">
    <cfRule type="cellIs" dxfId="1298" priority="1124" operator="greaterThan">
      <formula>0</formula>
    </cfRule>
  </conditionalFormatting>
  <conditionalFormatting sqref="P96:P106">
    <cfRule type="cellIs" dxfId="1297" priority="1118" operator="greaterThan">
      <formula>0</formula>
    </cfRule>
  </conditionalFormatting>
  <conditionalFormatting sqref="Q96:Q106">
    <cfRule type="cellIs" dxfId="1296" priority="1123" operator="lessThan">
      <formula>0</formula>
    </cfRule>
  </conditionalFormatting>
  <conditionalFormatting sqref="R96:R106">
    <cfRule type="cellIs" dxfId="1295" priority="1121" operator="lessThan">
      <formula>0.8</formula>
    </cfRule>
    <cfRule type="cellIs" dxfId="1294" priority="1122" operator="greaterThan">
      <formula>1</formula>
    </cfRule>
  </conditionalFormatting>
  <conditionalFormatting sqref="R96:R106">
    <cfRule type="cellIs" dxfId="1293" priority="1119" operator="greaterThan">
      <formula>1</formula>
    </cfRule>
    <cfRule type="cellIs" dxfId="1292" priority="1120" operator="lessThan">
      <formula>0.8</formula>
    </cfRule>
  </conditionalFormatting>
  <conditionalFormatting sqref="P96:P106">
    <cfRule type="cellIs" dxfId="1291" priority="1112" operator="greaterThan">
      <formula>0</formula>
    </cfRule>
  </conditionalFormatting>
  <conditionalFormatting sqref="Q96:Q106">
    <cfRule type="cellIs" dxfId="1290" priority="1117" operator="lessThan">
      <formula>0</formula>
    </cfRule>
  </conditionalFormatting>
  <conditionalFormatting sqref="R96:R106">
    <cfRule type="cellIs" dxfId="1289" priority="1115" operator="lessThan">
      <formula>0.8</formula>
    </cfRule>
    <cfRule type="cellIs" dxfId="1288" priority="1116" operator="greaterThan">
      <formula>1</formula>
    </cfRule>
  </conditionalFormatting>
  <conditionalFormatting sqref="R96:R106">
    <cfRule type="cellIs" dxfId="1287" priority="1113" operator="greaterThan">
      <formula>1</formula>
    </cfRule>
    <cfRule type="cellIs" dxfId="1286" priority="1114" operator="lessThan">
      <formula>0.8</formula>
    </cfRule>
  </conditionalFormatting>
  <conditionalFormatting sqref="R96:R106">
    <cfRule type="cellIs" dxfId="1285" priority="1109" operator="lessThan">
      <formula>0.8</formula>
    </cfRule>
    <cfRule type="cellIs" dxfId="1284" priority="1110" operator="greaterThan">
      <formula>1</formula>
    </cfRule>
  </conditionalFormatting>
  <conditionalFormatting sqref="R96:R106">
    <cfRule type="cellIs" dxfId="1283" priority="1107" operator="greaterThan">
      <formula>1</formula>
    </cfRule>
    <cfRule type="cellIs" dxfId="1282" priority="1108" operator="lessThan">
      <formula>0.8</formula>
    </cfRule>
  </conditionalFormatting>
  <conditionalFormatting sqref="P96:P106">
    <cfRule type="cellIs" dxfId="1281" priority="1106" operator="greaterThan">
      <formula>0</formula>
    </cfRule>
  </conditionalFormatting>
  <conditionalFormatting sqref="Q96:Q106">
    <cfRule type="cellIs" dxfId="1280" priority="1111" operator="lessThan">
      <formula>0</formula>
    </cfRule>
  </conditionalFormatting>
  <conditionalFormatting sqref="Q96:Q106">
    <cfRule type="cellIs" dxfId="1279" priority="1100" operator="lessThan">
      <formula>0</formula>
    </cfRule>
  </conditionalFormatting>
  <conditionalFormatting sqref="P96:P106">
    <cfRule type="cellIs" dxfId="1278" priority="1101" operator="greaterThan">
      <formula>0</formula>
    </cfRule>
  </conditionalFormatting>
  <conditionalFormatting sqref="R96:R106">
    <cfRule type="cellIs" dxfId="1277" priority="1104" operator="lessThan">
      <formula>0.8</formula>
    </cfRule>
    <cfRule type="cellIs" dxfId="1276" priority="1105" operator="greaterThan">
      <formula>1</formula>
    </cfRule>
  </conditionalFormatting>
  <conditionalFormatting sqref="R96:R106">
    <cfRule type="cellIs" dxfId="1275" priority="1102" operator="greaterThan">
      <formula>1</formula>
    </cfRule>
    <cfRule type="cellIs" dxfId="1274" priority="1103" operator="lessThan">
      <formula>0.8</formula>
    </cfRule>
  </conditionalFormatting>
  <conditionalFormatting sqref="Q96:Q106">
    <cfRule type="cellIs" dxfId="1273" priority="1094" operator="lessThan">
      <formula>0</formula>
    </cfRule>
  </conditionalFormatting>
  <conditionalFormatting sqref="R96:R106">
    <cfRule type="cellIs" dxfId="1272" priority="1098" operator="lessThan">
      <formula>0.8</formula>
    </cfRule>
    <cfRule type="cellIs" dxfId="1271" priority="1099" operator="greaterThan">
      <formula>1</formula>
    </cfRule>
  </conditionalFormatting>
  <conditionalFormatting sqref="R96:R106">
    <cfRule type="cellIs" dxfId="1270" priority="1096" operator="greaterThan">
      <formula>1</formula>
    </cfRule>
    <cfRule type="cellIs" dxfId="1269" priority="1097" operator="lessThan">
      <formula>0.8</formula>
    </cfRule>
  </conditionalFormatting>
  <conditionalFormatting sqref="P96:P106">
    <cfRule type="cellIs" dxfId="1268" priority="1095" operator="greaterThan">
      <formula>0</formula>
    </cfRule>
  </conditionalFormatting>
  <conditionalFormatting sqref="Q96:Q106">
    <cfRule type="cellIs" dxfId="1267" priority="1093" operator="lessThan">
      <formula>0</formula>
    </cfRule>
  </conditionalFormatting>
  <conditionalFormatting sqref="R96:R106">
    <cfRule type="cellIs" dxfId="1266" priority="1091" operator="lessThan">
      <formula>0.8</formula>
    </cfRule>
    <cfRule type="cellIs" dxfId="1265" priority="1092" operator="greaterThan">
      <formula>1</formula>
    </cfRule>
  </conditionalFormatting>
  <conditionalFormatting sqref="R96:R106">
    <cfRule type="cellIs" dxfId="1264" priority="1089" operator="greaterThan">
      <formula>1</formula>
    </cfRule>
    <cfRule type="cellIs" dxfId="1263" priority="1090" operator="lessThan">
      <formula>0.8</formula>
    </cfRule>
  </conditionalFormatting>
  <conditionalFormatting sqref="P96:P106">
    <cfRule type="cellIs" dxfId="1262" priority="1088" operator="greaterThan">
      <formula>0</formula>
    </cfRule>
  </conditionalFormatting>
  <conditionalFormatting sqref="Q96:Q106">
    <cfRule type="cellIs" dxfId="1261" priority="1087" operator="lessThan">
      <formula>0</formula>
    </cfRule>
  </conditionalFormatting>
  <conditionalFormatting sqref="R96:R106">
    <cfRule type="cellIs" dxfId="1260" priority="1085" operator="lessThan">
      <formula>0.8</formula>
    </cfRule>
    <cfRule type="cellIs" dxfId="1259" priority="1086" operator="greaterThan">
      <formula>1</formula>
    </cfRule>
  </conditionalFormatting>
  <conditionalFormatting sqref="R96:R106">
    <cfRule type="cellIs" dxfId="1258" priority="1083" operator="greaterThan">
      <formula>1</formula>
    </cfRule>
    <cfRule type="cellIs" dxfId="1257" priority="1084" operator="lessThan">
      <formula>0.8</formula>
    </cfRule>
  </conditionalFormatting>
  <conditionalFormatting sqref="P96:P106">
    <cfRule type="cellIs" dxfId="1256" priority="1082" operator="greaterThan">
      <formula>0</formula>
    </cfRule>
  </conditionalFormatting>
  <conditionalFormatting sqref="Q96:Q106">
    <cfRule type="cellIs" dxfId="1255" priority="1076" operator="lessThan">
      <formula>0</formula>
    </cfRule>
  </conditionalFormatting>
  <conditionalFormatting sqref="P96:P106">
    <cfRule type="cellIs" dxfId="1254" priority="1077" operator="greaterThan">
      <formula>0</formula>
    </cfRule>
  </conditionalFormatting>
  <conditionalFormatting sqref="R96:R106">
    <cfRule type="cellIs" dxfId="1253" priority="1080" operator="lessThan">
      <formula>0.8</formula>
    </cfRule>
    <cfRule type="cellIs" dxfId="1252" priority="1081" operator="greaterThan">
      <formula>1</formula>
    </cfRule>
  </conditionalFormatting>
  <conditionalFormatting sqref="R96:R106">
    <cfRule type="cellIs" dxfId="1251" priority="1078" operator="greaterThan">
      <formula>1</formula>
    </cfRule>
    <cfRule type="cellIs" dxfId="1250" priority="1079" operator="lessThan">
      <formula>0.8</formula>
    </cfRule>
  </conditionalFormatting>
  <conditionalFormatting sqref="Q96:Q106">
    <cfRule type="cellIs" dxfId="1249" priority="1070" operator="lessThan">
      <formula>0</formula>
    </cfRule>
  </conditionalFormatting>
  <conditionalFormatting sqref="R96:R106">
    <cfRule type="cellIs" dxfId="1248" priority="1074" operator="lessThan">
      <formula>0.8</formula>
    </cfRule>
    <cfRule type="cellIs" dxfId="1247" priority="1075" operator="greaterThan">
      <formula>1</formula>
    </cfRule>
  </conditionalFormatting>
  <conditionalFormatting sqref="R96:R106">
    <cfRule type="cellIs" dxfId="1246" priority="1072" operator="greaterThan">
      <formula>1</formula>
    </cfRule>
    <cfRule type="cellIs" dxfId="1245" priority="1073" operator="lessThan">
      <formula>0.8</formula>
    </cfRule>
  </conditionalFormatting>
  <conditionalFormatting sqref="P96:P106">
    <cfRule type="cellIs" dxfId="1244" priority="1071" operator="greaterThan">
      <formula>0</formula>
    </cfRule>
  </conditionalFormatting>
  <conditionalFormatting sqref="Q96:Q106">
    <cfRule type="cellIs" dxfId="1243" priority="1069" operator="lessThan">
      <formula>0</formula>
    </cfRule>
  </conditionalFormatting>
  <conditionalFormatting sqref="R96:R106">
    <cfRule type="cellIs" dxfId="1242" priority="1067" operator="lessThan">
      <formula>0.8</formula>
    </cfRule>
    <cfRule type="cellIs" dxfId="1241" priority="1068" operator="greaterThan">
      <formula>1</formula>
    </cfRule>
  </conditionalFormatting>
  <conditionalFormatting sqref="R96:R106">
    <cfRule type="cellIs" dxfId="1240" priority="1065" operator="greaterThan">
      <formula>1</formula>
    </cfRule>
    <cfRule type="cellIs" dxfId="1239" priority="1066" operator="lessThan">
      <formula>0.8</formula>
    </cfRule>
  </conditionalFormatting>
  <conditionalFormatting sqref="P96:P106">
    <cfRule type="cellIs" dxfId="1238" priority="1064" operator="greaterThan">
      <formula>0</formula>
    </cfRule>
  </conditionalFormatting>
  <conditionalFormatting sqref="Q96:Q106">
    <cfRule type="cellIs" dxfId="1237" priority="1063" operator="lessThan">
      <formula>0</formula>
    </cfRule>
  </conditionalFormatting>
  <conditionalFormatting sqref="R96:R106">
    <cfRule type="cellIs" dxfId="1236" priority="1061" operator="lessThan">
      <formula>0.8</formula>
    </cfRule>
    <cfRule type="cellIs" dxfId="1235" priority="1062" operator="greaterThan">
      <formula>1</formula>
    </cfRule>
  </conditionalFormatting>
  <conditionalFormatting sqref="R96:R106">
    <cfRule type="cellIs" dxfId="1234" priority="1059" operator="greaterThan">
      <formula>1</formula>
    </cfRule>
    <cfRule type="cellIs" dxfId="1233" priority="1060" operator="lessThan">
      <formula>0.8</formula>
    </cfRule>
  </conditionalFormatting>
  <conditionalFormatting sqref="P96:P106">
    <cfRule type="cellIs" dxfId="1232" priority="1058" operator="greaterThan">
      <formula>0</formula>
    </cfRule>
  </conditionalFormatting>
  <conditionalFormatting sqref="P124">
    <cfRule type="cellIs" dxfId="1231" priority="1052" operator="greaterThan">
      <formula>0</formula>
    </cfRule>
  </conditionalFormatting>
  <conditionalFormatting sqref="Q124">
    <cfRule type="cellIs" dxfId="1230" priority="1057" operator="lessThan">
      <formula>0</formula>
    </cfRule>
  </conditionalFormatting>
  <conditionalFormatting sqref="R124">
    <cfRule type="cellIs" dxfId="1229" priority="1055" operator="lessThan">
      <formula>0.8</formula>
    </cfRule>
    <cfRule type="cellIs" dxfId="1228" priority="1056" operator="greaterThan">
      <formula>1</formula>
    </cfRule>
  </conditionalFormatting>
  <conditionalFormatting sqref="R124">
    <cfRule type="cellIs" dxfId="1227" priority="1053" operator="greaterThan">
      <formula>1</formula>
    </cfRule>
    <cfRule type="cellIs" dxfId="1226" priority="1054" operator="lessThan">
      <formula>0.8</formula>
    </cfRule>
  </conditionalFormatting>
  <conditionalFormatting sqref="Q124">
    <cfRule type="cellIs" dxfId="1225" priority="1051" operator="lessThan">
      <formula>0</formula>
    </cfRule>
  </conditionalFormatting>
  <conditionalFormatting sqref="R124">
    <cfRule type="cellIs" dxfId="1224" priority="1049" operator="lessThan">
      <formula>0.8</formula>
    </cfRule>
    <cfRule type="cellIs" dxfId="1223" priority="1050" operator="greaterThan">
      <formula>1</formula>
    </cfRule>
  </conditionalFormatting>
  <conditionalFormatting sqref="R124">
    <cfRule type="cellIs" dxfId="1222" priority="1047" operator="greaterThan">
      <formula>1</formula>
    </cfRule>
    <cfRule type="cellIs" dxfId="1221" priority="1048" operator="lessThan">
      <formula>0.8</formula>
    </cfRule>
  </conditionalFormatting>
  <conditionalFormatting sqref="P124">
    <cfRule type="cellIs" dxfId="1220" priority="1046" operator="greaterThan">
      <formula>0</formula>
    </cfRule>
  </conditionalFormatting>
  <conditionalFormatting sqref="Q123 Q126:Q131">
    <cfRule type="cellIs" dxfId="1219" priority="1045" operator="lessThan">
      <formula>0</formula>
    </cfRule>
  </conditionalFormatting>
  <conditionalFormatting sqref="R123 R126:R131">
    <cfRule type="cellIs" dxfId="1218" priority="1043" operator="lessThan">
      <formula>0.8</formula>
    </cfRule>
    <cfRule type="cellIs" dxfId="1217" priority="1044" operator="greaterThan">
      <formula>1</formula>
    </cfRule>
  </conditionalFormatting>
  <conditionalFormatting sqref="R123 R126:R131">
    <cfRule type="cellIs" dxfId="1216" priority="1041" operator="greaterThan">
      <formula>1</formula>
    </cfRule>
    <cfRule type="cellIs" dxfId="1215" priority="1042" operator="lessThan">
      <formula>0.8</formula>
    </cfRule>
  </conditionalFormatting>
  <conditionalFormatting sqref="P123 P126:P131">
    <cfRule type="cellIs" dxfId="1214" priority="1040" operator="greaterThan">
      <formula>0</formula>
    </cfRule>
  </conditionalFormatting>
  <conditionalFormatting sqref="P123 P126:P131">
    <cfRule type="cellIs" dxfId="1213" priority="1034" operator="greaterThan">
      <formula>0</formula>
    </cfRule>
  </conditionalFormatting>
  <conditionalFormatting sqref="Q123 Q126:Q131">
    <cfRule type="cellIs" dxfId="1212" priority="1039" operator="lessThan">
      <formula>0</formula>
    </cfRule>
  </conditionalFormatting>
  <conditionalFormatting sqref="R123 R126:R131">
    <cfRule type="cellIs" dxfId="1211" priority="1037" operator="lessThan">
      <formula>0.8</formula>
    </cfRule>
    <cfRule type="cellIs" dxfId="1210" priority="1038" operator="greaterThan">
      <formula>1</formula>
    </cfRule>
  </conditionalFormatting>
  <conditionalFormatting sqref="R123 R126:R131">
    <cfRule type="cellIs" dxfId="1209" priority="1035" operator="greaterThan">
      <formula>1</formula>
    </cfRule>
    <cfRule type="cellIs" dxfId="1208" priority="1036" operator="lessThan">
      <formula>0.8</formula>
    </cfRule>
  </conditionalFormatting>
  <conditionalFormatting sqref="P122 P125">
    <cfRule type="cellIs" dxfId="1207" priority="1028" operator="greaterThan">
      <formula>0</formula>
    </cfRule>
  </conditionalFormatting>
  <conditionalFormatting sqref="Q122 Q125">
    <cfRule type="cellIs" dxfId="1206" priority="1033" operator="lessThan">
      <formula>0</formula>
    </cfRule>
  </conditionalFormatting>
  <conditionalFormatting sqref="R122 R125">
    <cfRule type="cellIs" dxfId="1205" priority="1031" operator="lessThan">
      <formula>0.8</formula>
    </cfRule>
    <cfRule type="cellIs" dxfId="1204" priority="1032" operator="greaterThan">
      <formula>1</formula>
    </cfRule>
  </conditionalFormatting>
  <conditionalFormatting sqref="R122 R125">
    <cfRule type="cellIs" dxfId="1203" priority="1029" operator="greaterThan">
      <formula>1</formula>
    </cfRule>
    <cfRule type="cellIs" dxfId="1202" priority="1030" operator="lessThan">
      <formula>0.8</formula>
    </cfRule>
  </conditionalFormatting>
  <conditionalFormatting sqref="P137 P140 P142 P144">
    <cfRule type="cellIs" dxfId="1201" priority="1027" operator="greaterThan">
      <formula>0</formula>
    </cfRule>
  </conditionalFormatting>
  <conditionalFormatting sqref="Q137:Q145">
    <cfRule type="cellIs" dxfId="1200" priority="1026" operator="lessThan">
      <formula>0</formula>
    </cfRule>
  </conditionalFormatting>
  <conditionalFormatting sqref="R137">
    <cfRule type="cellIs" dxfId="1199" priority="1024" operator="lessThan">
      <formula>0.8</formula>
    </cfRule>
    <cfRule type="cellIs" dxfId="1198" priority="1025" operator="greaterThan">
      <formula>1</formula>
    </cfRule>
  </conditionalFormatting>
  <conditionalFormatting sqref="R137">
    <cfRule type="cellIs" dxfId="1197" priority="1022" operator="greaterThan">
      <formula>1</formula>
    </cfRule>
    <cfRule type="cellIs" dxfId="1196" priority="1023" operator="lessThan">
      <formula>0.8</formula>
    </cfRule>
  </conditionalFormatting>
  <conditionalFormatting sqref="P137 P140 P142 P144">
    <cfRule type="cellIs" dxfId="1195" priority="1021" operator="greaterThan">
      <formula>0</formula>
    </cfRule>
  </conditionalFormatting>
  <conditionalFormatting sqref="Q137:Q145">
    <cfRule type="cellIs" dxfId="1194" priority="1020" operator="lessThan">
      <formula>0</formula>
    </cfRule>
  </conditionalFormatting>
  <conditionalFormatting sqref="R137">
    <cfRule type="cellIs" dxfId="1193" priority="1018" operator="lessThan">
      <formula>0.8</formula>
    </cfRule>
    <cfRule type="cellIs" dxfId="1192" priority="1019" operator="greaterThan">
      <formula>1</formula>
    </cfRule>
  </conditionalFormatting>
  <conditionalFormatting sqref="R137">
    <cfRule type="cellIs" dxfId="1191" priority="1016" operator="greaterThan">
      <formula>1</formula>
    </cfRule>
    <cfRule type="cellIs" dxfId="1190" priority="1017" operator="lessThan">
      <formula>0.8</formula>
    </cfRule>
  </conditionalFormatting>
  <conditionalFormatting sqref="P137 P140 P142 P144">
    <cfRule type="cellIs" dxfId="1189" priority="1015" operator="greaterThan">
      <formula>0</formula>
    </cfRule>
  </conditionalFormatting>
  <conditionalFormatting sqref="P137 P140 P142 P144">
    <cfRule type="cellIs" dxfId="1188" priority="1009" operator="greaterThan">
      <formula>0</formula>
    </cfRule>
  </conditionalFormatting>
  <conditionalFormatting sqref="Q137:Q145">
    <cfRule type="cellIs" dxfId="1187" priority="1014" operator="lessThan">
      <formula>0</formula>
    </cfRule>
  </conditionalFormatting>
  <conditionalFormatting sqref="R137">
    <cfRule type="cellIs" dxfId="1186" priority="1012" operator="lessThan">
      <formula>0.8</formula>
    </cfRule>
    <cfRule type="cellIs" dxfId="1185" priority="1013" operator="greaterThan">
      <formula>1</formula>
    </cfRule>
  </conditionalFormatting>
  <conditionalFormatting sqref="R137">
    <cfRule type="cellIs" dxfId="1184" priority="1010" operator="greaterThan">
      <formula>1</formula>
    </cfRule>
    <cfRule type="cellIs" dxfId="1183" priority="1011" operator="lessThan">
      <formula>0.8</formula>
    </cfRule>
  </conditionalFormatting>
  <conditionalFormatting sqref="Q137:Q145">
    <cfRule type="cellIs" dxfId="1182" priority="1008" operator="lessThan">
      <formula>0</formula>
    </cfRule>
  </conditionalFormatting>
  <conditionalFormatting sqref="R137">
    <cfRule type="cellIs" dxfId="1181" priority="1006" operator="lessThan">
      <formula>0.8</formula>
    </cfRule>
    <cfRule type="cellIs" dxfId="1180" priority="1007" operator="greaterThan">
      <formula>1</formula>
    </cfRule>
  </conditionalFormatting>
  <conditionalFormatting sqref="R137">
    <cfRule type="cellIs" dxfId="1179" priority="1004" operator="greaterThan">
      <formula>1</formula>
    </cfRule>
    <cfRule type="cellIs" dxfId="1178" priority="1005" operator="lessThan">
      <formula>0.8</formula>
    </cfRule>
  </conditionalFormatting>
  <conditionalFormatting sqref="P137 P140 P142 P144">
    <cfRule type="cellIs" dxfId="1177" priority="1003" operator="greaterThan">
      <formula>0</formula>
    </cfRule>
  </conditionalFormatting>
  <conditionalFormatting sqref="Q137:Q145">
    <cfRule type="cellIs" dxfId="1176" priority="1002" operator="lessThan">
      <formula>0</formula>
    </cfRule>
  </conditionalFormatting>
  <conditionalFormatting sqref="R137">
    <cfRule type="cellIs" dxfId="1175" priority="1000" operator="lessThan">
      <formula>0.8</formula>
    </cfRule>
    <cfRule type="cellIs" dxfId="1174" priority="1001" operator="greaterThan">
      <formula>1</formula>
    </cfRule>
  </conditionalFormatting>
  <conditionalFormatting sqref="R137">
    <cfRule type="cellIs" dxfId="1173" priority="998" operator="greaterThan">
      <formula>1</formula>
    </cfRule>
    <cfRule type="cellIs" dxfId="1172" priority="999" operator="lessThan">
      <formula>0.8</formula>
    </cfRule>
  </conditionalFormatting>
  <conditionalFormatting sqref="P137 P140 P142 P144">
    <cfRule type="cellIs" dxfId="1171" priority="997" operator="greaterThan">
      <formula>0</formula>
    </cfRule>
  </conditionalFormatting>
  <conditionalFormatting sqref="P137 P140 P142 P144">
    <cfRule type="cellIs" dxfId="1170" priority="991" operator="greaterThan">
      <formula>0</formula>
    </cfRule>
  </conditionalFormatting>
  <conditionalFormatting sqref="Q137:Q145">
    <cfRule type="cellIs" dxfId="1169" priority="996" operator="lessThan">
      <formula>0</formula>
    </cfRule>
  </conditionalFormatting>
  <conditionalFormatting sqref="R137">
    <cfRule type="cellIs" dxfId="1168" priority="994" operator="lessThan">
      <formula>0.8</formula>
    </cfRule>
    <cfRule type="cellIs" dxfId="1167" priority="995" operator="greaterThan">
      <formula>1</formula>
    </cfRule>
  </conditionalFormatting>
  <conditionalFormatting sqref="R137">
    <cfRule type="cellIs" dxfId="1166" priority="992" operator="greaterThan">
      <formula>1</formula>
    </cfRule>
    <cfRule type="cellIs" dxfId="1165" priority="993" operator="lessThan">
      <formula>0.8</formula>
    </cfRule>
  </conditionalFormatting>
  <conditionalFormatting sqref="Q137:Q145">
    <cfRule type="cellIs" dxfId="1164" priority="990" operator="lessThan">
      <formula>0</formula>
    </cfRule>
  </conditionalFormatting>
  <conditionalFormatting sqref="R137">
    <cfRule type="cellIs" dxfId="1163" priority="988" operator="lessThan">
      <formula>0.8</formula>
    </cfRule>
    <cfRule type="cellIs" dxfId="1162" priority="989" operator="greaterThan">
      <formula>1</formula>
    </cfRule>
  </conditionalFormatting>
  <conditionalFormatting sqref="R137">
    <cfRule type="cellIs" dxfId="1161" priority="986" operator="greaterThan">
      <formula>1</formula>
    </cfRule>
    <cfRule type="cellIs" dxfId="1160" priority="987" operator="lessThan">
      <formula>0.8</formula>
    </cfRule>
  </conditionalFormatting>
  <conditionalFormatting sqref="P137 P140 P142 P144">
    <cfRule type="cellIs" dxfId="1159" priority="985" operator="greaterThan">
      <formula>0</formula>
    </cfRule>
  </conditionalFormatting>
  <conditionalFormatting sqref="Q137:Q145">
    <cfRule type="cellIs" dxfId="1158" priority="984" operator="lessThan">
      <formula>0</formula>
    </cfRule>
  </conditionalFormatting>
  <conditionalFormatting sqref="R137">
    <cfRule type="cellIs" dxfId="1157" priority="982" operator="lessThan">
      <formula>0.8</formula>
    </cfRule>
    <cfRule type="cellIs" dxfId="1156" priority="983" operator="greaterThan">
      <formula>1</formula>
    </cfRule>
  </conditionalFormatting>
  <conditionalFormatting sqref="R137">
    <cfRule type="cellIs" dxfId="1155" priority="980" operator="greaterThan">
      <formula>1</formula>
    </cfRule>
    <cfRule type="cellIs" dxfId="1154" priority="981" operator="lessThan">
      <formula>0.8</formula>
    </cfRule>
  </conditionalFormatting>
  <conditionalFormatting sqref="P137 P140 P142 P144">
    <cfRule type="cellIs" dxfId="1153" priority="979" operator="greaterThan">
      <formula>0</formula>
    </cfRule>
  </conditionalFormatting>
  <conditionalFormatting sqref="P137 P140 P142 P144">
    <cfRule type="cellIs" dxfId="1152" priority="973" operator="greaterThan">
      <formula>0</formula>
    </cfRule>
  </conditionalFormatting>
  <conditionalFormatting sqref="Q137:Q145">
    <cfRule type="cellIs" dxfId="1151" priority="978" operator="lessThan">
      <formula>0</formula>
    </cfRule>
  </conditionalFormatting>
  <conditionalFormatting sqref="R137">
    <cfRule type="cellIs" dxfId="1150" priority="976" operator="lessThan">
      <formula>0.8</formula>
    </cfRule>
    <cfRule type="cellIs" dxfId="1149" priority="977" operator="greaterThan">
      <formula>1</formula>
    </cfRule>
  </conditionalFormatting>
  <conditionalFormatting sqref="R137">
    <cfRule type="cellIs" dxfId="1148" priority="974" operator="greaterThan">
      <formula>1</formula>
    </cfRule>
    <cfRule type="cellIs" dxfId="1147" priority="975" operator="lessThan">
      <formula>0.8</formula>
    </cfRule>
  </conditionalFormatting>
  <conditionalFormatting sqref="Q137:Q145">
    <cfRule type="cellIs" dxfId="1146" priority="972" operator="lessThan">
      <formula>0</formula>
    </cfRule>
  </conditionalFormatting>
  <conditionalFormatting sqref="R137">
    <cfRule type="cellIs" dxfId="1145" priority="970" operator="lessThan">
      <formula>0.8</formula>
    </cfRule>
    <cfRule type="cellIs" dxfId="1144" priority="971" operator="greaterThan">
      <formula>1</formula>
    </cfRule>
  </conditionalFormatting>
  <conditionalFormatting sqref="R137">
    <cfRule type="cellIs" dxfId="1143" priority="968" operator="greaterThan">
      <formula>1</formula>
    </cfRule>
    <cfRule type="cellIs" dxfId="1142" priority="969" operator="lessThan">
      <formula>0.8</formula>
    </cfRule>
  </conditionalFormatting>
  <conditionalFormatting sqref="P137 P140 P142 P144">
    <cfRule type="cellIs" dxfId="1141" priority="967" operator="greaterThan">
      <formula>0</formula>
    </cfRule>
  </conditionalFormatting>
  <conditionalFormatting sqref="P138">
    <cfRule type="cellIs" dxfId="1140" priority="962" operator="greaterThan">
      <formula>0</formula>
    </cfRule>
  </conditionalFormatting>
  <conditionalFormatting sqref="R138">
    <cfRule type="cellIs" dxfId="1139" priority="965" operator="lessThan">
      <formula>0.8</formula>
    </cfRule>
    <cfRule type="cellIs" dxfId="1138" priority="966" operator="greaterThan">
      <formula>1</formula>
    </cfRule>
  </conditionalFormatting>
  <conditionalFormatting sqref="R138">
    <cfRule type="cellIs" dxfId="1137" priority="963" operator="greaterThan">
      <formula>1</formula>
    </cfRule>
    <cfRule type="cellIs" dxfId="1136" priority="964" operator="lessThan">
      <formula>0.8</formula>
    </cfRule>
  </conditionalFormatting>
  <conditionalFormatting sqref="R138">
    <cfRule type="cellIs" dxfId="1135" priority="960" operator="lessThan">
      <formula>0.8</formula>
    </cfRule>
    <cfRule type="cellIs" dxfId="1134" priority="961" operator="greaterThan">
      <formula>1</formula>
    </cfRule>
  </conditionalFormatting>
  <conditionalFormatting sqref="R138">
    <cfRule type="cellIs" dxfId="1133" priority="958" operator="greaterThan">
      <formula>1</formula>
    </cfRule>
    <cfRule type="cellIs" dxfId="1132" priority="959" operator="lessThan">
      <formula>0.8</formula>
    </cfRule>
  </conditionalFormatting>
  <conditionalFormatting sqref="P138">
    <cfRule type="cellIs" dxfId="1131" priority="957" operator="greaterThan">
      <formula>0</formula>
    </cfRule>
  </conditionalFormatting>
  <conditionalFormatting sqref="R138">
    <cfRule type="cellIs" dxfId="1130" priority="955" operator="lessThan">
      <formula>0.8</formula>
    </cfRule>
    <cfRule type="cellIs" dxfId="1129" priority="956" operator="greaterThan">
      <formula>1</formula>
    </cfRule>
  </conditionalFormatting>
  <conditionalFormatting sqref="R138">
    <cfRule type="cellIs" dxfId="1128" priority="953" operator="greaterThan">
      <formula>1</formula>
    </cfRule>
    <cfRule type="cellIs" dxfId="1127" priority="954" operator="lessThan">
      <formula>0.8</formula>
    </cfRule>
  </conditionalFormatting>
  <conditionalFormatting sqref="P138">
    <cfRule type="cellIs" dxfId="1126" priority="952" operator="greaterThan">
      <formula>0</formula>
    </cfRule>
  </conditionalFormatting>
  <conditionalFormatting sqref="R138">
    <cfRule type="cellIs" dxfId="1125" priority="950" operator="lessThan">
      <formula>0.8</formula>
    </cfRule>
    <cfRule type="cellIs" dxfId="1124" priority="951" operator="greaterThan">
      <formula>1</formula>
    </cfRule>
  </conditionalFormatting>
  <conditionalFormatting sqref="R138">
    <cfRule type="cellIs" dxfId="1123" priority="948" operator="greaterThan">
      <formula>1</formula>
    </cfRule>
    <cfRule type="cellIs" dxfId="1122" priority="949" operator="lessThan">
      <formula>0.8</formula>
    </cfRule>
  </conditionalFormatting>
  <conditionalFormatting sqref="P138">
    <cfRule type="cellIs" dxfId="1121" priority="947" operator="greaterThan">
      <formula>0</formula>
    </cfRule>
  </conditionalFormatting>
  <conditionalFormatting sqref="R138">
    <cfRule type="cellIs" dxfId="1120" priority="945" operator="lessThan">
      <formula>0.8</formula>
    </cfRule>
    <cfRule type="cellIs" dxfId="1119" priority="946" operator="greaterThan">
      <formula>1</formula>
    </cfRule>
  </conditionalFormatting>
  <conditionalFormatting sqref="R138">
    <cfRule type="cellIs" dxfId="1118" priority="943" operator="greaterThan">
      <formula>1</formula>
    </cfRule>
    <cfRule type="cellIs" dxfId="1117" priority="944" operator="lessThan">
      <formula>0.8</formula>
    </cfRule>
  </conditionalFormatting>
  <conditionalFormatting sqref="R138">
    <cfRule type="cellIs" dxfId="1116" priority="941" operator="lessThan">
      <formula>0.8</formula>
    </cfRule>
    <cfRule type="cellIs" dxfId="1115" priority="942" operator="greaterThan">
      <formula>1</formula>
    </cfRule>
  </conditionalFormatting>
  <conditionalFormatting sqref="R138">
    <cfRule type="cellIs" dxfId="1114" priority="939" operator="greaterThan">
      <formula>1</formula>
    </cfRule>
    <cfRule type="cellIs" dxfId="1113" priority="940" operator="lessThan">
      <formula>0.8</formula>
    </cfRule>
  </conditionalFormatting>
  <conditionalFormatting sqref="P138">
    <cfRule type="cellIs" dxfId="1112" priority="938" operator="greaterThan">
      <formula>0</formula>
    </cfRule>
  </conditionalFormatting>
  <conditionalFormatting sqref="P138">
    <cfRule type="cellIs" dxfId="1111" priority="933" operator="greaterThan">
      <formula>0</formula>
    </cfRule>
  </conditionalFormatting>
  <conditionalFormatting sqref="R138">
    <cfRule type="cellIs" dxfId="1110" priority="936" operator="lessThan">
      <formula>0.8</formula>
    </cfRule>
    <cfRule type="cellIs" dxfId="1109" priority="937" operator="greaterThan">
      <formula>1</formula>
    </cfRule>
  </conditionalFormatting>
  <conditionalFormatting sqref="R138">
    <cfRule type="cellIs" dxfId="1108" priority="934" operator="greaterThan">
      <formula>1</formula>
    </cfRule>
    <cfRule type="cellIs" dxfId="1107" priority="935" operator="lessThan">
      <formula>0.8</formula>
    </cfRule>
  </conditionalFormatting>
  <conditionalFormatting sqref="R138">
    <cfRule type="cellIs" dxfId="1106" priority="931" operator="lessThan">
      <formula>0.8</formula>
    </cfRule>
    <cfRule type="cellIs" dxfId="1105" priority="932" operator="greaterThan">
      <formula>1</formula>
    </cfRule>
  </conditionalFormatting>
  <conditionalFormatting sqref="R138">
    <cfRule type="cellIs" dxfId="1104" priority="929" operator="greaterThan">
      <formula>1</formula>
    </cfRule>
    <cfRule type="cellIs" dxfId="1103" priority="930" operator="lessThan">
      <formula>0.8</formula>
    </cfRule>
  </conditionalFormatting>
  <conditionalFormatting sqref="P138">
    <cfRule type="cellIs" dxfId="1102" priority="928" operator="greaterThan">
      <formula>0</formula>
    </cfRule>
  </conditionalFormatting>
  <conditionalFormatting sqref="Q148:Q156">
    <cfRule type="cellIs" dxfId="1101" priority="927" operator="lessThan">
      <formula>0</formula>
    </cfRule>
  </conditionalFormatting>
  <conditionalFormatting sqref="R148:R156">
    <cfRule type="cellIs" dxfId="1100" priority="925" operator="lessThan">
      <formula>0.8</formula>
    </cfRule>
    <cfRule type="cellIs" dxfId="1099" priority="926" operator="greaterThan">
      <formula>1</formula>
    </cfRule>
  </conditionalFormatting>
  <conditionalFormatting sqref="R148:R156">
    <cfRule type="cellIs" dxfId="1098" priority="923" operator="greaterThan">
      <formula>1</formula>
    </cfRule>
    <cfRule type="cellIs" dxfId="1097" priority="924" operator="lessThan">
      <formula>0.8</formula>
    </cfRule>
  </conditionalFormatting>
  <conditionalFormatting sqref="P148:P156">
    <cfRule type="cellIs" dxfId="1096" priority="922" operator="greaterThan">
      <formula>0</formula>
    </cfRule>
  </conditionalFormatting>
  <conditionalFormatting sqref="P148:P156">
    <cfRule type="cellIs" dxfId="1095" priority="916" operator="greaterThan">
      <formula>0</formula>
    </cfRule>
  </conditionalFormatting>
  <conditionalFormatting sqref="Q148:Q156">
    <cfRule type="cellIs" dxfId="1094" priority="921" operator="lessThan">
      <formula>0</formula>
    </cfRule>
  </conditionalFormatting>
  <conditionalFormatting sqref="R148:R156">
    <cfRule type="cellIs" dxfId="1093" priority="919" operator="lessThan">
      <formula>0.8</formula>
    </cfRule>
    <cfRule type="cellIs" dxfId="1092" priority="920" operator="greaterThan">
      <formula>1</formula>
    </cfRule>
  </conditionalFormatting>
  <conditionalFormatting sqref="R148:R156">
    <cfRule type="cellIs" dxfId="1091" priority="917" operator="greaterThan">
      <formula>1</formula>
    </cfRule>
    <cfRule type="cellIs" dxfId="1090" priority="918" operator="lessThan">
      <formula>0.8</formula>
    </cfRule>
  </conditionalFormatting>
  <conditionalFormatting sqref="Q148:Q156">
    <cfRule type="cellIs" dxfId="1089" priority="915" operator="lessThan">
      <formula>0</formula>
    </cfRule>
  </conditionalFormatting>
  <conditionalFormatting sqref="R148:R156">
    <cfRule type="cellIs" dxfId="1088" priority="913" operator="lessThan">
      <formula>0.8</formula>
    </cfRule>
    <cfRule type="cellIs" dxfId="1087" priority="914" operator="greaterThan">
      <formula>1</formula>
    </cfRule>
  </conditionalFormatting>
  <conditionalFormatting sqref="R148:R156">
    <cfRule type="cellIs" dxfId="1086" priority="911" operator="greaterThan">
      <formula>1</formula>
    </cfRule>
    <cfRule type="cellIs" dxfId="1085" priority="912" operator="lessThan">
      <formula>0.8</formula>
    </cfRule>
  </conditionalFormatting>
  <conditionalFormatting sqref="P148:P156">
    <cfRule type="cellIs" dxfId="1084" priority="910" operator="greaterThan">
      <formula>0</formula>
    </cfRule>
  </conditionalFormatting>
  <conditionalFormatting sqref="Q148:Q156">
    <cfRule type="cellIs" dxfId="1083" priority="909" operator="lessThan">
      <formula>0</formula>
    </cfRule>
  </conditionalFormatting>
  <conditionalFormatting sqref="R148:R156">
    <cfRule type="cellIs" dxfId="1082" priority="907" operator="lessThan">
      <formula>0.8</formula>
    </cfRule>
    <cfRule type="cellIs" dxfId="1081" priority="908" operator="greaterThan">
      <formula>1</formula>
    </cfRule>
  </conditionalFormatting>
  <conditionalFormatting sqref="R148:R156">
    <cfRule type="cellIs" dxfId="1080" priority="905" operator="greaterThan">
      <formula>1</formula>
    </cfRule>
    <cfRule type="cellIs" dxfId="1079" priority="906" operator="lessThan">
      <formula>0.8</formula>
    </cfRule>
  </conditionalFormatting>
  <conditionalFormatting sqref="P148:P156">
    <cfRule type="cellIs" dxfId="1078" priority="904" operator="greaterThan">
      <formula>0</formula>
    </cfRule>
  </conditionalFormatting>
  <conditionalFormatting sqref="P148:P156">
    <cfRule type="cellIs" dxfId="1077" priority="898" operator="greaterThan">
      <formula>0</formula>
    </cfRule>
  </conditionalFormatting>
  <conditionalFormatting sqref="Q148:Q156">
    <cfRule type="cellIs" dxfId="1076" priority="903" operator="lessThan">
      <formula>0</formula>
    </cfRule>
  </conditionalFormatting>
  <conditionalFormatting sqref="R148:R156">
    <cfRule type="cellIs" dxfId="1075" priority="901" operator="lessThan">
      <formula>0.8</formula>
    </cfRule>
    <cfRule type="cellIs" dxfId="1074" priority="902" operator="greaterThan">
      <formula>1</formula>
    </cfRule>
  </conditionalFormatting>
  <conditionalFormatting sqref="R148:R156">
    <cfRule type="cellIs" dxfId="1073" priority="899" operator="greaterThan">
      <formula>1</formula>
    </cfRule>
    <cfRule type="cellIs" dxfId="1072" priority="900" operator="lessThan">
      <formula>0.8</formula>
    </cfRule>
  </conditionalFormatting>
  <conditionalFormatting sqref="Q148:Q156">
    <cfRule type="cellIs" dxfId="1071" priority="897" operator="lessThan">
      <formula>0</formula>
    </cfRule>
  </conditionalFormatting>
  <conditionalFormatting sqref="R148:R156">
    <cfRule type="cellIs" dxfId="1070" priority="895" operator="lessThan">
      <formula>0.8</formula>
    </cfRule>
    <cfRule type="cellIs" dxfId="1069" priority="896" operator="greaterThan">
      <formula>1</formula>
    </cfRule>
  </conditionalFormatting>
  <conditionalFormatting sqref="R148:R156">
    <cfRule type="cellIs" dxfId="1068" priority="893" operator="greaterThan">
      <formula>1</formula>
    </cfRule>
    <cfRule type="cellIs" dxfId="1067" priority="894" operator="lessThan">
      <formula>0.8</formula>
    </cfRule>
  </conditionalFormatting>
  <conditionalFormatting sqref="P148:P156">
    <cfRule type="cellIs" dxfId="1066" priority="892" operator="greaterThan">
      <formula>0</formula>
    </cfRule>
  </conditionalFormatting>
  <conditionalFormatting sqref="Q148:Q156">
    <cfRule type="cellIs" dxfId="1065" priority="886" operator="lessThan">
      <formula>0</formula>
    </cfRule>
  </conditionalFormatting>
  <conditionalFormatting sqref="P148:P156">
    <cfRule type="cellIs" dxfId="1064" priority="887" operator="greaterThan">
      <formula>0</formula>
    </cfRule>
  </conditionalFormatting>
  <conditionalFormatting sqref="R148:R156">
    <cfRule type="cellIs" dxfId="1063" priority="890" operator="lessThan">
      <formula>0.8</formula>
    </cfRule>
    <cfRule type="cellIs" dxfId="1062" priority="891" operator="greaterThan">
      <formula>1</formula>
    </cfRule>
  </conditionalFormatting>
  <conditionalFormatting sqref="R148:R156">
    <cfRule type="cellIs" dxfId="1061" priority="888" operator="greaterThan">
      <formula>1</formula>
    </cfRule>
    <cfRule type="cellIs" dxfId="1060" priority="889" operator="lessThan">
      <formula>0.8</formula>
    </cfRule>
  </conditionalFormatting>
  <conditionalFormatting sqref="Q148:Q156">
    <cfRule type="cellIs" dxfId="1059" priority="880" operator="lessThan">
      <formula>0</formula>
    </cfRule>
  </conditionalFormatting>
  <conditionalFormatting sqref="R148:R156">
    <cfRule type="cellIs" dxfId="1058" priority="884" operator="lessThan">
      <formula>0.8</formula>
    </cfRule>
    <cfRule type="cellIs" dxfId="1057" priority="885" operator="greaterThan">
      <formula>1</formula>
    </cfRule>
  </conditionalFormatting>
  <conditionalFormatting sqref="R148:R156">
    <cfRule type="cellIs" dxfId="1056" priority="882" operator="greaterThan">
      <formula>1</formula>
    </cfRule>
    <cfRule type="cellIs" dxfId="1055" priority="883" operator="lessThan">
      <formula>0.8</formula>
    </cfRule>
  </conditionalFormatting>
  <conditionalFormatting sqref="P148:P156">
    <cfRule type="cellIs" dxfId="1054" priority="881" operator="greaterThan">
      <formula>0</formula>
    </cfRule>
  </conditionalFormatting>
  <conditionalFormatting sqref="Q148:Q156">
    <cfRule type="cellIs" dxfId="1053" priority="879" operator="lessThan">
      <formula>0</formula>
    </cfRule>
  </conditionalFormatting>
  <conditionalFormatting sqref="R148:R156">
    <cfRule type="cellIs" dxfId="1052" priority="877" operator="lessThan">
      <formula>0.8</formula>
    </cfRule>
    <cfRule type="cellIs" dxfId="1051" priority="878" operator="greaterThan">
      <formula>1</formula>
    </cfRule>
  </conditionalFormatting>
  <conditionalFormatting sqref="R148:R156">
    <cfRule type="cellIs" dxfId="1050" priority="875" operator="greaterThan">
      <formula>1</formula>
    </cfRule>
    <cfRule type="cellIs" dxfId="1049" priority="876" operator="lessThan">
      <formula>0.8</formula>
    </cfRule>
  </conditionalFormatting>
  <conditionalFormatting sqref="P148:P156">
    <cfRule type="cellIs" dxfId="1048" priority="874" operator="greaterThan">
      <formula>0</formula>
    </cfRule>
  </conditionalFormatting>
  <conditionalFormatting sqref="Q148:Q156">
    <cfRule type="cellIs" dxfId="1047" priority="873" operator="lessThan">
      <formula>0</formula>
    </cfRule>
  </conditionalFormatting>
  <conditionalFormatting sqref="R148:R156">
    <cfRule type="cellIs" dxfId="1046" priority="871" operator="lessThan">
      <formula>0.8</formula>
    </cfRule>
    <cfRule type="cellIs" dxfId="1045" priority="872" operator="greaterThan">
      <formula>1</formula>
    </cfRule>
  </conditionalFormatting>
  <conditionalFormatting sqref="R148:R156">
    <cfRule type="cellIs" dxfId="1044" priority="869" operator="greaterThan">
      <formula>1</formula>
    </cfRule>
    <cfRule type="cellIs" dxfId="1043" priority="870" operator="lessThan">
      <formula>0.8</formula>
    </cfRule>
  </conditionalFormatting>
  <conditionalFormatting sqref="P148:P156">
    <cfRule type="cellIs" dxfId="1042" priority="868" operator="greaterThan">
      <formula>0</formula>
    </cfRule>
  </conditionalFormatting>
  <conditionalFormatting sqref="Q148:Q156">
    <cfRule type="cellIs" dxfId="1041" priority="867" operator="lessThan">
      <formula>0</formula>
    </cfRule>
  </conditionalFormatting>
  <conditionalFormatting sqref="R148:R156">
    <cfRule type="cellIs" dxfId="1040" priority="865" operator="lessThan">
      <formula>0.8</formula>
    </cfRule>
    <cfRule type="cellIs" dxfId="1039" priority="866" operator="greaterThan">
      <formula>1</formula>
    </cfRule>
  </conditionalFormatting>
  <conditionalFormatting sqref="R148:R156">
    <cfRule type="cellIs" dxfId="1038" priority="863" operator="greaterThan">
      <formula>1</formula>
    </cfRule>
    <cfRule type="cellIs" dxfId="1037" priority="864" operator="lessThan">
      <formula>0.8</formula>
    </cfRule>
  </conditionalFormatting>
  <conditionalFormatting sqref="P148:P156">
    <cfRule type="cellIs" dxfId="1036" priority="862" operator="greaterThan">
      <formula>0</formula>
    </cfRule>
  </conditionalFormatting>
  <conditionalFormatting sqref="Q148:Q156">
    <cfRule type="cellIs" dxfId="1035" priority="861" operator="lessThan">
      <formula>0</formula>
    </cfRule>
  </conditionalFormatting>
  <conditionalFormatting sqref="R148:R156">
    <cfRule type="cellIs" dxfId="1034" priority="859" operator="lessThan">
      <formula>0.8</formula>
    </cfRule>
    <cfRule type="cellIs" dxfId="1033" priority="860" operator="greaterThan">
      <formula>1</formula>
    </cfRule>
  </conditionalFormatting>
  <conditionalFormatting sqref="R148:R156">
    <cfRule type="cellIs" dxfId="1032" priority="857" operator="greaterThan">
      <formula>1</formula>
    </cfRule>
    <cfRule type="cellIs" dxfId="1031" priority="858" operator="lessThan">
      <formula>0.8</formula>
    </cfRule>
  </conditionalFormatting>
  <conditionalFormatting sqref="P148:P156">
    <cfRule type="cellIs" dxfId="1030" priority="856" operator="greaterThan">
      <formula>0</formula>
    </cfRule>
  </conditionalFormatting>
  <conditionalFormatting sqref="Q148:Q156">
    <cfRule type="cellIs" dxfId="1029" priority="855" operator="lessThan">
      <formula>0</formula>
    </cfRule>
  </conditionalFormatting>
  <conditionalFormatting sqref="R148:R156">
    <cfRule type="cellIs" dxfId="1028" priority="853" operator="lessThan">
      <formula>0.8</formula>
    </cfRule>
    <cfRule type="cellIs" dxfId="1027" priority="854" operator="greaterThan">
      <formula>1</formula>
    </cfRule>
  </conditionalFormatting>
  <conditionalFormatting sqref="R148:R156">
    <cfRule type="cellIs" dxfId="1026" priority="851" operator="greaterThan">
      <formula>1</formula>
    </cfRule>
    <cfRule type="cellIs" dxfId="1025" priority="852" operator="lessThan">
      <formula>0.8</formula>
    </cfRule>
  </conditionalFormatting>
  <conditionalFormatting sqref="P148:P156">
    <cfRule type="cellIs" dxfId="1024" priority="850" operator="greaterThan">
      <formula>0</formula>
    </cfRule>
  </conditionalFormatting>
  <conditionalFormatting sqref="Q148:Q156">
    <cfRule type="cellIs" dxfId="1023" priority="849" operator="lessThan">
      <formula>0</formula>
    </cfRule>
  </conditionalFormatting>
  <conditionalFormatting sqref="R148:R156">
    <cfRule type="cellIs" dxfId="1022" priority="847" operator="lessThan">
      <formula>0.8</formula>
    </cfRule>
    <cfRule type="cellIs" dxfId="1021" priority="848" operator="greaterThan">
      <formula>1</formula>
    </cfRule>
  </conditionalFormatting>
  <conditionalFormatting sqref="R148:R156">
    <cfRule type="cellIs" dxfId="1020" priority="845" operator="greaterThan">
      <formula>1</formula>
    </cfRule>
    <cfRule type="cellIs" dxfId="1019" priority="846" operator="lessThan">
      <formula>0.8</formula>
    </cfRule>
  </conditionalFormatting>
  <conditionalFormatting sqref="P148:P156">
    <cfRule type="cellIs" dxfId="1018" priority="844" operator="greaterThan">
      <formula>0</formula>
    </cfRule>
  </conditionalFormatting>
  <conditionalFormatting sqref="Q148:Q156">
    <cfRule type="cellIs" dxfId="1017" priority="843" operator="lessThan">
      <formula>0</formula>
    </cfRule>
  </conditionalFormatting>
  <conditionalFormatting sqref="R148:R156">
    <cfRule type="cellIs" dxfId="1016" priority="841" operator="lessThan">
      <formula>0.8</formula>
    </cfRule>
    <cfRule type="cellIs" dxfId="1015" priority="842" operator="greaterThan">
      <formula>1</formula>
    </cfRule>
  </conditionalFormatting>
  <conditionalFormatting sqref="R148:R156">
    <cfRule type="cellIs" dxfId="1014" priority="839" operator="greaterThan">
      <formula>1</formula>
    </cfRule>
    <cfRule type="cellIs" dxfId="1013" priority="840" operator="lessThan">
      <formula>0.8</formula>
    </cfRule>
  </conditionalFormatting>
  <conditionalFormatting sqref="P148:P156">
    <cfRule type="cellIs" dxfId="1012" priority="838" operator="greaterThan">
      <formula>0</formula>
    </cfRule>
  </conditionalFormatting>
  <conditionalFormatting sqref="P148:P156">
    <cfRule type="cellIs" dxfId="1011" priority="832" operator="greaterThan">
      <formula>0</formula>
    </cfRule>
  </conditionalFormatting>
  <conditionalFormatting sqref="Q148:Q156">
    <cfRule type="cellIs" dxfId="1010" priority="837" operator="lessThan">
      <formula>0</formula>
    </cfRule>
  </conditionalFormatting>
  <conditionalFormatting sqref="R148:R156">
    <cfRule type="cellIs" dxfId="1009" priority="835" operator="lessThan">
      <formula>0.8</formula>
    </cfRule>
    <cfRule type="cellIs" dxfId="1008" priority="836" operator="greaterThan">
      <formula>1</formula>
    </cfRule>
  </conditionalFormatting>
  <conditionalFormatting sqref="R148:R156">
    <cfRule type="cellIs" dxfId="1007" priority="833" operator="greaterThan">
      <formula>1</formula>
    </cfRule>
    <cfRule type="cellIs" dxfId="1006" priority="834" operator="lessThan">
      <formula>0.8</formula>
    </cfRule>
  </conditionalFormatting>
  <conditionalFormatting sqref="P148:P156">
    <cfRule type="cellIs" dxfId="1005" priority="826" operator="greaterThan">
      <formula>0</formula>
    </cfRule>
  </conditionalFormatting>
  <conditionalFormatting sqref="Q148:Q156">
    <cfRule type="cellIs" dxfId="1004" priority="831" operator="lessThan">
      <formula>0</formula>
    </cfRule>
  </conditionalFormatting>
  <conditionalFormatting sqref="R148:R156">
    <cfRule type="cellIs" dxfId="1003" priority="829" operator="lessThan">
      <formula>0.8</formula>
    </cfRule>
    <cfRule type="cellIs" dxfId="1002" priority="830" operator="greaterThan">
      <formula>1</formula>
    </cfRule>
  </conditionalFormatting>
  <conditionalFormatting sqref="R148:R156">
    <cfRule type="cellIs" dxfId="1001" priority="827" operator="greaterThan">
      <formula>1</formula>
    </cfRule>
    <cfRule type="cellIs" dxfId="1000" priority="828" operator="lessThan">
      <formula>0.8</formula>
    </cfRule>
  </conditionalFormatting>
  <conditionalFormatting sqref="R148:R156">
    <cfRule type="cellIs" dxfId="999" priority="823" operator="lessThan">
      <formula>0.8</formula>
    </cfRule>
    <cfRule type="cellIs" dxfId="998" priority="824" operator="greaterThan">
      <formula>1</formula>
    </cfRule>
  </conditionalFormatting>
  <conditionalFormatting sqref="R148:R156">
    <cfRule type="cellIs" dxfId="997" priority="821" operator="greaterThan">
      <formula>1</formula>
    </cfRule>
    <cfRule type="cellIs" dxfId="996" priority="822" operator="lessThan">
      <formula>0.8</formula>
    </cfRule>
  </conditionalFormatting>
  <conditionalFormatting sqref="P148:P156">
    <cfRule type="cellIs" dxfId="995" priority="820" operator="greaterThan">
      <formula>0</formula>
    </cfRule>
  </conditionalFormatting>
  <conditionalFormatting sqref="Q148:Q156">
    <cfRule type="cellIs" dxfId="994" priority="825" operator="lessThan">
      <formula>0</formula>
    </cfRule>
  </conditionalFormatting>
  <conditionalFormatting sqref="Q148:Q156">
    <cfRule type="cellIs" dxfId="993" priority="819" operator="lessThan">
      <formula>0</formula>
    </cfRule>
  </conditionalFormatting>
  <conditionalFormatting sqref="R148:R156">
    <cfRule type="cellIs" dxfId="992" priority="817" operator="lessThan">
      <formula>0.8</formula>
    </cfRule>
    <cfRule type="cellIs" dxfId="991" priority="818" operator="greaterThan">
      <formula>1</formula>
    </cfRule>
  </conditionalFormatting>
  <conditionalFormatting sqref="R148:R156">
    <cfRule type="cellIs" dxfId="990" priority="815" operator="greaterThan">
      <formula>1</formula>
    </cfRule>
    <cfRule type="cellIs" dxfId="989" priority="816" operator="lessThan">
      <formula>0.8</formula>
    </cfRule>
  </conditionalFormatting>
  <conditionalFormatting sqref="P148:P156">
    <cfRule type="cellIs" dxfId="988" priority="814" operator="greaterThan">
      <formula>0</formula>
    </cfRule>
  </conditionalFormatting>
  <conditionalFormatting sqref="P148:P156">
    <cfRule type="cellIs" dxfId="987" priority="808" operator="greaterThan">
      <formula>0</formula>
    </cfRule>
  </conditionalFormatting>
  <conditionalFormatting sqref="Q148:Q156">
    <cfRule type="cellIs" dxfId="986" priority="813" operator="lessThan">
      <formula>0</formula>
    </cfRule>
  </conditionalFormatting>
  <conditionalFormatting sqref="R148:R156">
    <cfRule type="cellIs" dxfId="985" priority="811" operator="lessThan">
      <formula>0.8</formula>
    </cfRule>
    <cfRule type="cellIs" dxfId="984" priority="812" operator="greaterThan">
      <formula>1</formula>
    </cfRule>
  </conditionalFormatting>
  <conditionalFormatting sqref="R148:R156">
    <cfRule type="cellIs" dxfId="983" priority="809" operator="greaterThan">
      <formula>1</formula>
    </cfRule>
    <cfRule type="cellIs" dxfId="982" priority="810" operator="lessThan">
      <formula>0.8</formula>
    </cfRule>
  </conditionalFormatting>
  <conditionalFormatting sqref="P148:P156">
    <cfRule type="cellIs" dxfId="981" priority="802" operator="greaterThan">
      <formula>0</formula>
    </cfRule>
  </conditionalFormatting>
  <conditionalFormatting sqref="Q148:Q156">
    <cfRule type="cellIs" dxfId="980" priority="807" operator="lessThan">
      <formula>0</formula>
    </cfRule>
  </conditionalFormatting>
  <conditionalFormatting sqref="R148:R156">
    <cfRule type="cellIs" dxfId="979" priority="805" operator="lessThan">
      <formula>0.8</formula>
    </cfRule>
    <cfRule type="cellIs" dxfId="978" priority="806" operator="greaterThan">
      <formula>1</formula>
    </cfRule>
  </conditionalFormatting>
  <conditionalFormatting sqref="R148:R156">
    <cfRule type="cellIs" dxfId="977" priority="803" operator="greaterThan">
      <formula>1</formula>
    </cfRule>
    <cfRule type="cellIs" dxfId="976" priority="804" operator="lessThan">
      <formula>0.8</formula>
    </cfRule>
  </conditionalFormatting>
  <conditionalFormatting sqref="R148:R156">
    <cfRule type="cellIs" dxfId="975" priority="799" operator="lessThan">
      <formula>0.8</formula>
    </cfRule>
    <cfRule type="cellIs" dxfId="974" priority="800" operator="greaterThan">
      <formula>1</formula>
    </cfRule>
  </conditionalFormatting>
  <conditionalFormatting sqref="R148:R156">
    <cfRule type="cellIs" dxfId="973" priority="797" operator="greaterThan">
      <formula>1</formula>
    </cfRule>
    <cfRule type="cellIs" dxfId="972" priority="798" operator="lessThan">
      <formula>0.8</formula>
    </cfRule>
  </conditionalFormatting>
  <conditionalFormatting sqref="P148:P156">
    <cfRule type="cellIs" dxfId="971" priority="796" operator="greaterThan">
      <formula>0</formula>
    </cfRule>
  </conditionalFormatting>
  <conditionalFormatting sqref="Q148:Q156">
    <cfRule type="cellIs" dxfId="970" priority="801" operator="lessThan">
      <formula>0</formula>
    </cfRule>
  </conditionalFormatting>
  <conditionalFormatting sqref="P148:P156">
    <cfRule type="cellIs" dxfId="969" priority="790" operator="greaterThan">
      <formula>0</formula>
    </cfRule>
  </conditionalFormatting>
  <conditionalFormatting sqref="Q148:Q156">
    <cfRule type="cellIs" dxfId="968" priority="795" operator="lessThan">
      <formula>0</formula>
    </cfRule>
  </conditionalFormatting>
  <conditionalFormatting sqref="R148:R156">
    <cfRule type="cellIs" dxfId="967" priority="793" operator="lessThan">
      <formula>0.8</formula>
    </cfRule>
    <cfRule type="cellIs" dxfId="966" priority="794" operator="greaterThan">
      <formula>1</formula>
    </cfRule>
  </conditionalFormatting>
  <conditionalFormatting sqref="R148:R156">
    <cfRule type="cellIs" dxfId="965" priority="791" operator="greaterThan">
      <formula>1</formula>
    </cfRule>
    <cfRule type="cellIs" dxfId="964" priority="792" operator="lessThan">
      <formula>0.8</formula>
    </cfRule>
  </conditionalFormatting>
  <conditionalFormatting sqref="R148:R156">
    <cfRule type="cellIs" dxfId="963" priority="787" operator="lessThan">
      <formula>0.8</formula>
    </cfRule>
    <cfRule type="cellIs" dxfId="962" priority="788" operator="greaterThan">
      <formula>1</formula>
    </cfRule>
  </conditionalFormatting>
  <conditionalFormatting sqref="R148:R156">
    <cfRule type="cellIs" dxfId="961" priority="785" operator="greaterThan">
      <formula>1</formula>
    </cfRule>
    <cfRule type="cellIs" dxfId="960" priority="786" operator="lessThan">
      <formula>0.8</formula>
    </cfRule>
  </conditionalFormatting>
  <conditionalFormatting sqref="P148:P156">
    <cfRule type="cellIs" dxfId="959" priority="784" operator="greaterThan">
      <formula>0</formula>
    </cfRule>
  </conditionalFormatting>
  <conditionalFormatting sqref="Q148:Q156">
    <cfRule type="cellIs" dxfId="958" priority="789" operator="lessThan">
      <formula>0</formula>
    </cfRule>
  </conditionalFormatting>
  <conditionalFormatting sqref="R148:R156">
    <cfRule type="cellIs" dxfId="957" priority="781" operator="lessThan">
      <formula>0.8</formula>
    </cfRule>
    <cfRule type="cellIs" dxfId="956" priority="782" operator="greaterThan">
      <formula>1</formula>
    </cfRule>
  </conditionalFormatting>
  <conditionalFormatting sqref="R148:R156">
    <cfRule type="cellIs" dxfId="955" priority="779" operator="greaterThan">
      <formula>1</formula>
    </cfRule>
    <cfRule type="cellIs" dxfId="954" priority="780" operator="lessThan">
      <formula>0.8</formula>
    </cfRule>
  </conditionalFormatting>
  <conditionalFormatting sqref="P148:P156">
    <cfRule type="cellIs" dxfId="953" priority="778" operator="greaterThan">
      <formula>0</formula>
    </cfRule>
  </conditionalFormatting>
  <conditionalFormatting sqref="Q148:Q156">
    <cfRule type="cellIs" dxfId="952" priority="783" operator="lessThan">
      <formula>0</formula>
    </cfRule>
  </conditionalFormatting>
  <conditionalFormatting sqref="Q148:Q156">
    <cfRule type="cellIs" dxfId="951" priority="777" operator="lessThan">
      <formula>0</formula>
    </cfRule>
  </conditionalFormatting>
  <conditionalFormatting sqref="R148:R156">
    <cfRule type="cellIs" dxfId="950" priority="775" operator="lessThan">
      <formula>0.8</formula>
    </cfRule>
    <cfRule type="cellIs" dxfId="949" priority="776" operator="greaterThan">
      <formula>1</formula>
    </cfRule>
  </conditionalFormatting>
  <conditionalFormatting sqref="R148:R156">
    <cfRule type="cellIs" dxfId="948" priority="773" operator="greaterThan">
      <formula>1</formula>
    </cfRule>
    <cfRule type="cellIs" dxfId="947" priority="774" operator="lessThan">
      <formula>0.8</formula>
    </cfRule>
  </conditionalFormatting>
  <conditionalFormatting sqref="P148:P156">
    <cfRule type="cellIs" dxfId="946" priority="772" operator="greaterThan">
      <formula>0</formula>
    </cfRule>
  </conditionalFormatting>
  <conditionalFormatting sqref="Q148:Q156">
    <cfRule type="cellIs" dxfId="945" priority="766" operator="lessThan">
      <formula>0</formula>
    </cfRule>
  </conditionalFormatting>
  <conditionalFormatting sqref="R148:R156">
    <cfRule type="cellIs" dxfId="944" priority="770" operator="lessThan">
      <formula>0.8</formula>
    </cfRule>
    <cfRule type="cellIs" dxfId="943" priority="771" operator="greaterThan">
      <formula>1</formula>
    </cfRule>
  </conditionalFormatting>
  <conditionalFormatting sqref="R148:R156">
    <cfRule type="cellIs" dxfId="942" priority="768" operator="greaterThan">
      <formula>1</formula>
    </cfRule>
    <cfRule type="cellIs" dxfId="941" priority="769" operator="lessThan">
      <formula>0.8</formula>
    </cfRule>
  </conditionalFormatting>
  <conditionalFormatting sqref="P148:P156">
    <cfRule type="cellIs" dxfId="940" priority="767" operator="greaterThan">
      <formula>0</formula>
    </cfRule>
  </conditionalFormatting>
  <conditionalFormatting sqref="Q148:Q156">
    <cfRule type="cellIs" dxfId="939" priority="765" operator="lessThan">
      <formula>0</formula>
    </cfRule>
  </conditionalFormatting>
  <conditionalFormatting sqref="R148:R156">
    <cfRule type="cellIs" dxfId="938" priority="763" operator="lessThan">
      <formula>0.8</formula>
    </cfRule>
    <cfRule type="cellIs" dxfId="937" priority="764" operator="greaterThan">
      <formula>1</formula>
    </cfRule>
  </conditionalFormatting>
  <conditionalFormatting sqref="R148:R156">
    <cfRule type="cellIs" dxfId="936" priority="761" operator="greaterThan">
      <formula>1</formula>
    </cfRule>
    <cfRule type="cellIs" dxfId="935" priority="762" operator="lessThan">
      <formula>0.8</formula>
    </cfRule>
  </conditionalFormatting>
  <conditionalFormatting sqref="P148:P156">
    <cfRule type="cellIs" dxfId="934" priority="760" operator="greaterThan">
      <formula>0</formula>
    </cfRule>
  </conditionalFormatting>
  <conditionalFormatting sqref="Q148:Q156">
    <cfRule type="cellIs" dxfId="933" priority="759" operator="lessThan">
      <formula>0</formula>
    </cfRule>
  </conditionalFormatting>
  <conditionalFormatting sqref="R148:R156">
    <cfRule type="cellIs" dxfId="932" priority="757" operator="lessThan">
      <formula>0.8</formula>
    </cfRule>
    <cfRule type="cellIs" dxfId="931" priority="758" operator="greaterThan">
      <formula>1</formula>
    </cfRule>
  </conditionalFormatting>
  <conditionalFormatting sqref="R148:R156">
    <cfRule type="cellIs" dxfId="930" priority="755" operator="greaterThan">
      <formula>1</formula>
    </cfRule>
    <cfRule type="cellIs" dxfId="929" priority="756" operator="lessThan">
      <formula>0.8</formula>
    </cfRule>
  </conditionalFormatting>
  <conditionalFormatting sqref="P148:P156">
    <cfRule type="cellIs" dxfId="928" priority="754" operator="greaterThan">
      <formula>0</formula>
    </cfRule>
  </conditionalFormatting>
  <conditionalFormatting sqref="Q148:Q156">
    <cfRule type="cellIs" dxfId="927" priority="753" operator="lessThan">
      <formula>0</formula>
    </cfRule>
  </conditionalFormatting>
  <conditionalFormatting sqref="R148:R156">
    <cfRule type="cellIs" dxfId="926" priority="751" operator="lessThan">
      <formula>0.8</formula>
    </cfRule>
    <cfRule type="cellIs" dxfId="925" priority="752" operator="greaterThan">
      <formula>1</formula>
    </cfRule>
  </conditionalFormatting>
  <conditionalFormatting sqref="R148:R156">
    <cfRule type="cellIs" dxfId="924" priority="749" operator="greaterThan">
      <formula>1</formula>
    </cfRule>
    <cfRule type="cellIs" dxfId="923" priority="750" operator="lessThan">
      <formula>0.8</formula>
    </cfRule>
  </conditionalFormatting>
  <conditionalFormatting sqref="P148:P156">
    <cfRule type="cellIs" dxfId="922" priority="748" operator="greaterThan">
      <formula>0</formula>
    </cfRule>
  </conditionalFormatting>
  <conditionalFormatting sqref="Q148:Q156">
    <cfRule type="cellIs" dxfId="921" priority="747" operator="lessThan">
      <formula>0</formula>
    </cfRule>
  </conditionalFormatting>
  <conditionalFormatting sqref="R148:R156">
    <cfRule type="cellIs" dxfId="920" priority="745" operator="lessThan">
      <formula>0.8</formula>
    </cfRule>
    <cfRule type="cellIs" dxfId="919" priority="746" operator="greaterThan">
      <formula>1</formula>
    </cfRule>
  </conditionalFormatting>
  <conditionalFormatting sqref="R148:R156">
    <cfRule type="cellIs" dxfId="918" priority="743" operator="greaterThan">
      <formula>1</formula>
    </cfRule>
    <cfRule type="cellIs" dxfId="917" priority="744" operator="lessThan">
      <formula>0.8</formula>
    </cfRule>
  </conditionalFormatting>
  <conditionalFormatting sqref="P148:P156">
    <cfRule type="cellIs" dxfId="916" priority="742" operator="greaterThan">
      <formula>0</formula>
    </cfRule>
  </conditionalFormatting>
  <conditionalFormatting sqref="Q148:Q156">
    <cfRule type="cellIs" dxfId="915" priority="741" operator="lessThan">
      <formula>0</formula>
    </cfRule>
  </conditionalFormatting>
  <conditionalFormatting sqref="R148:R156">
    <cfRule type="cellIs" dxfId="914" priority="739" operator="lessThan">
      <formula>0.8</formula>
    </cfRule>
    <cfRule type="cellIs" dxfId="913" priority="740" operator="greaterThan">
      <formula>1</formula>
    </cfRule>
  </conditionalFormatting>
  <conditionalFormatting sqref="R148:R156">
    <cfRule type="cellIs" dxfId="912" priority="737" operator="greaterThan">
      <formula>1</formula>
    </cfRule>
    <cfRule type="cellIs" dxfId="911" priority="738" operator="lessThan">
      <formula>0.8</formula>
    </cfRule>
  </conditionalFormatting>
  <conditionalFormatting sqref="P148:P156">
    <cfRule type="cellIs" dxfId="910" priority="736" operator="greaterThan">
      <formula>0</formula>
    </cfRule>
  </conditionalFormatting>
  <conditionalFormatting sqref="P148:P156">
    <cfRule type="cellIs" dxfId="909" priority="730" operator="greaterThan">
      <formula>0</formula>
    </cfRule>
  </conditionalFormatting>
  <conditionalFormatting sqref="Q148:Q156">
    <cfRule type="cellIs" dxfId="908" priority="735" operator="lessThan">
      <formula>0</formula>
    </cfRule>
  </conditionalFormatting>
  <conditionalFormatting sqref="R148:R156">
    <cfRule type="cellIs" dxfId="907" priority="733" operator="lessThan">
      <formula>0.8</formula>
    </cfRule>
    <cfRule type="cellIs" dxfId="906" priority="734" operator="greaterThan">
      <formula>1</formula>
    </cfRule>
  </conditionalFormatting>
  <conditionalFormatting sqref="R148:R156">
    <cfRule type="cellIs" dxfId="905" priority="731" operator="greaterThan">
      <formula>1</formula>
    </cfRule>
    <cfRule type="cellIs" dxfId="904" priority="732" operator="lessThan">
      <formula>0.8</formula>
    </cfRule>
  </conditionalFormatting>
  <conditionalFormatting sqref="P148:P156">
    <cfRule type="cellIs" dxfId="903" priority="724" operator="greaterThan">
      <formula>0</formula>
    </cfRule>
  </conditionalFormatting>
  <conditionalFormatting sqref="Q148:Q156">
    <cfRule type="cellIs" dxfId="902" priority="729" operator="lessThan">
      <formula>0</formula>
    </cfRule>
  </conditionalFormatting>
  <conditionalFormatting sqref="R148:R156">
    <cfRule type="cellIs" dxfId="901" priority="727" operator="lessThan">
      <formula>0.8</formula>
    </cfRule>
    <cfRule type="cellIs" dxfId="900" priority="728" operator="greaterThan">
      <formula>1</formula>
    </cfRule>
  </conditionalFormatting>
  <conditionalFormatting sqref="R148:R156">
    <cfRule type="cellIs" dxfId="899" priority="725" operator="greaterThan">
      <formula>1</formula>
    </cfRule>
    <cfRule type="cellIs" dxfId="898" priority="726" operator="lessThan">
      <formula>0.8</formula>
    </cfRule>
  </conditionalFormatting>
  <conditionalFormatting sqref="R148:R156">
    <cfRule type="cellIs" dxfId="897" priority="721" operator="lessThan">
      <formula>0.8</formula>
    </cfRule>
    <cfRule type="cellIs" dxfId="896" priority="722" operator="greaterThan">
      <formula>1</formula>
    </cfRule>
  </conditionalFormatting>
  <conditionalFormatting sqref="R148:R156">
    <cfRule type="cellIs" dxfId="895" priority="719" operator="greaterThan">
      <formula>1</formula>
    </cfRule>
    <cfRule type="cellIs" dxfId="894" priority="720" operator="lessThan">
      <formula>0.8</formula>
    </cfRule>
  </conditionalFormatting>
  <conditionalFormatting sqref="P148:P156">
    <cfRule type="cellIs" dxfId="893" priority="718" operator="greaterThan">
      <formula>0</formula>
    </cfRule>
  </conditionalFormatting>
  <conditionalFormatting sqref="Q148:Q156">
    <cfRule type="cellIs" dxfId="892" priority="723" operator="lessThan">
      <formula>0</formula>
    </cfRule>
  </conditionalFormatting>
  <conditionalFormatting sqref="P44:P52">
    <cfRule type="cellIs" dxfId="891" priority="712" operator="greaterThan">
      <formula>0</formula>
    </cfRule>
  </conditionalFormatting>
  <conditionalFormatting sqref="Q44:Q52">
    <cfRule type="cellIs" dxfId="890" priority="717" operator="lessThan">
      <formula>0</formula>
    </cfRule>
  </conditionalFormatting>
  <conditionalFormatting sqref="R44:R52">
    <cfRule type="cellIs" dxfId="889" priority="715" operator="lessThan">
      <formula>0.8</formula>
    </cfRule>
    <cfRule type="cellIs" dxfId="888" priority="716" operator="greaterThan">
      <formula>1</formula>
    </cfRule>
  </conditionalFormatting>
  <conditionalFormatting sqref="R44:R52">
    <cfRule type="cellIs" dxfId="887" priority="713" operator="greaterThan">
      <formula>1</formula>
    </cfRule>
    <cfRule type="cellIs" dxfId="886" priority="714" operator="lessThan">
      <formula>0.8</formula>
    </cfRule>
  </conditionalFormatting>
  <conditionalFormatting sqref="Q84:Q91">
    <cfRule type="cellIs" dxfId="885" priority="711" operator="lessThan">
      <formula>0</formula>
    </cfRule>
  </conditionalFormatting>
  <conditionalFormatting sqref="R84:R91">
    <cfRule type="cellIs" dxfId="884" priority="709" operator="lessThan">
      <formula>0.8</formula>
    </cfRule>
    <cfRule type="cellIs" dxfId="883" priority="710" operator="greaterThan">
      <formula>1</formula>
    </cfRule>
  </conditionalFormatting>
  <conditionalFormatting sqref="R84:R91">
    <cfRule type="cellIs" dxfId="882" priority="707" operator="greaterThan">
      <formula>1</formula>
    </cfRule>
    <cfRule type="cellIs" dxfId="881" priority="708" operator="lessThan">
      <formula>0.8</formula>
    </cfRule>
  </conditionalFormatting>
  <conditionalFormatting sqref="P84:P91">
    <cfRule type="cellIs" dxfId="880" priority="706" operator="greaterThan">
      <formula>0</formula>
    </cfRule>
  </conditionalFormatting>
  <conditionalFormatting sqref="Q84:Q91">
    <cfRule type="cellIs" dxfId="879" priority="705" operator="lessThan">
      <formula>0</formula>
    </cfRule>
  </conditionalFormatting>
  <conditionalFormatting sqref="R84:R91">
    <cfRule type="cellIs" dxfId="878" priority="703" operator="lessThan">
      <formula>0.8</formula>
    </cfRule>
    <cfRule type="cellIs" dxfId="877" priority="704" operator="greaterThan">
      <formula>1</formula>
    </cfRule>
  </conditionalFormatting>
  <conditionalFormatting sqref="R84:R91">
    <cfRule type="cellIs" dxfId="876" priority="701" operator="greaterThan">
      <formula>1</formula>
    </cfRule>
    <cfRule type="cellIs" dxfId="875" priority="702" operator="lessThan">
      <formula>0.8</formula>
    </cfRule>
  </conditionalFormatting>
  <conditionalFormatting sqref="P84:P91">
    <cfRule type="cellIs" dxfId="874" priority="700" operator="greaterThan">
      <formula>0</formula>
    </cfRule>
  </conditionalFormatting>
  <conditionalFormatting sqref="Q84:Q91">
    <cfRule type="cellIs" dxfId="873" priority="699" operator="lessThan">
      <formula>0</formula>
    </cfRule>
  </conditionalFormatting>
  <conditionalFormatting sqref="R84:R91">
    <cfRule type="cellIs" dxfId="872" priority="697" operator="lessThan">
      <formula>0.8</formula>
    </cfRule>
    <cfRule type="cellIs" dxfId="871" priority="698" operator="greaterThan">
      <formula>1</formula>
    </cfRule>
  </conditionalFormatting>
  <conditionalFormatting sqref="R84:R91">
    <cfRule type="cellIs" dxfId="870" priority="695" operator="greaterThan">
      <formula>1</formula>
    </cfRule>
    <cfRule type="cellIs" dxfId="869" priority="696" operator="lessThan">
      <formula>0.8</formula>
    </cfRule>
  </conditionalFormatting>
  <conditionalFormatting sqref="P84:P91">
    <cfRule type="cellIs" dxfId="868" priority="694" operator="greaterThan">
      <formula>0</formula>
    </cfRule>
  </conditionalFormatting>
  <conditionalFormatting sqref="Q84:Q91">
    <cfRule type="cellIs" dxfId="867" priority="693" operator="lessThan">
      <formula>0</formula>
    </cfRule>
  </conditionalFormatting>
  <conditionalFormatting sqref="R84:R91">
    <cfRule type="cellIs" dxfId="866" priority="691" operator="lessThan">
      <formula>0.8</formula>
    </cfRule>
    <cfRule type="cellIs" dxfId="865" priority="692" operator="greaterThan">
      <formula>1</formula>
    </cfRule>
  </conditionalFormatting>
  <conditionalFormatting sqref="R84:R91">
    <cfRule type="cellIs" dxfId="864" priority="689" operator="greaterThan">
      <formula>1</formula>
    </cfRule>
    <cfRule type="cellIs" dxfId="863" priority="690" operator="lessThan">
      <formula>0.8</formula>
    </cfRule>
  </conditionalFormatting>
  <conditionalFormatting sqref="P84:P91">
    <cfRule type="cellIs" dxfId="862" priority="688" operator="greaterThan">
      <formula>0</formula>
    </cfRule>
  </conditionalFormatting>
  <conditionalFormatting sqref="P84:P91">
    <cfRule type="cellIs" dxfId="861" priority="682" operator="greaterThan">
      <formula>0</formula>
    </cfRule>
  </conditionalFormatting>
  <conditionalFormatting sqref="Q84:Q91">
    <cfRule type="cellIs" dxfId="860" priority="687" operator="lessThan">
      <formula>0</formula>
    </cfRule>
  </conditionalFormatting>
  <conditionalFormatting sqref="R84:R91">
    <cfRule type="cellIs" dxfId="859" priority="685" operator="lessThan">
      <formula>0.8</formula>
    </cfRule>
    <cfRule type="cellIs" dxfId="858" priority="686" operator="greaterThan">
      <formula>1</formula>
    </cfRule>
  </conditionalFormatting>
  <conditionalFormatting sqref="R84:R91">
    <cfRule type="cellIs" dxfId="857" priority="683" operator="greaterThan">
      <formula>1</formula>
    </cfRule>
    <cfRule type="cellIs" dxfId="856" priority="684" operator="lessThan">
      <formula>0.8</formula>
    </cfRule>
  </conditionalFormatting>
  <conditionalFormatting sqref="P84:P91">
    <cfRule type="cellIs" dxfId="855" priority="676" operator="greaterThan">
      <formula>0</formula>
    </cfRule>
  </conditionalFormatting>
  <conditionalFormatting sqref="Q84:Q91">
    <cfRule type="cellIs" dxfId="854" priority="681" operator="lessThan">
      <formula>0</formula>
    </cfRule>
  </conditionalFormatting>
  <conditionalFormatting sqref="R84:R91">
    <cfRule type="cellIs" dxfId="853" priority="679" operator="lessThan">
      <formula>0.8</formula>
    </cfRule>
    <cfRule type="cellIs" dxfId="852" priority="680" operator="greaterThan">
      <formula>1</formula>
    </cfRule>
  </conditionalFormatting>
  <conditionalFormatting sqref="R84:R91">
    <cfRule type="cellIs" dxfId="851" priority="677" operator="greaterThan">
      <formula>1</formula>
    </cfRule>
    <cfRule type="cellIs" dxfId="850" priority="678" operator="lessThan">
      <formula>0.8</formula>
    </cfRule>
  </conditionalFormatting>
  <conditionalFormatting sqref="R84:R91">
    <cfRule type="cellIs" dxfId="849" priority="673" operator="lessThan">
      <formula>0.8</formula>
    </cfRule>
    <cfRule type="cellIs" dxfId="848" priority="674" operator="greaterThan">
      <formula>1</formula>
    </cfRule>
  </conditionalFormatting>
  <conditionalFormatting sqref="R84:R91">
    <cfRule type="cellIs" dxfId="847" priority="671" operator="greaterThan">
      <formula>1</formula>
    </cfRule>
    <cfRule type="cellIs" dxfId="846" priority="672" operator="lessThan">
      <formula>0.8</formula>
    </cfRule>
  </conditionalFormatting>
  <conditionalFormatting sqref="P84:P91">
    <cfRule type="cellIs" dxfId="845" priority="670" operator="greaterThan">
      <formula>0</formula>
    </cfRule>
  </conditionalFormatting>
  <conditionalFormatting sqref="Q84:Q91">
    <cfRule type="cellIs" dxfId="844" priority="675" operator="lessThan">
      <formula>0</formula>
    </cfRule>
  </conditionalFormatting>
  <conditionalFormatting sqref="Q84:Q91">
    <cfRule type="cellIs" dxfId="843" priority="669" operator="lessThan">
      <formula>0</formula>
    </cfRule>
  </conditionalFormatting>
  <conditionalFormatting sqref="R84:R91">
    <cfRule type="cellIs" dxfId="842" priority="667" operator="lessThan">
      <formula>0.8</formula>
    </cfRule>
    <cfRule type="cellIs" dxfId="841" priority="668" operator="greaterThan">
      <formula>1</formula>
    </cfRule>
  </conditionalFormatting>
  <conditionalFormatting sqref="R84:R91">
    <cfRule type="cellIs" dxfId="840" priority="665" operator="greaterThan">
      <formula>1</formula>
    </cfRule>
    <cfRule type="cellIs" dxfId="839" priority="666" operator="lessThan">
      <formula>0.8</formula>
    </cfRule>
  </conditionalFormatting>
  <conditionalFormatting sqref="P84:P91">
    <cfRule type="cellIs" dxfId="838" priority="664" operator="greaterThan">
      <formula>0</formula>
    </cfRule>
  </conditionalFormatting>
  <conditionalFormatting sqref="P84:P91">
    <cfRule type="cellIs" dxfId="837" priority="658" operator="greaterThan">
      <formula>0</formula>
    </cfRule>
  </conditionalFormatting>
  <conditionalFormatting sqref="Q84:Q91">
    <cfRule type="cellIs" dxfId="836" priority="663" operator="lessThan">
      <formula>0</formula>
    </cfRule>
  </conditionalFormatting>
  <conditionalFormatting sqref="R84:R91">
    <cfRule type="cellIs" dxfId="835" priority="661" operator="lessThan">
      <formula>0.8</formula>
    </cfRule>
    <cfRule type="cellIs" dxfId="834" priority="662" operator="greaterThan">
      <formula>1</formula>
    </cfRule>
  </conditionalFormatting>
  <conditionalFormatting sqref="R84:R91">
    <cfRule type="cellIs" dxfId="833" priority="659" operator="greaterThan">
      <formula>1</formula>
    </cfRule>
    <cfRule type="cellIs" dxfId="832" priority="660" operator="lessThan">
      <formula>0.8</formula>
    </cfRule>
  </conditionalFormatting>
  <conditionalFormatting sqref="P84:P91">
    <cfRule type="cellIs" dxfId="831" priority="652" operator="greaterThan">
      <formula>0</formula>
    </cfRule>
  </conditionalFormatting>
  <conditionalFormatting sqref="Q84:Q91">
    <cfRule type="cellIs" dxfId="830" priority="657" operator="lessThan">
      <formula>0</formula>
    </cfRule>
  </conditionalFormatting>
  <conditionalFormatting sqref="R84:R91">
    <cfRule type="cellIs" dxfId="829" priority="655" operator="lessThan">
      <formula>0.8</formula>
    </cfRule>
    <cfRule type="cellIs" dxfId="828" priority="656" operator="greaterThan">
      <formula>1</formula>
    </cfRule>
  </conditionalFormatting>
  <conditionalFormatting sqref="R84:R91">
    <cfRule type="cellIs" dxfId="827" priority="653" operator="greaterThan">
      <formula>1</formula>
    </cfRule>
    <cfRule type="cellIs" dxfId="826" priority="654" operator="lessThan">
      <formula>0.8</formula>
    </cfRule>
  </conditionalFormatting>
  <conditionalFormatting sqref="R84:R91">
    <cfRule type="cellIs" dxfId="825" priority="649" operator="lessThan">
      <formula>0.8</formula>
    </cfRule>
    <cfRule type="cellIs" dxfId="824" priority="650" operator="greaterThan">
      <formula>1</formula>
    </cfRule>
  </conditionalFormatting>
  <conditionalFormatting sqref="R84:R91">
    <cfRule type="cellIs" dxfId="823" priority="647" operator="greaterThan">
      <formula>1</formula>
    </cfRule>
    <cfRule type="cellIs" dxfId="822" priority="648" operator="lessThan">
      <formula>0.8</formula>
    </cfRule>
  </conditionalFormatting>
  <conditionalFormatting sqref="P84:P91">
    <cfRule type="cellIs" dxfId="821" priority="646" operator="greaterThan">
      <formula>0</formula>
    </cfRule>
  </conditionalFormatting>
  <conditionalFormatting sqref="Q84:Q91">
    <cfRule type="cellIs" dxfId="820" priority="651" operator="lessThan">
      <formula>0</formula>
    </cfRule>
  </conditionalFormatting>
  <conditionalFormatting sqref="P84:P91">
    <cfRule type="cellIs" dxfId="819" priority="640" operator="greaterThan">
      <formula>0</formula>
    </cfRule>
  </conditionalFormatting>
  <conditionalFormatting sqref="Q84:Q91">
    <cfRule type="cellIs" dxfId="818" priority="645" operator="lessThan">
      <formula>0</formula>
    </cfRule>
  </conditionalFormatting>
  <conditionalFormatting sqref="R84:R91">
    <cfRule type="cellIs" dxfId="817" priority="643" operator="lessThan">
      <formula>0.8</formula>
    </cfRule>
    <cfRule type="cellIs" dxfId="816" priority="644" operator="greaterThan">
      <formula>1</formula>
    </cfRule>
  </conditionalFormatting>
  <conditionalFormatting sqref="R84:R91">
    <cfRule type="cellIs" dxfId="815" priority="641" operator="greaterThan">
      <formula>1</formula>
    </cfRule>
    <cfRule type="cellIs" dxfId="814" priority="642" operator="lessThan">
      <formula>0.8</formula>
    </cfRule>
  </conditionalFormatting>
  <conditionalFormatting sqref="R84:R91">
    <cfRule type="cellIs" dxfId="813" priority="637" operator="lessThan">
      <formula>0.8</formula>
    </cfRule>
    <cfRule type="cellIs" dxfId="812" priority="638" operator="greaterThan">
      <formula>1</formula>
    </cfRule>
  </conditionalFormatting>
  <conditionalFormatting sqref="R84:R91">
    <cfRule type="cellIs" dxfId="811" priority="635" operator="greaterThan">
      <formula>1</formula>
    </cfRule>
    <cfRule type="cellIs" dxfId="810" priority="636" operator="lessThan">
      <formula>0.8</formula>
    </cfRule>
  </conditionalFormatting>
  <conditionalFormatting sqref="P84:P91">
    <cfRule type="cellIs" dxfId="809" priority="634" operator="greaterThan">
      <formula>0</formula>
    </cfRule>
  </conditionalFormatting>
  <conditionalFormatting sqref="Q84:Q91">
    <cfRule type="cellIs" dxfId="808" priority="639" operator="lessThan">
      <formula>0</formula>
    </cfRule>
  </conditionalFormatting>
  <conditionalFormatting sqref="R84:R91">
    <cfRule type="cellIs" dxfId="807" priority="631" operator="lessThan">
      <formula>0.8</formula>
    </cfRule>
    <cfRule type="cellIs" dxfId="806" priority="632" operator="greaterThan">
      <formula>1</formula>
    </cfRule>
  </conditionalFormatting>
  <conditionalFormatting sqref="R84:R91">
    <cfRule type="cellIs" dxfId="805" priority="629" operator="greaterThan">
      <formula>1</formula>
    </cfRule>
    <cfRule type="cellIs" dxfId="804" priority="630" operator="lessThan">
      <formula>0.8</formula>
    </cfRule>
  </conditionalFormatting>
  <conditionalFormatting sqref="P84:P91">
    <cfRule type="cellIs" dxfId="803" priority="628" operator="greaterThan">
      <formula>0</formula>
    </cfRule>
  </conditionalFormatting>
  <conditionalFormatting sqref="Q84:Q91">
    <cfRule type="cellIs" dxfId="802" priority="633" operator="lessThan">
      <formula>0</formula>
    </cfRule>
  </conditionalFormatting>
  <conditionalFormatting sqref="Q84:Q91">
    <cfRule type="cellIs" dxfId="801" priority="627" operator="lessThan">
      <formula>0</formula>
    </cfRule>
  </conditionalFormatting>
  <conditionalFormatting sqref="R84:R91">
    <cfRule type="cellIs" dxfId="800" priority="625" operator="lessThan">
      <formula>0.8</formula>
    </cfRule>
    <cfRule type="cellIs" dxfId="799" priority="626" operator="greaterThan">
      <formula>1</formula>
    </cfRule>
  </conditionalFormatting>
  <conditionalFormatting sqref="R84:R91">
    <cfRule type="cellIs" dxfId="798" priority="623" operator="greaterThan">
      <formula>1</formula>
    </cfRule>
    <cfRule type="cellIs" dxfId="797" priority="624" operator="lessThan">
      <formula>0.8</formula>
    </cfRule>
  </conditionalFormatting>
  <conditionalFormatting sqref="P84:P91">
    <cfRule type="cellIs" dxfId="796" priority="622" operator="greaterThan">
      <formula>0</formula>
    </cfRule>
  </conditionalFormatting>
  <conditionalFormatting sqref="Q84:Q91">
    <cfRule type="cellIs" dxfId="795" priority="616" operator="lessThan">
      <formula>0</formula>
    </cfRule>
  </conditionalFormatting>
  <conditionalFormatting sqref="R84:R91">
    <cfRule type="cellIs" dxfId="794" priority="620" operator="lessThan">
      <formula>0.8</formula>
    </cfRule>
    <cfRule type="cellIs" dxfId="793" priority="621" operator="greaterThan">
      <formula>1</formula>
    </cfRule>
  </conditionalFormatting>
  <conditionalFormatting sqref="R84:R91">
    <cfRule type="cellIs" dxfId="792" priority="618" operator="greaterThan">
      <formula>1</formula>
    </cfRule>
    <cfRule type="cellIs" dxfId="791" priority="619" operator="lessThan">
      <formula>0.8</formula>
    </cfRule>
  </conditionalFormatting>
  <conditionalFormatting sqref="P84:P91">
    <cfRule type="cellIs" dxfId="790" priority="617" operator="greaterThan">
      <formula>0</formula>
    </cfRule>
  </conditionalFormatting>
  <conditionalFormatting sqref="Q84:Q91">
    <cfRule type="cellIs" dxfId="789" priority="615" operator="lessThan">
      <formula>0</formula>
    </cfRule>
  </conditionalFormatting>
  <conditionalFormatting sqref="R84:R91">
    <cfRule type="cellIs" dxfId="788" priority="613" operator="lessThan">
      <formula>0.8</formula>
    </cfRule>
    <cfRule type="cellIs" dxfId="787" priority="614" operator="greaterThan">
      <formula>1</formula>
    </cfRule>
  </conditionalFormatting>
  <conditionalFormatting sqref="R84:R91">
    <cfRule type="cellIs" dxfId="786" priority="611" operator="greaterThan">
      <formula>1</formula>
    </cfRule>
    <cfRule type="cellIs" dxfId="785" priority="612" operator="lessThan">
      <formula>0.8</formula>
    </cfRule>
  </conditionalFormatting>
  <conditionalFormatting sqref="P84:P91">
    <cfRule type="cellIs" dxfId="784" priority="610" operator="greaterThan">
      <formula>0</formula>
    </cfRule>
  </conditionalFormatting>
  <conditionalFormatting sqref="Q84:Q91">
    <cfRule type="cellIs" dxfId="783" priority="609" operator="lessThan">
      <formula>0</formula>
    </cfRule>
  </conditionalFormatting>
  <conditionalFormatting sqref="R84:R91">
    <cfRule type="cellIs" dxfId="782" priority="607" operator="lessThan">
      <formula>0.8</formula>
    </cfRule>
    <cfRule type="cellIs" dxfId="781" priority="608" operator="greaterThan">
      <formula>1</formula>
    </cfRule>
  </conditionalFormatting>
  <conditionalFormatting sqref="R84:R91">
    <cfRule type="cellIs" dxfId="780" priority="605" operator="greaterThan">
      <formula>1</formula>
    </cfRule>
    <cfRule type="cellIs" dxfId="779" priority="606" operator="lessThan">
      <formula>0.8</formula>
    </cfRule>
  </conditionalFormatting>
  <conditionalFormatting sqref="P84:P91">
    <cfRule type="cellIs" dxfId="778" priority="604" operator="greaterThan">
      <formula>0</formula>
    </cfRule>
  </conditionalFormatting>
  <conditionalFormatting sqref="Q84:Q91">
    <cfRule type="cellIs" dxfId="777" priority="603" operator="lessThan">
      <formula>0</formula>
    </cfRule>
  </conditionalFormatting>
  <conditionalFormatting sqref="R84:R91">
    <cfRule type="cellIs" dxfId="776" priority="601" operator="lessThan">
      <formula>0.8</formula>
    </cfRule>
    <cfRule type="cellIs" dxfId="775" priority="602" operator="greaterThan">
      <formula>1</formula>
    </cfRule>
  </conditionalFormatting>
  <conditionalFormatting sqref="R84:R91">
    <cfRule type="cellIs" dxfId="774" priority="599" operator="greaterThan">
      <formula>1</formula>
    </cfRule>
    <cfRule type="cellIs" dxfId="773" priority="600" operator="lessThan">
      <formula>0.8</formula>
    </cfRule>
  </conditionalFormatting>
  <conditionalFormatting sqref="P84:P91">
    <cfRule type="cellIs" dxfId="772" priority="598" operator="greaterThan">
      <formula>0</formula>
    </cfRule>
  </conditionalFormatting>
  <conditionalFormatting sqref="Q84:Q91">
    <cfRule type="cellIs" dxfId="771" priority="597" operator="lessThan">
      <formula>0</formula>
    </cfRule>
  </conditionalFormatting>
  <conditionalFormatting sqref="R84:R91">
    <cfRule type="cellIs" dxfId="770" priority="595" operator="lessThan">
      <formula>0.8</formula>
    </cfRule>
    <cfRule type="cellIs" dxfId="769" priority="596" operator="greaterThan">
      <formula>1</formula>
    </cfRule>
  </conditionalFormatting>
  <conditionalFormatting sqref="R84:R91">
    <cfRule type="cellIs" dxfId="768" priority="593" operator="greaterThan">
      <formula>1</formula>
    </cfRule>
    <cfRule type="cellIs" dxfId="767" priority="594" operator="lessThan">
      <formula>0.8</formula>
    </cfRule>
  </conditionalFormatting>
  <conditionalFormatting sqref="P84:P91">
    <cfRule type="cellIs" dxfId="766" priority="592" operator="greaterThan">
      <formula>0</formula>
    </cfRule>
  </conditionalFormatting>
  <conditionalFormatting sqref="Q84:Q91">
    <cfRule type="cellIs" dxfId="765" priority="591" operator="lessThan">
      <formula>0</formula>
    </cfRule>
  </conditionalFormatting>
  <conditionalFormatting sqref="R84:R91">
    <cfRule type="cellIs" dxfId="764" priority="589" operator="lessThan">
      <formula>0.8</formula>
    </cfRule>
    <cfRule type="cellIs" dxfId="763" priority="590" operator="greaterThan">
      <formula>1</formula>
    </cfRule>
  </conditionalFormatting>
  <conditionalFormatting sqref="R84:R91">
    <cfRule type="cellIs" dxfId="762" priority="587" operator="greaterThan">
      <formula>1</formula>
    </cfRule>
    <cfRule type="cellIs" dxfId="761" priority="588" operator="lessThan">
      <formula>0.8</formula>
    </cfRule>
  </conditionalFormatting>
  <conditionalFormatting sqref="P84:P91">
    <cfRule type="cellIs" dxfId="760" priority="586" operator="greaterThan">
      <formula>0</formula>
    </cfRule>
  </conditionalFormatting>
  <conditionalFormatting sqref="P84:P91">
    <cfRule type="cellIs" dxfId="759" priority="580" operator="greaterThan">
      <formula>0</formula>
    </cfRule>
  </conditionalFormatting>
  <conditionalFormatting sqref="Q84:Q91">
    <cfRule type="cellIs" dxfId="758" priority="585" operator="lessThan">
      <formula>0</formula>
    </cfRule>
  </conditionalFormatting>
  <conditionalFormatting sqref="R84:R91">
    <cfRule type="cellIs" dxfId="757" priority="583" operator="lessThan">
      <formula>0.8</formula>
    </cfRule>
    <cfRule type="cellIs" dxfId="756" priority="584" operator="greaterThan">
      <formula>1</formula>
    </cfRule>
  </conditionalFormatting>
  <conditionalFormatting sqref="R84:R91">
    <cfRule type="cellIs" dxfId="755" priority="581" operator="greaterThan">
      <formula>1</formula>
    </cfRule>
    <cfRule type="cellIs" dxfId="754" priority="582" operator="lessThan">
      <formula>0.8</formula>
    </cfRule>
  </conditionalFormatting>
  <conditionalFormatting sqref="P84:P91">
    <cfRule type="cellIs" dxfId="753" priority="574" operator="greaterThan">
      <formula>0</formula>
    </cfRule>
  </conditionalFormatting>
  <conditionalFormatting sqref="Q84:Q91">
    <cfRule type="cellIs" dxfId="752" priority="579" operator="lessThan">
      <formula>0</formula>
    </cfRule>
  </conditionalFormatting>
  <conditionalFormatting sqref="R84:R91">
    <cfRule type="cellIs" dxfId="751" priority="577" operator="lessThan">
      <formula>0.8</formula>
    </cfRule>
    <cfRule type="cellIs" dxfId="750" priority="578" operator="greaterThan">
      <formula>1</formula>
    </cfRule>
  </conditionalFormatting>
  <conditionalFormatting sqref="R84:R91">
    <cfRule type="cellIs" dxfId="749" priority="575" operator="greaterThan">
      <formula>1</formula>
    </cfRule>
    <cfRule type="cellIs" dxfId="748" priority="576" operator="lessThan">
      <formula>0.8</formula>
    </cfRule>
  </conditionalFormatting>
  <conditionalFormatting sqref="R84:R91">
    <cfRule type="cellIs" dxfId="747" priority="571" operator="lessThan">
      <formula>0.8</formula>
    </cfRule>
    <cfRule type="cellIs" dxfId="746" priority="572" operator="greaterThan">
      <formula>1</formula>
    </cfRule>
  </conditionalFormatting>
  <conditionalFormatting sqref="R84:R91">
    <cfRule type="cellIs" dxfId="745" priority="569" operator="greaterThan">
      <formula>1</formula>
    </cfRule>
    <cfRule type="cellIs" dxfId="744" priority="570" operator="lessThan">
      <formula>0.8</formula>
    </cfRule>
  </conditionalFormatting>
  <conditionalFormatting sqref="P84:P91">
    <cfRule type="cellIs" dxfId="743" priority="568" operator="greaterThan">
      <formula>0</formula>
    </cfRule>
  </conditionalFormatting>
  <conditionalFormatting sqref="Q84:Q91">
    <cfRule type="cellIs" dxfId="742" priority="573" operator="lessThan">
      <formula>0</formula>
    </cfRule>
  </conditionalFormatting>
  <conditionalFormatting sqref="Q84:Q91">
    <cfRule type="cellIs" dxfId="741" priority="567" operator="lessThan">
      <formula>0</formula>
    </cfRule>
  </conditionalFormatting>
  <conditionalFormatting sqref="R84:R91">
    <cfRule type="cellIs" dxfId="740" priority="565" operator="lessThan">
      <formula>0.8</formula>
    </cfRule>
    <cfRule type="cellIs" dxfId="739" priority="566" operator="greaterThan">
      <formula>1</formula>
    </cfRule>
  </conditionalFormatting>
  <conditionalFormatting sqref="R84:R91">
    <cfRule type="cellIs" dxfId="738" priority="563" operator="greaterThan">
      <formula>1</formula>
    </cfRule>
    <cfRule type="cellIs" dxfId="737" priority="564" operator="lessThan">
      <formula>0.8</formula>
    </cfRule>
  </conditionalFormatting>
  <conditionalFormatting sqref="P84:P91">
    <cfRule type="cellIs" dxfId="736" priority="562" operator="greaterThan">
      <formula>0</formula>
    </cfRule>
  </conditionalFormatting>
  <conditionalFormatting sqref="Q84:Q91">
    <cfRule type="cellIs" dxfId="735" priority="561" operator="lessThan">
      <formula>0</formula>
    </cfRule>
  </conditionalFormatting>
  <conditionalFormatting sqref="R84:R91">
    <cfRule type="cellIs" dxfId="734" priority="559" operator="lessThan">
      <formula>0.8</formula>
    </cfRule>
    <cfRule type="cellIs" dxfId="733" priority="560" operator="greaterThan">
      <formula>1</formula>
    </cfRule>
  </conditionalFormatting>
  <conditionalFormatting sqref="R84:R91">
    <cfRule type="cellIs" dxfId="732" priority="557" operator="greaterThan">
      <formula>1</formula>
    </cfRule>
    <cfRule type="cellIs" dxfId="731" priority="558" operator="lessThan">
      <formula>0.8</formula>
    </cfRule>
  </conditionalFormatting>
  <conditionalFormatting sqref="P84:P91">
    <cfRule type="cellIs" dxfId="730" priority="556" operator="greaterThan">
      <formula>0</formula>
    </cfRule>
  </conditionalFormatting>
  <conditionalFormatting sqref="Q84:Q91">
    <cfRule type="cellIs" dxfId="729" priority="555" operator="lessThan">
      <formula>0</formula>
    </cfRule>
  </conditionalFormatting>
  <conditionalFormatting sqref="R84:R91">
    <cfRule type="cellIs" dxfId="728" priority="553" operator="lessThan">
      <formula>0.8</formula>
    </cfRule>
    <cfRule type="cellIs" dxfId="727" priority="554" operator="greaterThan">
      <formula>1</formula>
    </cfRule>
  </conditionalFormatting>
  <conditionalFormatting sqref="R84:R91">
    <cfRule type="cellIs" dxfId="726" priority="551" operator="greaterThan">
      <formula>1</formula>
    </cfRule>
    <cfRule type="cellIs" dxfId="725" priority="552" operator="lessThan">
      <formula>0.8</formula>
    </cfRule>
  </conditionalFormatting>
  <conditionalFormatting sqref="P84:P91">
    <cfRule type="cellIs" dxfId="724" priority="550" operator="greaterThan">
      <formula>0</formula>
    </cfRule>
  </conditionalFormatting>
  <conditionalFormatting sqref="Q84:Q91">
    <cfRule type="cellIs" dxfId="723" priority="549" operator="lessThan">
      <formula>0</formula>
    </cfRule>
  </conditionalFormatting>
  <conditionalFormatting sqref="R84:R91">
    <cfRule type="cellIs" dxfId="722" priority="547" operator="lessThan">
      <formula>0.8</formula>
    </cfRule>
    <cfRule type="cellIs" dxfId="721" priority="548" operator="greaterThan">
      <formula>1</formula>
    </cfRule>
  </conditionalFormatting>
  <conditionalFormatting sqref="R84:R91">
    <cfRule type="cellIs" dxfId="720" priority="545" operator="greaterThan">
      <formula>1</formula>
    </cfRule>
    <cfRule type="cellIs" dxfId="719" priority="546" operator="lessThan">
      <formula>0.8</formula>
    </cfRule>
  </conditionalFormatting>
  <conditionalFormatting sqref="P84:P91">
    <cfRule type="cellIs" dxfId="718" priority="544" operator="greaterThan">
      <formula>0</formula>
    </cfRule>
  </conditionalFormatting>
  <conditionalFormatting sqref="P84:P91">
    <cfRule type="cellIs" dxfId="717" priority="538" operator="greaterThan">
      <formula>0</formula>
    </cfRule>
  </conditionalFormatting>
  <conditionalFormatting sqref="Q84:Q91">
    <cfRule type="cellIs" dxfId="716" priority="543" operator="lessThan">
      <formula>0</formula>
    </cfRule>
  </conditionalFormatting>
  <conditionalFormatting sqref="R84:R91">
    <cfRule type="cellIs" dxfId="715" priority="541" operator="lessThan">
      <formula>0.8</formula>
    </cfRule>
    <cfRule type="cellIs" dxfId="714" priority="542" operator="greaterThan">
      <formula>1</formula>
    </cfRule>
  </conditionalFormatting>
  <conditionalFormatting sqref="R84:R91">
    <cfRule type="cellIs" dxfId="713" priority="539" operator="greaterThan">
      <formula>1</formula>
    </cfRule>
    <cfRule type="cellIs" dxfId="712" priority="540" operator="lessThan">
      <formula>0.8</formula>
    </cfRule>
  </conditionalFormatting>
  <conditionalFormatting sqref="P84:P91">
    <cfRule type="cellIs" dxfId="711" priority="532" operator="greaterThan">
      <formula>0</formula>
    </cfRule>
  </conditionalFormatting>
  <conditionalFormatting sqref="Q84:Q91">
    <cfRule type="cellIs" dxfId="710" priority="537" operator="lessThan">
      <formula>0</formula>
    </cfRule>
  </conditionalFormatting>
  <conditionalFormatting sqref="R84:R91">
    <cfRule type="cellIs" dxfId="709" priority="535" operator="lessThan">
      <formula>0.8</formula>
    </cfRule>
    <cfRule type="cellIs" dxfId="708" priority="536" operator="greaterThan">
      <formula>1</formula>
    </cfRule>
  </conditionalFormatting>
  <conditionalFormatting sqref="R84:R91">
    <cfRule type="cellIs" dxfId="707" priority="533" operator="greaterThan">
      <formula>1</formula>
    </cfRule>
    <cfRule type="cellIs" dxfId="706" priority="534" operator="lessThan">
      <formula>0.8</formula>
    </cfRule>
  </conditionalFormatting>
  <conditionalFormatting sqref="R84:R91">
    <cfRule type="cellIs" dxfId="705" priority="529" operator="lessThan">
      <formula>0.8</formula>
    </cfRule>
    <cfRule type="cellIs" dxfId="704" priority="530" operator="greaterThan">
      <formula>1</formula>
    </cfRule>
  </conditionalFormatting>
  <conditionalFormatting sqref="R84:R91">
    <cfRule type="cellIs" dxfId="703" priority="527" operator="greaterThan">
      <formula>1</formula>
    </cfRule>
    <cfRule type="cellIs" dxfId="702" priority="528" operator="lessThan">
      <formula>0.8</formula>
    </cfRule>
  </conditionalFormatting>
  <conditionalFormatting sqref="P84:P91">
    <cfRule type="cellIs" dxfId="701" priority="526" operator="greaterThan">
      <formula>0</formula>
    </cfRule>
  </conditionalFormatting>
  <conditionalFormatting sqref="Q84:Q91">
    <cfRule type="cellIs" dxfId="700" priority="531" operator="lessThan">
      <formula>0</formula>
    </cfRule>
  </conditionalFormatting>
  <conditionalFormatting sqref="Q84:Q91">
    <cfRule type="cellIs" dxfId="699" priority="525" operator="lessThan">
      <formula>0</formula>
    </cfRule>
  </conditionalFormatting>
  <conditionalFormatting sqref="R84:R91">
    <cfRule type="cellIs" dxfId="698" priority="523" operator="lessThan">
      <formula>0.8</formula>
    </cfRule>
    <cfRule type="cellIs" dxfId="697" priority="524" operator="greaterThan">
      <formula>1</formula>
    </cfRule>
  </conditionalFormatting>
  <conditionalFormatting sqref="R84:R91">
    <cfRule type="cellIs" dxfId="696" priority="521" operator="greaterThan">
      <formula>1</formula>
    </cfRule>
    <cfRule type="cellIs" dxfId="695" priority="522" operator="lessThan">
      <formula>0.8</formula>
    </cfRule>
  </conditionalFormatting>
  <conditionalFormatting sqref="P84:P91">
    <cfRule type="cellIs" dxfId="694" priority="520" operator="greaterThan">
      <formula>0</formula>
    </cfRule>
  </conditionalFormatting>
  <conditionalFormatting sqref="P84:P91">
    <cfRule type="cellIs" dxfId="693" priority="514" operator="greaterThan">
      <formula>0</formula>
    </cfRule>
  </conditionalFormatting>
  <conditionalFormatting sqref="Q84:Q91">
    <cfRule type="cellIs" dxfId="692" priority="519" operator="lessThan">
      <formula>0</formula>
    </cfRule>
  </conditionalFormatting>
  <conditionalFormatting sqref="R84:R91">
    <cfRule type="cellIs" dxfId="691" priority="517" operator="lessThan">
      <formula>0.8</formula>
    </cfRule>
    <cfRule type="cellIs" dxfId="690" priority="518" operator="greaterThan">
      <formula>1</formula>
    </cfRule>
  </conditionalFormatting>
  <conditionalFormatting sqref="R84:R91">
    <cfRule type="cellIs" dxfId="689" priority="515" operator="greaterThan">
      <formula>1</formula>
    </cfRule>
    <cfRule type="cellIs" dxfId="688" priority="516" operator="lessThan">
      <formula>0.8</formula>
    </cfRule>
  </conditionalFormatting>
  <conditionalFormatting sqref="P84:P91">
    <cfRule type="cellIs" dxfId="687" priority="508" operator="greaterThan">
      <formula>0</formula>
    </cfRule>
  </conditionalFormatting>
  <conditionalFormatting sqref="Q84:Q91">
    <cfRule type="cellIs" dxfId="686" priority="513" operator="lessThan">
      <formula>0</formula>
    </cfRule>
  </conditionalFormatting>
  <conditionalFormatting sqref="R84:R91">
    <cfRule type="cellIs" dxfId="685" priority="511" operator="lessThan">
      <formula>0.8</formula>
    </cfRule>
    <cfRule type="cellIs" dxfId="684" priority="512" operator="greaterThan">
      <formula>1</formula>
    </cfRule>
  </conditionalFormatting>
  <conditionalFormatting sqref="R84:R91">
    <cfRule type="cellIs" dxfId="683" priority="509" operator="greaterThan">
      <formula>1</formula>
    </cfRule>
    <cfRule type="cellIs" dxfId="682" priority="510" operator="lessThan">
      <formula>0.8</formula>
    </cfRule>
  </conditionalFormatting>
  <conditionalFormatting sqref="R84:R91">
    <cfRule type="cellIs" dxfId="681" priority="505" operator="lessThan">
      <formula>0.8</formula>
    </cfRule>
    <cfRule type="cellIs" dxfId="680" priority="506" operator="greaterThan">
      <formula>1</formula>
    </cfRule>
  </conditionalFormatting>
  <conditionalFormatting sqref="R84:R91">
    <cfRule type="cellIs" dxfId="679" priority="503" operator="greaterThan">
      <formula>1</formula>
    </cfRule>
    <cfRule type="cellIs" dxfId="678" priority="504" operator="lessThan">
      <formula>0.8</formula>
    </cfRule>
  </conditionalFormatting>
  <conditionalFormatting sqref="P84:P91">
    <cfRule type="cellIs" dxfId="677" priority="502" operator="greaterThan">
      <formula>0</formula>
    </cfRule>
  </conditionalFormatting>
  <conditionalFormatting sqref="Q84:Q91">
    <cfRule type="cellIs" dxfId="676" priority="507" operator="lessThan">
      <formula>0</formula>
    </cfRule>
  </conditionalFormatting>
  <conditionalFormatting sqref="P84:P91">
    <cfRule type="cellIs" dxfId="675" priority="496" operator="greaterThan">
      <formula>0</formula>
    </cfRule>
  </conditionalFormatting>
  <conditionalFormatting sqref="Q84:Q91">
    <cfRule type="cellIs" dxfId="674" priority="501" operator="lessThan">
      <formula>0</formula>
    </cfRule>
  </conditionalFormatting>
  <conditionalFormatting sqref="R84:R91">
    <cfRule type="cellIs" dxfId="673" priority="499" operator="lessThan">
      <formula>0.8</formula>
    </cfRule>
    <cfRule type="cellIs" dxfId="672" priority="500" operator="greaterThan">
      <formula>1</formula>
    </cfRule>
  </conditionalFormatting>
  <conditionalFormatting sqref="R84:R91">
    <cfRule type="cellIs" dxfId="671" priority="497" operator="greaterThan">
      <formula>1</formula>
    </cfRule>
    <cfRule type="cellIs" dxfId="670" priority="498" operator="lessThan">
      <formula>0.8</formula>
    </cfRule>
  </conditionalFormatting>
  <conditionalFormatting sqref="R84:R91">
    <cfRule type="cellIs" dxfId="669" priority="493" operator="lessThan">
      <formula>0.8</formula>
    </cfRule>
    <cfRule type="cellIs" dxfId="668" priority="494" operator="greaterThan">
      <formula>1</formula>
    </cfRule>
  </conditionalFormatting>
  <conditionalFormatting sqref="R84:R91">
    <cfRule type="cellIs" dxfId="667" priority="491" operator="greaterThan">
      <formula>1</formula>
    </cfRule>
    <cfRule type="cellIs" dxfId="666" priority="492" operator="lessThan">
      <formula>0.8</formula>
    </cfRule>
  </conditionalFormatting>
  <conditionalFormatting sqref="P84:P91">
    <cfRule type="cellIs" dxfId="665" priority="490" operator="greaterThan">
      <formula>0</formula>
    </cfRule>
  </conditionalFormatting>
  <conditionalFormatting sqref="Q84:Q91">
    <cfRule type="cellIs" dxfId="664" priority="495" operator="lessThan">
      <formula>0</formula>
    </cfRule>
  </conditionalFormatting>
  <conditionalFormatting sqref="R84:R91">
    <cfRule type="cellIs" dxfId="663" priority="487" operator="lessThan">
      <formula>0.8</formula>
    </cfRule>
    <cfRule type="cellIs" dxfId="662" priority="488" operator="greaterThan">
      <formula>1</formula>
    </cfRule>
  </conditionalFormatting>
  <conditionalFormatting sqref="R84:R91">
    <cfRule type="cellIs" dxfId="661" priority="485" operator="greaterThan">
      <formula>1</formula>
    </cfRule>
    <cfRule type="cellIs" dxfId="660" priority="486" operator="lessThan">
      <formula>0.8</formula>
    </cfRule>
  </conditionalFormatting>
  <conditionalFormatting sqref="P84:P91">
    <cfRule type="cellIs" dxfId="659" priority="484" operator="greaterThan">
      <formula>0</formula>
    </cfRule>
  </conditionalFormatting>
  <conditionalFormatting sqref="Q84:Q91">
    <cfRule type="cellIs" dxfId="658" priority="489" operator="lessThan">
      <formula>0</formula>
    </cfRule>
  </conditionalFormatting>
  <conditionalFormatting sqref="Q84:Q91">
    <cfRule type="cellIs" dxfId="657" priority="483" operator="lessThan">
      <formula>0</formula>
    </cfRule>
  </conditionalFormatting>
  <conditionalFormatting sqref="R84:R91">
    <cfRule type="cellIs" dxfId="656" priority="481" operator="lessThan">
      <formula>0.8</formula>
    </cfRule>
    <cfRule type="cellIs" dxfId="655" priority="482" operator="greaterThan">
      <formula>1</formula>
    </cfRule>
  </conditionalFormatting>
  <conditionalFormatting sqref="R84:R91">
    <cfRule type="cellIs" dxfId="654" priority="479" operator="greaterThan">
      <formula>1</formula>
    </cfRule>
    <cfRule type="cellIs" dxfId="653" priority="480" operator="lessThan">
      <formula>0.8</formula>
    </cfRule>
  </conditionalFormatting>
  <conditionalFormatting sqref="P84:P91">
    <cfRule type="cellIs" dxfId="652" priority="478" operator="greaterThan">
      <formula>0</formula>
    </cfRule>
  </conditionalFormatting>
  <conditionalFormatting sqref="Q84:Q91">
    <cfRule type="cellIs" dxfId="651" priority="472" operator="lessThan">
      <formula>0</formula>
    </cfRule>
  </conditionalFormatting>
  <conditionalFormatting sqref="R84:R91">
    <cfRule type="cellIs" dxfId="650" priority="476" operator="lessThan">
      <formula>0.8</formula>
    </cfRule>
    <cfRule type="cellIs" dxfId="649" priority="477" operator="greaterThan">
      <formula>1</formula>
    </cfRule>
  </conditionalFormatting>
  <conditionalFormatting sqref="R84:R91">
    <cfRule type="cellIs" dxfId="648" priority="474" operator="greaterThan">
      <formula>1</formula>
    </cfRule>
    <cfRule type="cellIs" dxfId="647" priority="475" operator="lessThan">
      <formula>0.8</formula>
    </cfRule>
  </conditionalFormatting>
  <conditionalFormatting sqref="P84:P91">
    <cfRule type="cellIs" dxfId="646" priority="473" operator="greaterThan">
      <formula>0</formula>
    </cfRule>
  </conditionalFormatting>
  <conditionalFormatting sqref="Q84:Q91">
    <cfRule type="cellIs" dxfId="645" priority="471" operator="lessThan">
      <formula>0</formula>
    </cfRule>
  </conditionalFormatting>
  <conditionalFormatting sqref="R84:R91">
    <cfRule type="cellIs" dxfId="644" priority="469" operator="lessThan">
      <formula>0.8</formula>
    </cfRule>
    <cfRule type="cellIs" dxfId="643" priority="470" operator="greaterThan">
      <formula>1</formula>
    </cfRule>
  </conditionalFormatting>
  <conditionalFormatting sqref="R84:R91">
    <cfRule type="cellIs" dxfId="642" priority="467" operator="greaterThan">
      <formula>1</formula>
    </cfRule>
    <cfRule type="cellIs" dxfId="641" priority="468" operator="lessThan">
      <formula>0.8</formula>
    </cfRule>
  </conditionalFormatting>
  <conditionalFormatting sqref="P84:P91">
    <cfRule type="cellIs" dxfId="640" priority="466" operator="greaterThan">
      <formula>0</formula>
    </cfRule>
  </conditionalFormatting>
  <conditionalFormatting sqref="Q84:Q91">
    <cfRule type="cellIs" dxfId="639" priority="465" operator="lessThan">
      <formula>0</formula>
    </cfRule>
  </conditionalFormatting>
  <conditionalFormatting sqref="R84:R91">
    <cfRule type="cellIs" dxfId="638" priority="463" operator="lessThan">
      <formula>0.8</formula>
    </cfRule>
    <cfRule type="cellIs" dxfId="637" priority="464" operator="greaterThan">
      <formula>1</formula>
    </cfRule>
  </conditionalFormatting>
  <conditionalFormatting sqref="R84:R91">
    <cfRule type="cellIs" dxfId="636" priority="461" operator="greaterThan">
      <formula>1</formula>
    </cfRule>
    <cfRule type="cellIs" dxfId="635" priority="462" operator="lessThan">
      <formula>0.8</formula>
    </cfRule>
  </conditionalFormatting>
  <conditionalFormatting sqref="P84:P91">
    <cfRule type="cellIs" dxfId="634" priority="460" operator="greaterThan">
      <formula>0</formula>
    </cfRule>
  </conditionalFormatting>
  <conditionalFormatting sqref="Q84:Q91">
    <cfRule type="cellIs" dxfId="633" priority="459" operator="lessThan">
      <formula>0</formula>
    </cfRule>
  </conditionalFormatting>
  <conditionalFormatting sqref="R84:R91">
    <cfRule type="cellIs" dxfId="632" priority="457" operator="lessThan">
      <formula>0.8</formula>
    </cfRule>
    <cfRule type="cellIs" dxfId="631" priority="458" operator="greaterThan">
      <formula>1</formula>
    </cfRule>
  </conditionalFormatting>
  <conditionalFormatting sqref="R84:R91">
    <cfRule type="cellIs" dxfId="630" priority="455" operator="greaterThan">
      <formula>1</formula>
    </cfRule>
    <cfRule type="cellIs" dxfId="629" priority="456" operator="lessThan">
      <formula>0.8</formula>
    </cfRule>
  </conditionalFormatting>
  <conditionalFormatting sqref="P84:P91">
    <cfRule type="cellIs" dxfId="628" priority="454" operator="greaterThan">
      <formula>0</formula>
    </cfRule>
  </conditionalFormatting>
  <conditionalFormatting sqref="Q84:Q91">
    <cfRule type="cellIs" dxfId="627" priority="453" operator="lessThan">
      <formula>0</formula>
    </cfRule>
  </conditionalFormatting>
  <conditionalFormatting sqref="R84:R91">
    <cfRule type="cellIs" dxfId="626" priority="451" operator="lessThan">
      <formula>0.8</formula>
    </cfRule>
    <cfRule type="cellIs" dxfId="625" priority="452" operator="greaterThan">
      <formula>1</formula>
    </cfRule>
  </conditionalFormatting>
  <conditionalFormatting sqref="R84:R91">
    <cfRule type="cellIs" dxfId="624" priority="449" operator="greaterThan">
      <formula>1</formula>
    </cfRule>
    <cfRule type="cellIs" dxfId="623" priority="450" operator="lessThan">
      <formula>0.8</formula>
    </cfRule>
  </conditionalFormatting>
  <conditionalFormatting sqref="P84:P91">
    <cfRule type="cellIs" dxfId="622" priority="448" operator="greaterThan">
      <formula>0</formula>
    </cfRule>
  </conditionalFormatting>
  <conditionalFormatting sqref="Q84:Q91">
    <cfRule type="cellIs" dxfId="621" priority="447" operator="lessThan">
      <formula>0</formula>
    </cfRule>
  </conditionalFormatting>
  <conditionalFormatting sqref="R84:R91">
    <cfRule type="cellIs" dxfId="620" priority="445" operator="lessThan">
      <formula>0.8</formula>
    </cfRule>
    <cfRule type="cellIs" dxfId="619" priority="446" operator="greaterThan">
      <formula>1</formula>
    </cfRule>
  </conditionalFormatting>
  <conditionalFormatting sqref="R84:R91">
    <cfRule type="cellIs" dxfId="618" priority="443" operator="greaterThan">
      <formula>1</formula>
    </cfRule>
    <cfRule type="cellIs" dxfId="617" priority="444" operator="lessThan">
      <formula>0.8</formula>
    </cfRule>
  </conditionalFormatting>
  <conditionalFormatting sqref="P84:P91">
    <cfRule type="cellIs" dxfId="616" priority="442" operator="greaterThan">
      <formula>0</formula>
    </cfRule>
  </conditionalFormatting>
  <conditionalFormatting sqref="P84:P91">
    <cfRule type="cellIs" dxfId="615" priority="436" operator="greaterThan">
      <formula>0</formula>
    </cfRule>
  </conditionalFormatting>
  <conditionalFormatting sqref="Q84:Q91">
    <cfRule type="cellIs" dxfId="614" priority="441" operator="lessThan">
      <formula>0</formula>
    </cfRule>
  </conditionalFormatting>
  <conditionalFormatting sqref="R84:R91">
    <cfRule type="cellIs" dxfId="613" priority="439" operator="lessThan">
      <formula>0.8</formula>
    </cfRule>
    <cfRule type="cellIs" dxfId="612" priority="440" operator="greaterThan">
      <formula>1</formula>
    </cfRule>
  </conditionalFormatting>
  <conditionalFormatting sqref="R84:R91">
    <cfRule type="cellIs" dxfId="611" priority="437" operator="greaterThan">
      <formula>1</formula>
    </cfRule>
    <cfRule type="cellIs" dxfId="610" priority="438" operator="lessThan">
      <formula>0.8</formula>
    </cfRule>
  </conditionalFormatting>
  <conditionalFormatting sqref="P84:P91">
    <cfRule type="cellIs" dxfId="609" priority="430" operator="greaterThan">
      <formula>0</formula>
    </cfRule>
  </conditionalFormatting>
  <conditionalFormatting sqref="Q84:Q91">
    <cfRule type="cellIs" dxfId="608" priority="435" operator="lessThan">
      <formula>0</formula>
    </cfRule>
  </conditionalFormatting>
  <conditionalFormatting sqref="R84:R91">
    <cfRule type="cellIs" dxfId="607" priority="433" operator="lessThan">
      <formula>0.8</formula>
    </cfRule>
    <cfRule type="cellIs" dxfId="606" priority="434" operator="greaterThan">
      <formula>1</formula>
    </cfRule>
  </conditionalFormatting>
  <conditionalFormatting sqref="R84:R91">
    <cfRule type="cellIs" dxfId="605" priority="431" operator="greaterThan">
      <formula>1</formula>
    </cfRule>
    <cfRule type="cellIs" dxfId="604" priority="432" operator="lessThan">
      <formula>0.8</formula>
    </cfRule>
  </conditionalFormatting>
  <conditionalFormatting sqref="R84:R91">
    <cfRule type="cellIs" dxfId="603" priority="427" operator="lessThan">
      <formula>0.8</formula>
    </cfRule>
    <cfRule type="cellIs" dxfId="602" priority="428" operator="greaterThan">
      <formula>1</formula>
    </cfRule>
  </conditionalFormatting>
  <conditionalFormatting sqref="R84:R91">
    <cfRule type="cellIs" dxfId="601" priority="425" operator="greaterThan">
      <formula>1</formula>
    </cfRule>
    <cfRule type="cellIs" dxfId="600" priority="426" operator="lessThan">
      <formula>0.8</formula>
    </cfRule>
  </conditionalFormatting>
  <conditionalFormatting sqref="P84:P91">
    <cfRule type="cellIs" dxfId="599" priority="424" operator="greaterThan">
      <formula>0</formula>
    </cfRule>
  </conditionalFormatting>
  <conditionalFormatting sqref="Q84:Q91">
    <cfRule type="cellIs" dxfId="598" priority="429" operator="lessThan">
      <formula>0</formula>
    </cfRule>
  </conditionalFormatting>
  <conditionalFormatting sqref="Q84:Q91">
    <cfRule type="cellIs" dxfId="597" priority="418" operator="lessThan">
      <formula>0</formula>
    </cfRule>
  </conditionalFormatting>
  <conditionalFormatting sqref="P84:P91">
    <cfRule type="cellIs" dxfId="596" priority="419" operator="greaterThan">
      <formula>0</formula>
    </cfRule>
  </conditionalFormatting>
  <conditionalFormatting sqref="R84:R91">
    <cfRule type="cellIs" dxfId="595" priority="422" operator="lessThan">
      <formula>0.8</formula>
    </cfRule>
    <cfRule type="cellIs" dxfId="594" priority="423" operator="greaterThan">
      <formula>1</formula>
    </cfRule>
  </conditionalFormatting>
  <conditionalFormatting sqref="R84:R91">
    <cfRule type="cellIs" dxfId="593" priority="420" operator="greaterThan">
      <formula>1</formula>
    </cfRule>
    <cfRule type="cellIs" dxfId="592" priority="421" operator="lessThan">
      <formula>0.8</formula>
    </cfRule>
  </conditionalFormatting>
  <conditionalFormatting sqref="Q84:Q91">
    <cfRule type="cellIs" dxfId="591" priority="412" operator="lessThan">
      <formula>0</formula>
    </cfRule>
  </conditionalFormatting>
  <conditionalFormatting sqref="R84:R91">
    <cfRule type="cellIs" dxfId="590" priority="416" operator="lessThan">
      <formula>0.8</formula>
    </cfRule>
    <cfRule type="cellIs" dxfId="589" priority="417" operator="greaterThan">
      <formula>1</formula>
    </cfRule>
  </conditionalFormatting>
  <conditionalFormatting sqref="R84:R91">
    <cfRule type="cellIs" dxfId="588" priority="414" operator="greaterThan">
      <formula>1</formula>
    </cfRule>
    <cfRule type="cellIs" dxfId="587" priority="415" operator="lessThan">
      <formula>0.8</formula>
    </cfRule>
  </conditionalFormatting>
  <conditionalFormatting sqref="P84:P91">
    <cfRule type="cellIs" dxfId="586" priority="413" operator="greaterThan">
      <formula>0</formula>
    </cfRule>
  </conditionalFormatting>
  <conditionalFormatting sqref="Q84:Q91">
    <cfRule type="cellIs" dxfId="585" priority="411" operator="lessThan">
      <formula>0</formula>
    </cfRule>
  </conditionalFormatting>
  <conditionalFormatting sqref="R84:R91">
    <cfRule type="cellIs" dxfId="584" priority="409" operator="lessThan">
      <formula>0.8</formula>
    </cfRule>
    <cfRule type="cellIs" dxfId="583" priority="410" operator="greaterThan">
      <formula>1</formula>
    </cfRule>
  </conditionalFormatting>
  <conditionalFormatting sqref="R84:R91">
    <cfRule type="cellIs" dxfId="582" priority="407" operator="greaterThan">
      <formula>1</formula>
    </cfRule>
    <cfRule type="cellIs" dxfId="581" priority="408" operator="lessThan">
      <formula>0.8</formula>
    </cfRule>
  </conditionalFormatting>
  <conditionalFormatting sqref="P84:P91">
    <cfRule type="cellIs" dxfId="580" priority="406" operator="greaterThan">
      <formula>0</formula>
    </cfRule>
  </conditionalFormatting>
  <conditionalFormatting sqref="Q84:Q91">
    <cfRule type="cellIs" dxfId="579" priority="405" operator="lessThan">
      <formula>0</formula>
    </cfRule>
  </conditionalFormatting>
  <conditionalFormatting sqref="R84:R91">
    <cfRule type="cellIs" dxfId="578" priority="403" operator="lessThan">
      <formula>0.8</formula>
    </cfRule>
    <cfRule type="cellIs" dxfId="577" priority="404" operator="greaterThan">
      <formula>1</formula>
    </cfRule>
  </conditionalFormatting>
  <conditionalFormatting sqref="R84:R91">
    <cfRule type="cellIs" dxfId="576" priority="401" operator="greaterThan">
      <formula>1</formula>
    </cfRule>
    <cfRule type="cellIs" dxfId="575" priority="402" operator="lessThan">
      <formula>0.8</formula>
    </cfRule>
  </conditionalFormatting>
  <conditionalFormatting sqref="P84:P91">
    <cfRule type="cellIs" dxfId="574" priority="400" operator="greaterThan">
      <formula>0</formula>
    </cfRule>
  </conditionalFormatting>
  <conditionalFormatting sqref="Q84:Q91">
    <cfRule type="cellIs" dxfId="573" priority="399" operator="lessThan">
      <formula>0</formula>
    </cfRule>
  </conditionalFormatting>
  <conditionalFormatting sqref="R84:R91">
    <cfRule type="cellIs" dxfId="572" priority="397" operator="lessThan">
      <formula>0.8</formula>
    </cfRule>
    <cfRule type="cellIs" dxfId="571" priority="398" operator="greaterThan">
      <formula>1</formula>
    </cfRule>
  </conditionalFormatting>
  <conditionalFormatting sqref="R84:R91">
    <cfRule type="cellIs" dxfId="570" priority="395" operator="greaterThan">
      <formula>1</formula>
    </cfRule>
    <cfRule type="cellIs" dxfId="569" priority="396" operator="lessThan">
      <formula>0.8</formula>
    </cfRule>
  </conditionalFormatting>
  <conditionalFormatting sqref="P84:P91">
    <cfRule type="cellIs" dxfId="568" priority="394" operator="greaterThan">
      <formula>0</formula>
    </cfRule>
  </conditionalFormatting>
  <conditionalFormatting sqref="Q84:Q91">
    <cfRule type="cellIs" dxfId="567" priority="393" operator="lessThan">
      <formula>0</formula>
    </cfRule>
  </conditionalFormatting>
  <conditionalFormatting sqref="R84:R91">
    <cfRule type="cellIs" dxfId="566" priority="391" operator="lessThan">
      <formula>0.8</formula>
    </cfRule>
    <cfRule type="cellIs" dxfId="565" priority="392" operator="greaterThan">
      <formula>1</formula>
    </cfRule>
  </conditionalFormatting>
  <conditionalFormatting sqref="R84:R91">
    <cfRule type="cellIs" dxfId="564" priority="389" operator="greaterThan">
      <formula>1</formula>
    </cfRule>
    <cfRule type="cellIs" dxfId="563" priority="390" operator="lessThan">
      <formula>0.8</formula>
    </cfRule>
  </conditionalFormatting>
  <conditionalFormatting sqref="P84:P91">
    <cfRule type="cellIs" dxfId="562" priority="388" operator="greaterThan">
      <formula>0</formula>
    </cfRule>
  </conditionalFormatting>
  <conditionalFormatting sqref="Q84:Q91">
    <cfRule type="cellIs" dxfId="561" priority="387" operator="lessThan">
      <formula>0</formula>
    </cfRule>
  </conditionalFormatting>
  <conditionalFormatting sqref="R84:R91">
    <cfRule type="cellIs" dxfId="560" priority="385" operator="lessThan">
      <formula>0.8</formula>
    </cfRule>
    <cfRule type="cellIs" dxfId="559" priority="386" operator="greaterThan">
      <formula>1</formula>
    </cfRule>
  </conditionalFormatting>
  <conditionalFormatting sqref="R84:R91">
    <cfRule type="cellIs" dxfId="558" priority="383" operator="greaterThan">
      <formula>1</formula>
    </cfRule>
    <cfRule type="cellIs" dxfId="557" priority="384" operator="lessThan">
      <formula>0.8</formula>
    </cfRule>
  </conditionalFormatting>
  <conditionalFormatting sqref="P84:P91">
    <cfRule type="cellIs" dxfId="556" priority="382" operator="greaterThan">
      <formula>0</formula>
    </cfRule>
  </conditionalFormatting>
  <conditionalFormatting sqref="Q84:Q91">
    <cfRule type="cellIs" dxfId="555" priority="381" operator="lessThan">
      <formula>0</formula>
    </cfRule>
  </conditionalFormatting>
  <conditionalFormatting sqref="R84:R91">
    <cfRule type="cellIs" dxfId="554" priority="379" operator="lessThan">
      <formula>0.8</formula>
    </cfRule>
    <cfRule type="cellIs" dxfId="553" priority="380" operator="greaterThan">
      <formula>1</formula>
    </cfRule>
  </conditionalFormatting>
  <conditionalFormatting sqref="R84:R91">
    <cfRule type="cellIs" dxfId="552" priority="377" operator="greaterThan">
      <formula>1</formula>
    </cfRule>
    <cfRule type="cellIs" dxfId="551" priority="378" operator="lessThan">
      <formula>0.8</formula>
    </cfRule>
  </conditionalFormatting>
  <conditionalFormatting sqref="P84:P91">
    <cfRule type="cellIs" dxfId="550" priority="376" operator="greaterThan">
      <formula>0</formula>
    </cfRule>
  </conditionalFormatting>
  <conditionalFormatting sqref="Q84:Q91">
    <cfRule type="cellIs" dxfId="549" priority="375" operator="lessThan">
      <formula>0</formula>
    </cfRule>
  </conditionalFormatting>
  <conditionalFormatting sqref="R84:R91">
    <cfRule type="cellIs" dxfId="548" priority="373" operator="lessThan">
      <formula>0.8</formula>
    </cfRule>
    <cfRule type="cellIs" dxfId="547" priority="374" operator="greaterThan">
      <formula>1</formula>
    </cfRule>
  </conditionalFormatting>
  <conditionalFormatting sqref="R84:R91">
    <cfRule type="cellIs" dxfId="546" priority="371" operator="greaterThan">
      <formula>1</formula>
    </cfRule>
    <cfRule type="cellIs" dxfId="545" priority="372" operator="lessThan">
      <formula>0.8</formula>
    </cfRule>
  </conditionalFormatting>
  <conditionalFormatting sqref="P84:P91">
    <cfRule type="cellIs" dxfId="544" priority="370" operator="greaterThan">
      <formula>0</formula>
    </cfRule>
  </conditionalFormatting>
  <conditionalFormatting sqref="P84:P91">
    <cfRule type="cellIs" dxfId="543" priority="364" operator="greaterThan">
      <formula>0</formula>
    </cfRule>
  </conditionalFormatting>
  <conditionalFormatting sqref="Q84:Q91">
    <cfRule type="cellIs" dxfId="542" priority="369" operator="lessThan">
      <formula>0</formula>
    </cfRule>
  </conditionalFormatting>
  <conditionalFormatting sqref="R84:R91">
    <cfRule type="cellIs" dxfId="541" priority="367" operator="lessThan">
      <formula>0.8</formula>
    </cfRule>
    <cfRule type="cellIs" dxfId="540" priority="368" operator="greaterThan">
      <formula>1</formula>
    </cfRule>
  </conditionalFormatting>
  <conditionalFormatting sqref="R84:R91">
    <cfRule type="cellIs" dxfId="539" priority="365" operator="greaterThan">
      <formula>1</formula>
    </cfRule>
    <cfRule type="cellIs" dxfId="538" priority="366" operator="lessThan">
      <formula>0.8</formula>
    </cfRule>
  </conditionalFormatting>
  <conditionalFormatting sqref="P84:P91">
    <cfRule type="cellIs" dxfId="537" priority="358" operator="greaterThan">
      <formula>0</formula>
    </cfRule>
  </conditionalFormatting>
  <conditionalFormatting sqref="Q84:Q91">
    <cfRule type="cellIs" dxfId="536" priority="363" operator="lessThan">
      <formula>0</formula>
    </cfRule>
  </conditionalFormatting>
  <conditionalFormatting sqref="R84:R91">
    <cfRule type="cellIs" dxfId="535" priority="361" operator="lessThan">
      <formula>0.8</formula>
    </cfRule>
    <cfRule type="cellIs" dxfId="534" priority="362" operator="greaterThan">
      <formula>1</formula>
    </cfRule>
  </conditionalFormatting>
  <conditionalFormatting sqref="R84:R91">
    <cfRule type="cellIs" dxfId="533" priority="359" operator="greaterThan">
      <formula>1</formula>
    </cfRule>
    <cfRule type="cellIs" dxfId="532" priority="360" operator="lessThan">
      <formula>0.8</formula>
    </cfRule>
  </conditionalFormatting>
  <conditionalFormatting sqref="R84:R91">
    <cfRule type="cellIs" dxfId="531" priority="355" operator="lessThan">
      <formula>0.8</formula>
    </cfRule>
    <cfRule type="cellIs" dxfId="530" priority="356" operator="greaterThan">
      <formula>1</formula>
    </cfRule>
  </conditionalFormatting>
  <conditionalFormatting sqref="R84:R91">
    <cfRule type="cellIs" dxfId="529" priority="353" operator="greaterThan">
      <formula>1</formula>
    </cfRule>
    <cfRule type="cellIs" dxfId="528" priority="354" operator="lessThan">
      <formula>0.8</formula>
    </cfRule>
  </conditionalFormatting>
  <conditionalFormatting sqref="P84:P91">
    <cfRule type="cellIs" dxfId="527" priority="352" operator="greaterThan">
      <formula>0</formula>
    </cfRule>
  </conditionalFormatting>
  <conditionalFormatting sqref="Q84:Q91">
    <cfRule type="cellIs" dxfId="526" priority="357" operator="lessThan">
      <formula>0</formula>
    </cfRule>
  </conditionalFormatting>
  <conditionalFormatting sqref="Q84:Q91">
    <cfRule type="cellIs" dxfId="525" priority="351" operator="lessThan">
      <formula>0</formula>
    </cfRule>
  </conditionalFormatting>
  <conditionalFormatting sqref="R84:R91">
    <cfRule type="cellIs" dxfId="524" priority="349" operator="lessThan">
      <formula>0.8</formula>
    </cfRule>
    <cfRule type="cellIs" dxfId="523" priority="350" operator="greaterThan">
      <formula>1</formula>
    </cfRule>
  </conditionalFormatting>
  <conditionalFormatting sqref="R84:R91">
    <cfRule type="cellIs" dxfId="522" priority="347" operator="greaterThan">
      <formula>1</formula>
    </cfRule>
    <cfRule type="cellIs" dxfId="521" priority="348" operator="lessThan">
      <formula>0.8</formula>
    </cfRule>
  </conditionalFormatting>
  <conditionalFormatting sqref="P84:P91">
    <cfRule type="cellIs" dxfId="520" priority="346" operator="greaterThan">
      <formula>0</formula>
    </cfRule>
  </conditionalFormatting>
  <conditionalFormatting sqref="P84:P91">
    <cfRule type="cellIs" dxfId="519" priority="340" operator="greaterThan">
      <formula>0</formula>
    </cfRule>
  </conditionalFormatting>
  <conditionalFormatting sqref="Q84:Q91">
    <cfRule type="cellIs" dxfId="518" priority="345" operator="lessThan">
      <formula>0</formula>
    </cfRule>
  </conditionalFormatting>
  <conditionalFormatting sqref="R84:R91">
    <cfRule type="cellIs" dxfId="517" priority="343" operator="lessThan">
      <formula>0.8</formula>
    </cfRule>
    <cfRule type="cellIs" dxfId="516" priority="344" operator="greaterThan">
      <formula>1</formula>
    </cfRule>
  </conditionalFormatting>
  <conditionalFormatting sqref="R84:R91">
    <cfRule type="cellIs" dxfId="515" priority="341" operator="greaterThan">
      <formula>1</formula>
    </cfRule>
    <cfRule type="cellIs" dxfId="514" priority="342" operator="lessThan">
      <formula>0.8</formula>
    </cfRule>
  </conditionalFormatting>
  <conditionalFormatting sqref="P84:P91">
    <cfRule type="cellIs" dxfId="513" priority="334" operator="greaterThan">
      <formula>0</formula>
    </cfRule>
  </conditionalFormatting>
  <conditionalFormatting sqref="Q84:Q91">
    <cfRule type="cellIs" dxfId="512" priority="339" operator="lessThan">
      <formula>0</formula>
    </cfRule>
  </conditionalFormatting>
  <conditionalFormatting sqref="R84:R91">
    <cfRule type="cellIs" dxfId="511" priority="337" operator="lessThan">
      <formula>0.8</formula>
    </cfRule>
    <cfRule type="cellIs" dxfId="510" priority="338" operator="greaterThan">
      <formula>1</formula>
    </cfRule>
  </conditionalFormatting>
  <conditionalFormatting sqref="R84:R91">
    <cfRule type="cellIs" dxfId="509" priority="335" operator="greaterThan">
      <formula>1</formula>
    </cfRule>
    <cfRule type="cellIs" dxfId="508" priority="336" operator="lessThan">
      <formula>0.8</formula>
    </cfRule>
  </conditionalFormatting>
  <conditionalFormatting sqref="R84:R91">
    <cfRule type="cellIs" dxfId="507" priority="331" operator="lessThan">
      <formula>0.8</formula>
    </cfRule>
    <cfRule type="cellIs" dxfId="506" priority="332" operator="greaterThan">
      <formula>1</formula>
    </cfRule>
  </conditionalFormatting>
  <conditionalFormatting sqref="R84:R91">
    <cfRule type="cellIs" dxfId="505" priority="329" operator="greaterThan">
      <formula>1</formula>
    </cfRule>
    <cfRule type="cellIs" dxfId="504" priority="330" operator="lessThan">
      <formula>0.8</formula>
    </cfRule>
  </conditionalFormatting>
  <conditionalFormatting sqref="P84:P91">
    <cfRule type="cellIs" dxfId="503" priority="328" operator="greaterThan">
      <formula>0</formula>
    </cfRule>
  </conditionalFormatting>
  <conditionalFormatting sqref="Q84:Q91">
    <cfRule type="cellIs" dxfId="502" priority="333" operator="lessThan">
      <formula>0</formula>
    </cfRule>
  </conditionalFormatting>
  <conditionalFormatting sqref="P84:P91">
    <cfRule type="cellIs" dxfId="501" priority="322" operator="greaterThan">
      <formula>0</formula>
    </cfRule>
  </conditionalFormatting>
  <conditionalFormatting sqref="Q84:Q91">
    <cfRule type="cellIs" dxfId="500" priority="327" operator="lessThan">
      <formula>0</formula>
    </cfRule>
  </conditionalFormatting>
  <conditionalFormatting sqref="R84:R91">
    <cfRule type="cellIs" dxfId="499" priority="325" operator="lessThan">
      <formula>0.8</formula>
    </cfRule>
    <cfRule type="cellIs" dxfId="498" priority="326" operator="greaterThan">
      <formula>1</formula>
    </cfRule>
  </conditionalFormatting>
  <conditionalFormatting sqref="R84:R91">
    <cfRule type="cellIs" dxfId="497" priority="323" operator="greaterThan">
      <formula>1</formula>
    </cfRule>
    <cfRule type="cellIs" dxfId="496" priority="324" operator="lessThan">
      <formula>0.8</formula>
    </cfRule>
  </conditionalFormatting>
  <conditionalFormatting sqref="R84:R91">
    <cfRule type="cellIs" dxfId="495" priority="319" operator="lessThan">
      <formula>0.8</formula>
    </cfRule>
    <cfRule type="cellIs" dxfId="494" priority="320" operator="greaterThan">
      <formula>1</formula>
    </cfRule>
  </conditionalFormatting>
  <conditionalFormatting sqref="R84:R91">
    <cfRule type="cellIs" dxfId="493" priority="317" operator="greaterThan">
      <formula>1</formula>
    </cfRule>
    <cfRule type="cellIs" dxfId="492" priority="318" operator="lessThan">
      <formula>0.8</formula>
    </cfRule>
  </conditionalFormatting>
  <conditionalFormatting sqref="P84:P91">
    <cfRule type="cellIs" dxfId="491" priority="316" operator="greaterThan">
      <formula>0</formula>
    </cfRule>
  </conditionalFormatting>
  <conditionalFormatting sqref="Q84:Q91">
    <cfRule type="cellIs" dxfId="490" priority="321" operator="lessThan">
      <formula>0</formula>
    </cfRule>
  </conditionalFormatting>
  <conditionalFormatting sqref="R84:R91">
    <cfRule type="cellIs" dxfId="489" priority="313" operator="lessThan">
      <formula>0.8</formula>
    </cfRule>
    <cfRule type="cellIs" dxfId="488" priority="314" operator="greaterThan">
      <formula>1</formula>
    </cfRule>
  </conditionalFormatting>
  <conditionalFormatting sqref="R84:R91">
    <cfRule type="cellIs" dxfId="487" priority="311" operator="greaterThan">
      <formula>1</formula>
    </cfRule>
    <cfRule type="cellIs" dxfId="486" priority="312" operator="lessThan">
      <formula>0.8</formula>
    </cfRule>
  </conditionalFormatting>
  <conditionalFormatting sqref="P84:P91">
    <cfRule type="cellIs" dxfId="485" priority="310" operator="greaterThan">
      <formula>0</formula>
    </cfRule>
  </conditionalFormatting>
  <conditionalFormatting sqref="Q84:Q91">
    <cfRule type="cellIs" dxfId="484" priority="315" operator="lessThan">
      <formula>0</formula>
    </cfRule>
  </conditionalFormatting>
  <conditionalFormatting sqref="Q84:Q91">
    <cfRule type="cellIs" dxfId="483" priority="309" operator="lessThan">
      <formula>0</formula>
    </cfRule>
  </conditionalFormatting>
  <conditionalFormatting sqref="R84:R91">
    <cfRule type="cellIs" dxfId="482" priority="307" operator="lessThan">
      <formula>0.8</formula>
    </cfRule>
    <cfRule type="cellIs" dxfId="481" priority="308" operator="greaterThan">
      <formula>1</formula>
    </cfRule>
  </conditionalFormatting>
  <conditionalFormatting sqref="R84:R91">
    <cfRule type="cellIs" dxfId="480" priority="305" operator="greaterThan">
      <formula>1</formula>
    </cfRule>
    <cfRule type="cellIs" dxfId="479" priority="306" operator="lessThan">
      <formula>0.8</formula>
    </cfRule>
  </conditionalFormatting>
  <conditionalFormatting sqref="P84:P91">
    <cfRule type="cellIs" dxfId="478" priority="304" operator="greaterThan">
      <formula>0</formula>
    </cfRule>
  </conditionalFormatting>
  <conditionalFormatting sqref="Q84:Q91">
    <cfRule type="cellIs" dxfId="477" priority="298" operator="lessThan">
      <formula>0</formula>
    </cfRule>
  </conditionalFormatting>
  <conditionalFormatting sqref="R84:R91">
    <cfRule type="cellIs" dxfId="476" priority="302" operator="lessThan">
      <formula>0.8</formula>
    </cfRule>
    <cfRule type="cellIs" dxfId="475" priority="303" operator="greaterThan">
      <formula>1</formula>
    </cfRule>
  </conditionalFormatting>
  <conditionalFormatting sqref="R84:R91">
    <cfRule type="cellIs" dxfId="474" priority="300" operator="greaterThan">
      <formula>1</formula>
    </cfRule>
    <cfRule type="cellIs" dxfId="473" priority="301" operator="lessThan">
      <formula>0.8</formula>
    </cfRule>
  </conditionalFormatting>
  <conditionalFormatting sqref="P84:P91">
    <cfRule type="cellIs" dxfId="472" priority="299" operator="greaterThan">
      <formula>0</formula>
    </cfRule>
  </conditionalFormatting>
  <conditionalFormatting sqref="Q84:Q91">
    <cfRule type="cellIs" dxfId="471" priority="297" operator="lessThan">
      <formula>0</formula>
    </cfRule>
  </conditionalFormatting>
  <conditionalFormatting sqref="R84:R91">
    <cfRule type="cellIs" dxfId="470" priority="295" operator="lessThan">
      <formula>0.8</formula>
    </cfRule>
    <cfRule type="cellIs" dxfId="469" priority="296" operator="greaterThan">
      <formula>1</formula>
    </cfRule>
  </conditionalFormatting>
  <conditionalFormatting sqref="R84:R91">
    <cfRule type="cellIs" dxfId="468" priority="293" operator="greaterThan">
      <formula>1</formula>
    </cfRule>
    <cfRule type="cellIs" dxfId="467" priority="294" operator="lessThan">
      <formula>0.8</formula>
    </cfRule>
  </conditionalFormatting>
  <conditionalFormatting sqref="P84:P91">
    <cfRule type="cellIs" dxfId="466" priority="292" operator="greaterThan">
      <formula>0</formula>
    </cfRule>
  </conditionalFormatting>
  <conditionalFormatting sqref="Q84:Q91">
    <cfRule type="cellIs" dxfId="465" priority="291" operator="lessThan">
      <formula>0</formula>
    </cfRule>
  </conditionalFormatting>
  <conditionalFormatting sqref="R84:R91">
    <cfRule type="cellIs" dxfId="464" priority="289" operator="lessThan">
      <formula>0.8</formula>
    </cfRule>
    <cfRule type="cellIs" dxfId="463" priority="290" operator="greaterThan">
      <formula>1</formula>
    </cfRule>
  </conditionalFormatting>
  <conditionalFormatting sqref="R84:R91">
    <cfRule type="cellIs" dxfId="462" priority="287" operator="greaterThan">
      <formula>1</formula>
    </cfRule>
    <cfRule type="cellIs" dxfId="461" priority="288" operator="lessThan">
      <formula>0.8</formula>
    </cfRule>
  </conditionalFormatting>
  <conditionalFormatting sqref="P84:P91">
    <cfRule type="cellIs" dxfId="460" priority="286" operator="greaterThan">
      <formula>0</formula>
    </cfRule>
  </conditionalFormatting>
  <conditionalFormatting sqref="Q84:Q91">
    <cfRule type="cellIs" dxfId="459" priority="285" operator="lessThan">
      <formula>0</formula>
    </cfRule>
  </conditionalFormatting>
  <conditionalFormatting sqref="R84:R91">
    <cfRule type="cellIs" dxfId="458" priority="283" operator="lessThan">
      <formula>0.8</formula>
    </cfRule>
    <cfRule type="cellIs" dxfId="457" priority="284" operator="greaterThan">
      <formula>1</formula>
    </cfRule>
  </conditionalFormatting>
  <conditionalFormatting sqref="R84:R91">
    <cfRule type="cellIs" dxfId="456" priority="281" operator="greaterThan">
      <formula>1</formula>
    </cfRule>
    <cfRule type="cellIs" dxfId="455" priority="282" operator="lessThan">
      <formula>0.8</formula>
    </cfRule>
  </conditionalFormatting>
  <conditionalFormatting sqref="P84:P91">
    <cfRule type="cellIs" dxfId="454" priority="280" operator="greaterThan">
      <formula>0</formula>
    </cfRule>
  </conditionalFormatting>
  <conditionalFormatting sqref="Q84:Q91">
    <cfRule type="cellIs" dxfId="453" priority="279" operator="lessThan">
      <formula>0</formula>
    </cfRule>
  </conditionalFormatting>
  <conditionalFormatting sqref="R84:R91">
    <cfRule type="cellIs" dxfId="452" priority="277" operator="lessThan">
      <formula>0.8</formula>
    </cfRule>
    <cfRule type="cellIs" dxfId="451" priority="278" operator="greaterThan">
      <formula>1</formula>
    </cfRule>
  </conditionalFormatting>
  <conditionalFormatting sqref="R84:R91">
    <cfRule type="cellIs" dxfId="450" priority="275" operator="greaterThan">
      <formula>1</formula>
    </cfRule>
    <cfRule type="cellIs" dxfId="449" priority="276" operator="lessThan">
      <formula>0.8</formula>
    </cfRule>
  </conditionalFormatting>
  <conditionalFormatting sqref="P84:P91">
    <cfRule type="cellIs" dxfId="448" priority="274" operator="greaterThan">
      <formula>0</formula>
    </cfRule>
  </conditionalFormatting>
  <conditionalFormatting sqref="Q84:Q91">
    <cfRule type="cellIs" dxfId="447" priority="273" operator="lessThan">
      <formula>0</formula>
    </cfRule>
  </conditionalFormatting>
  <conditionalFormatting sqref="R84:R91">
    <cfRule type="cellIs" dxfId="446" priority="271" operator="lessThan">
      <formula>0.8</formula>
    </cfRule>
    <cfRule type="cellIs" dxfId="445" priority="272" operator="greaterThan">
      <formula>1</formula>
    </cfRule>
  </conditionalFormatting>
  <conditionalFormatting sqref="R84:R91">
    <cfRule type="cellIs" dxfId="444" priority="269" operator="greaterThan">
      <formula>1</formula>
    </cfRule>
    <cfRule type="cellIs" dxfId="443" priority="270" operator="lessThan">
      <formula>0.8</formula>
    </cfRule>
  </conditionalFormatting>
  <conditionalFormatting sqref="P84:P91">
    <cfRule type="cellIs" dxfId="442" priority="268" operator="greaterThan">
      <formula>0</formula>
    </cfRule>
  </conditionalFormatting>
  <conditionalFormatting sqref="P84:P91">
    <cfRule type="cellIs" dxfId="441" priority="262" operator="greaterThan">
      <formula>0</formula>
    </cfRule>
  </conditionalFormatting>
  <conditionalFormatting sqref="Q84:Q91">
    <cfRule type="cellIs" dxfId="440" priority="267" operator="lessThan">
      <formula>0</formula>
    </cfRule>
  </conditionalFormatting>
  <conditionalFormatting sqref="R84:R91">
    <cfRule type="cellIs" dxfId="439" priority="265" operator="lessThan">
      <formula>0.8</formula>
    </cfRule>
    <cfRule type="cellIs" dxfId="438" priority="266" operator="greaterThan">
      <formula>1</formula>
    </cfRule>
  </conditionalFormatting>
  <conditionalFormatting sqref="R84:R91">
    <cfRule type="cellIs" dxfId="437" priority="263" operator="greaterThan">
      <formula>1</formula>
    </cfRule>
    <cfRule type="cellIs" dxfId="436" priority="264" operator="lessThan">
      <formula>0.8</formula>
    </cfRule>
  </conditionalFormatting>
  <conditionalFormatting sqref="P84:P91">
    <cfRule type="cellIs" dxfId="435" priority="256" operator="greaterThan">
      <formula>0</formula>
    </cfRule>
  </conditionalFormatting>
  <conditionalFormatting sqref="Q84:Q91">
    <cfRule type="cellIs" dxfId="434" priority="261" operator="lessThan">
      <formula>0</formula>
    </cfRule>
  </conditionalFormatting>
  <conditionalFormatting sqref="R84:R91">
    <cfRule type="cellIs" dxfId="433" priority="259" operator="lessThan">
      <formula>0.8</formula>
    </cfRule>
    <cfRule type="cellIs" dxfId="432" priority="260" operator="greaterThan">
      <formula>1</formula>
    </cfRule>
  </conditionalFormatting>
  <conditionalFormatting sqref="R84:R91">
    <cfRule type="cellIs" dxfId="431" priority="257" operator="greaterThan">
      <formula>1</formula>
    </cfRule>
    <cfRule type="cellIs" dxfId="430" priority="258" operator="lessThan">
      <formula>0.8</formula>
    </cfRule>
  </conditionalFormatting>
  <conditionalFormatting sqref="R84:R91">
    <cfRule type="cellIs" dxfId="429" priority="253" operator="lessThan">
      <formula>0.8</formula>
    </cfRule>
    <cfRule type="cellIs" dxfId="428" priority="254" operator="greaterThan">
      <formula>1</formula>
    </cfRule>
  </conditionalFormatting>
  <conditionalFormatting sqref="R84:R91">
    <cfRule type="cellIs" dxfId="427" priority="251" operator="greaterThan">
      <formula>1</formula>
    </cfRule>
    <cfRule type="cellIs" dxfId="426" priority="252" operator="lessThan">
      <formula>0.8</formula>
    </cfRule>
  </conditionalFormatting>
  <conditionalFormatting sqref="P84:P91">
    <cfRule type="cellIs" dxfId="425" priority="250" operator="greaterThan">
      <formula>0</formula>
    </cfRule>
  </conditionalFormatting>
  <conditionalFormatting sqref="Q84:Q91">
    <cfRule type="cellIs" dxfId="424" priority="255" operator="lessThan">
      <formula>0</formula>
    </cfRule>
  </conditionalFormatting>
  <conditionalFormatting sqref="Q84:Q91">
    <cfRule type="cellIs" dxfId="423" priority="249" operator="lessThan">
      <formula>0</formula>
    </cfRule>
  </conditionalFormatting>
  <conditionalFormatting sqref="R84:R91">
    <cfRule type="cellIs" dxfId="422" priority="247" operator="lessThan">
      <formula>0.8</formula>
    </cfRule>
    <cfRule type="cellIs" dxfId="421" priority="248" operator="greaterThan">
      <formula>1</formula>
    </cfRule>
  </conditionalFormatting>
  <conditionalFormatting sqref="R84:R91">
    <cfRule type="cellIs" dxfId="420" priority="245" operator="greaterThan">
      <formula>1</formula>
    </cfRule>
    <cfRule type="cellIs" dxfId="419" priority="246" operator="lessThan">
      <formula>0.8</formula>
    </cfRule>
  </conditionalFormatting>
  <conditionalFormatting sqref="P84:P91">
    <cfRule type="cellIs" dxfId="418" priority="244" operator="greaterThan">
      <formula>0</formula>
    </cfRule>
  </conditionalFormatting>
  <conditionalFormatting sqref="Q84:Q91">
    <cfRule type="cellIs" dxfId="417" priority="243" operator="lessThan">
      <formula>0</formula>
    </cfRule>
  </conditionalFormatting>
  <conditionalFormatting sqref="R84:R91">
    <cfRule type="cellIs" dxfId="416" priority="241" operator="lessThan">
      <formula>0.8</formula>
    </cfRule>
    <cfRule type="cellIs" dxfId="415" priority="242" operator="greaterThan">
      <formula>1</formula>
    </cfRule>
  </conditionalFormatting>
  <conditionalFormatting sqref="R84:R91">
    <cfRule type="cellIs" dxfId="414" priority="239" operator="greaterThan">
      <formula>1</formula>
    </cfRule>
    <cfRule type="cellIs" dxfId="413" priority="240" operator="lessThan">
      <formula>0.8</formula>
    </cfRule>
  </conditionalFormatting>
  <conditionalFormatting sqref="P84:P91">
    <cfRule type="cellIs" dxfId="412" priority="238" operator="greaterThan">
      <formula>0</formula>
    </cfRule>
  </conditionalFormatting>
  <conditionalFormatting sqref="Q84:Q91">
    <cfRule type="cellIs" dxfId="411" priority="237" operator="lessThan">
      <formula>0</formula>
    </cfRule>
  </conditionalFormatting>
  <conditionalFormatting sqref="R84:R91">
    <cfRule type="cellIs" dxfId="410" priority="235" operator="lessThan">
      <formula>0.8</formula>
    </cfRule>
    <cfRule type="cellIs" dxfId="409" priority="236" operator="greaterThan">
      <formula>1</formula>
    </cfRule>
  </conditionalFormatting>
  <conditionalFormatting sqref="R84:R91">
    <cfRule type="cellIs" dxfId="408" priority="233" operator="greaterThan">
      <formula>1</formula>
    </cfRule>
    <cfRule type="cellIs" dxfId="407" priority="234" operator="lessThan">
      <formula>0.8</formula>
    </cfRule>
  </conditionalFormatting>
  <conditionalFormatting sqref="P84:P91">
    <cfRule type="cellIs" dxfId="406" priority="232" operator="greaterThan">
      <formula>0</formula>
    </cfRule>
  </conditionalFormatting>
  <conditionalFormatting sqref="Q84:Q91">
    <cfRule type="cellIs" dxfId="405" priority="231" operator="lessThan">
      <formula>0</formula>
    </cfRule>
  </conditionalFormatting>
  <conditionalFormatting sqref="R84:R91">
    <cfRule type="cellIs" dxfId="404" priority="229" operator="lessThan">
      <formula>0.8</formula>
    </cfRule>
    <cfRule type="cellIs" dxfId="403" priority="230" operator="greaterThan">
      <formula>1</formula>
    </cfRule>
  </conditionalFormatting>
  <conditionalFormatting sqref="R84:R91">
    <cfRule type="cellIs" dxfId="402" priority="227" operator="greaterThan">
      <formula>1</formula>
    </cfRule>
    <cfRule type="cellIs" dxfId="401" priority="228" operator="lessThan">
      <formula>0.8</formula>
    </cfRule>
  </conditionalFormatting>
  <conditionalFormatting sqref="P84:P91">
    <cfRule type="cellIs" dxfId="400" priority="226" operator="greaterThan">
      <formula>0</formula>
    </cfRule>
  </conditionalFormatting>
  <conditionalFormatting sqref="P84:P91">
    <cfRule type="cellIs" dxfId="399" priority="220" operator="greaterThan">
      <formula>0</formula>
    </cfRule>
  </conditionalFormatting>
  <conditionalFormatting sqref="Q84:Q91">
    <cfRule type="cellIs" dxfId="398" priority="225" operator="lessThan">
      <formula>0</formula>
    </cfRule>
  </conditionalFormatting>
  <conditionalFormatting sqref="R84:R91">
    <cfRule type="cellIs" dxfId="397" priority="223" operator="lessThan">
      <formula>0.8</formula>
    </cfRule>
    <cfRule type="cellIs" dxfId="396" priority="224" operator="greaterThan">
      <formula>1</formula>
    </cfRule>
  </conditionalFormatting>
  <conditionalFormatting sqref="R84:R91">
    <cfRule type="cellIs" dxfId="395" priority="221" operator="greaterThan">
      <formula>1</formula>
    </cfRule>
    <cfRule type="cellIs" dxfId="394" priority="222" operator="lessThan">
      <formula>0.8</formula>
    </cfRule>
  </conditionalFormatting>
  <conditionalFormatting sqref="P84:P91">
    <cfRule type="cellIs" dxfId="393" priority="214" operator="greaterThan">
      <formula>0</formula>
    </cfRule>
  </conditionalFormatting>
  <conditionalFormatting sqref="Q84:Q91">
    <cfRule type="cellIs" dxfId="392" priority="219" operator="lessThan">
      <formula>0</formula>
    </cfRule>
  </conditionalFormatting>
  <conditionalFormatting sqref="R84:R91">
    <cfRule type="cellIs" dxfId="391" priority="217" operator="lessThan">
      <formula>0.8</formula>
    </cfRule>
    <cfRule type="cellIs" dxfId="390" priority="218" operator="greaterThan">
      <formula>1</formula>
    </cfRule>
  </conditionalFormatting>
  <conditionalFormatting sqref="R84:R91">
    <cfRule type="cellIs" dxfId="389" priority="215" operator="greaterThan">
      <formula>1</formula>
    </cfRule>
    <cfRule type="cellIs" dxfId="388" priority="216" operator="lessThan">
      <formula>0.8</formula>
    </cfRule>
  </conditionalFormatting>
  <conditionalFormatting sqref="R84:R91">
    <cfRule type="cellIs" dxfId="387" priority="211" operator="lessThan">
      <formula>0.8</formula>
    </cfRule>
    <cfRule type="cellIs" dxfId="386" priority="212" operator="greaterThan">
      <formula>1</formula>
    </cfRule>
  </conditionalFormatting>
  <conditionalFormatting sqref="R84:R91">
    <cfRule type="cellIs" dxfId="385" priority="209" operator="greaterThan">
      <formula>1</formula>
    </cfRule>
    <cfRule type="cellIs" dxfId="384" priority="210" operator="lessThan">
      <formula>0.8</formula>
    </cfRule>
  </conditionalFormatting>
  <conditionalFormatting sqref="P84:P91">
    <cfRule type="cellIs" dxfId="383" priority="208" operator="greaterThan">
      <formula>0</formula>
    </cfRule>
  </conditionalFormatting>
  <conditionalFormatting sqref="Q84:Q91">
    <cfRule type="cellIs" dxfId="382" priority="213" operator="lessThan">
      <formula>0</formula>
    </cfRule>
  </conditionalFormatting>
  <conditionalFormatting sqref="Q84:Q91">
    <cfRule type="cellIs" dxfId="381" priority="207" operator="lessThan">
      <formula>0</formula>
    </cfRule>
  </conditionalFormatting>
  <conditionalFormatting sqref="R84:R91">
    <cfRule type="cellIs" dxfId="380" priority="205" operator="lessThan">
      <formula>0.8</formula>
    </cfRule>
    <cfRule type="cellIs" dxfId="379" priority="206" operator="greaterThan">
      <formula>1</formula>
    </cfRule>
  </conditionalFormatting>
  <conditionalFormatting sqref="R84:R91">
    <cfRule type="cellIs" dxfId="378" priority="203" operator="greaterThan">
      <formula>1</formula>
    </cfRule>
    <cfRule type="cellIs" dxfId="377" priority="204" operator="lessThan">
      <formula>0.8</formula>
    </cfRule>
  </conditionalFormatting>
  <conditionalFormatting sqref="P84:P91">
    <cfRule type="cellIs" dxfId="376" priority="202" operator="greaterThan">
      <formula>0</formula>
    </cfRule>
  </conditionalFormatting>
  <conditionalFormatting sqref="P84:P91">
    <cfRule type="cellIs" dxfId="375" priority="196" operator="greaterThan">
      <formula>0</formula>
    </cfRule>
  </conditionalFormatting>
  <conditionalFormatting sqref="Q84:Q91">
    <cfRule type="cellIs" dxfId="374" priority="201" operator="lessThan">
      <formula>0</formula>
    </cfRule>
  </conditionalFormatting>
  <conditionalFormatting sqref="R84:R91">
    <cfRule type="cellIs" dxfId="373" priority="199" operator="lessThan">
      <formula>0.8</formula>
    </cfRule>
    <cfRule type="cellIs" dxfId="372" priority="200" operator="greaterThan">
      <formula>1</formula>
    </cfRule>
  </conditionalFormatting>
  <conditionalFormatting sqref="R84:R91">
    <cfRule type="cellIs" dxfId="371" priority="197" operator="greaterThan">
      <formula>1</formula>
    </cfRule>
    <cfRule type="cellIs" dxfId="370" priority="198" operator="lessThan">
      <formula>0.8</formula>
    </cfRule>
  </conditionalFormatting>
  <conditionalFormatting sqref="P84:P91">
    <cfRule type="cellIs" dxfId="369" priority="190" operator="greaterThan">
      <formula>0</formula>
    </cfRule>
  </conditionalFormatting>
  <conditionalFormatting sqref="Q84:Q91">
    <cfRule type="cellIs" dxfId="368" priority="195" operator="lessThan">
      <formula>0</formula>
    </cfRule>
  </conditionalFormatting>
  <conditionalFormatting sqref="R84:R91">
    <cfRule type="cellIs" dxfId="367" priority="193" operator="lessThan">
      <formula>0.8</formula>
    </cfRule>
    <cfRule type="cellIs" dxfId="366" priority="194" operator="greaterThan">
      <formula>1</formula>
    </cfRule>
  </conditionalFormatting>
  <conditionalFormatting sqref="R84:R91">
    <cfRule type="cellIs" dxfId="365" priority="191" operator="greaterThan">
      <formula>1</formula>
    </cfRule>
    <cfRule type="cellIs" dxfId="364" priority="192" operator="lessThan">
      <formula>0.8</formula>
    </cfRule>
  </conditionalFormatting>
  <conditionalFormatting sqref="R84:R91">
    <cfRule type="cellIs" dxfId="363" priority="187" operator="lessThan">
      <formula>0.8</formula>
    </cfRule>
    <cfRule type="cellIs" dxfId="362" priority="188" operator="greaterThan">
      <formula>1</formula>
    </cfRule>
  </conditionalFormatting>
  <conditionalFormatting sqref="R84:R91">
    <cfRule type="cellIs" dxfId="361" priority="185" operator="greaterThan">
      <formula>1</formula>
    </cfRule>
    <cfRule type="cellIs" dxfId="360" priority="186" operator="lessThan">
      <formula>0.8</formula>
    </cfRule>
  </conditionalFormatting>
  <conditionalFormatting sqref="P84:P91">
    <cfRule type="cellIs" dxfId="359" priority="184" operator="greaterThan">
      <formula>0</formula>
    </cfRule>
  </conditionalFormatting>
  <conditionalFormatting sqref="Q84:Q91">
    <cfRule type="cellIs" dxfId="358" priority="189" operator="lessThan">
      <formula>0</formula>
    </cfRule>
  </conditionalFormatting>
  <conditionalFormatting sqref="P84:P91">
    <cfRule type="cellIs" dxfId="357" priority="178" operator="greaterThan">
      <formula>0</formula>
    </cfRule>
  </conditionalFormatting>
  <conditionalFormatting sqref="Q84:Q91">
    <cfRule type="cellIs" dxfId="356" priority="183" operator="lessThan">
      <formula>0</formula>
    </cfRule>
  </conditionalFormatting>
  <conditionalFormatting sqref="R84:R91">
    <cfRule type="cellIs" dxfId="355" priority="181" operator="lessThan">
      <formula>0.8</formula>
    </cfRule>
    <cfRule type="cellIs" dxfId="354" priority="182" operator="greaterThan">
      <formula>1</formula>
    </cfRule>
  </conditionalFormatting>
  <conditionalFormatting sqref="R84:R91">
    <cfRule type="cellIs" dxfId="353" priority="179" operator="greaterThan">
      <formula>1</formula>
    </cfRule>
    <cfRule type="cellIs" dxfId="352" priority="180" operator="lessThan">
      <formula>0.8</formula>
    </cfRule>
  </conditionalFormatting>
  <conditionalFormatting sqref="R84:R91">
    <cfRule type="cellIs" dxfId="351" priority="175" operator="lessThan">
      <formula>0.8</formula>
    </cfRule>
    <cfRule type="cellIs" dxfId="350" priority="176" operator="greaterThan">
      <formula>1</formula>
    </cfRule>
  </conditionalFormatting>
  <conditionalFormatting sqref="R84:R91">
    <cfRule type="cellIs" dxfId="349" priority="173" operator="greaterThan">
      <formula>1</formula>
    </cfRule>
    <cfRule type="cellIs" dxfId="348" priority="174" operator="lessThan">
      <formula>0.8</formula>
    </cfRule>
  </conditionalFormatting>
  <conditionalFormatting sqref="P84:P91">
    <cfRule type="cellIs" dxfId="347" priority="172" operator="greaterThan">
      <formula>0</formula>
    </cfRule>
  </conditionalFormatting>
  <conditionalFormatting sqref="Q84:Q91">
    <cfRule type="cellIs" dxfId="346" priority="177" operator="lessThan">
      <formula>0</formula>
    </cfRule>
  </conditionalFormatting>
  <conditionalFormatting sqref="R84:R91">
    <cfRule type="cellIs" dxfId="345" priority="169" operator="lessThan">
      <formula>0.8</formula>
    </cfRule>
    <cfRule type="cellIs" dxfId="344" priority="170" operator="greaterThan">
      <formula>1</formula>
    </cfRule>
  </conditionalFormatting>
  <conditionalFormatting sqref="R84:R91">
    <cfRule type="cellIs" dxfId="343" priority="167" operator="greaterThan">
      <formula>1</formula>
    </cfRule>
    <cfRule type="cellIs" dxfId="342" priority="168" operator="lessThan">
      <formula>0.8</formula>
    </cfRule>
  </conditionalFormatting>
  <conditionalFormatting sqref="P84:P91">
    <cfRule type="cellIs" dxfId="341" priority="166" operator="greaterThan">
      <formula>0</formula>
    </cfRule>
  </conditionalFormatting>
  <conditionalFormatting sqref="Q84:Q91">
    <cfRule type="cellIs" dxfId="340" priority="171" operator="lessThan">
      <formula>0</formula>
    </cfRule>
  </conditionalFormatting>
  <conditionalFormatting sqref="Q84:Q91">
    <cfRule type="cellIs" dxfId="339" priority="165" operator="lessThan">
      <formula>0</formula>
    </cfRule>
  </conditionalFormatting>
  <conditionalFormatting sqref="R84:R91">
    <cfRule type="cellIs" dxfId="338" priority="163" operator="lessThan">
      <formula>0.8</formula>
    </cfRule>
    <cfRule type="cellIs" dxfId="337" priority="164" operator="greaterThan">
      <formula>1</formula>
    </cfRule>
  </conditionalFormatting>
  <conditionalFormatting sqref="R84:R91">
    <cfRule type="cellIs" dxfId="336" priority="161" operator="greaterThan">
      <formula>1</formula>
    </cfRule>
    <cfRule type="cellIs" dxfId="335" priority="162" operator="lessThan">
      <formula>0.8</formula>
    </cfRule>
  </conditionalFormatting>
  <conditionalFormatting sqref="P84:P91">
    <cfRule type="cellIs" dxfId="334" priority="160" operator="greaterThan">
      <formula>0</formula>
    </cfRule>
  </conditionalFormatting>
  <conditionalFormatting sqref="Q84:Q91">
    <cfRule type="cellIs" dxfId="333" priority="154" operator="lessThan">
      <formula>0</formula>
    </cfRule>
  </conditionalFormatting>
  <conditionalFormatting sqref="R84:R91">
    <cfRule type="cellIs" dxfId="332" priority="158" operator="lessThan">
      <formula>0.8</formula>
    </cfRule>
    <cfRule type="cellIs" dxfId="331" priority="159" operator="greaterThan">
      <formula>1</formula>
    </cfRule>
  </conditionalFormatting>
  <conditionalFormatting sqref="R84:R91">
    <cfRule type="cellIs" dxfId="330" priority="156" operator="greaterThan">
      <formula>1</formula>
    </cfRule>
    <cfRule type="cellIs" dxfId="329" priority="157" operator="lessThan">
      <formula>0.8</formula>
    </cfRule>
  </conditionalFormatting>
  <conditionalFormatting sqref="P84:P91">
    <cfRule type="cellIs" dxfId="328" priority="155" operator="greaterThan">
      <formula>0</formula>
    </cfRule>
  </conditionalFormatting>
  <conditionalFormatting sqref="Q84:Q91">
    <cfRule type="cellIs" dxfId="327" priority="153" operator="lessThan">
      <formula>0</formula>
    </cfRule>
  </conditionalFormatting>
  <conditionalFormatting sqref="R84:R91">
    <cfRule type="cellIs" dxfId="326" priority="151" operator="lessThan">
      <formula>0.8</formula>
    </cfRule>
    <cfRule type="cellIs" dxfId="325" priority="152" operator="greaterThan">
      <formula>1</formula>
    </cfRule>
  </conditionalFormatting>
  <conditionalFormatting sqref="R84:R91">
    <cfRule type="cellIs" dxfId="324" priority="149" operator="greaterThan">
      <formula>1</formula>
    </cfRule>
    <cfRule type="cellIs" dxfId="323" priority="150" operator="lessThan">
      <formula>0.8</formula>
    </cfRule>
  </conditionalFormatting>
  <conditionalFormatting sqref="P84:P91">
    <cfRule type="cellIs" dxfId="322" priority="148" operator="greaterThan">
      <formula>0</formula>
    </cfRule>
  </conditionalFormatting>
  <conditionalFormatting sqref="Q84:Q91">
    <cfRule type="cellIs" dxfId="321" priority="147" operator="lessThan">
      <formula>0</formula>
    </cfRule>
  </conditionalFormatting>
  <conditionalFormatting sqref="R84:R91">
    <cfRule type="cellIs" dxfId="320" priority="145" operator="lessThan">
      <formula>0.8</formula>
    </cfRule>
    <cfRule type="cellIs" dxfId="319" priority="146" operator="greaterThan">
      <formula>1</formula>
    </cfRule>
  </conditionalFormatting>
  <conditionalFormatting sqref="R84:R91">
    <cfRule type="cellIs" dxfId="318" priority="143" operator="greaterThan">
      <formula>1</formula>
    </cfRule>
    <cfRule type="cellIs" dxfId="317" priority="144" operator="lessThan">
      <formula>0.8</formula>
    </cfRule>
  </conditionalFormatting>
  <conditionalFormatting sqref="P84:P91">
    <cfRule type="cellIs" dxfId="316" priority="142" operator="greaterThan">
      <formula>0</formula>
    </cfRule>
  </conditionalFormatting>
  <conditionalFormatting sqref="Q84:Q91">
    <cfRule type="cellIs" dxfId="315" priority="141" operator="lessThan">
      <formula>0</formula>
    </cfRule>
  </conditionalFormatting>
  <conditionalFormatting sqref="R84:R91">
    <cfRule type="cellIs" dxfId="314" priority="139" operator="lessThan">
      <formula>0.8</formula>
    </cfRule>
    <cfRule type="cellIs" dxfId="313" priority="140" operator="greaterThan">
      <formula>1</formula>
    </cfRule>
  </conditionalFormatting>
  <conditionalFormatting sqref="R84:R91">
    <cfRule type="cellIs" dxfId="312" priority="137" operator="greaterThan">
      <formula>1</formula>
    </cfRule>
    <cfRule type="cellIs" dxfId="311" priority="138" operator="lessThan">
      <formula>0.8</formula>
    </cfRule>
  </conditionalFormatting>
  <conditionalFormatting sqref="P84:P91">
    <cfRule type="cellIs" dxfId="310" priority="136" operator="greaterThan">
      <formula>0</formula>
    </cfRule>
  </conditionalFormatting>
  <conditionalFormatting sqref="Q84:Q91">
    <cfRule type="cellIs" dxfId="309" priority="135" operator="lessThan">
      <formula>0</formula>
    </cfRule>
  </conditionalFormatting>
  <conditionalFormatting sqref="R84:R91">
    <cfRule type="cellIs" dxfId="308" priority="133" operator="lessThan">
      <formula>0.8</formula>
    </cfRule>
    <cfRule type="cellIs" dxfId="307" priority="134" operator="greaterThan">
      <formula>1</formula>
    </cfRule>
  </conditionalFormatting>
  <conditionalFormatting sqref="R84:R91">
    <cfRule type="cellIs" dxfId="306" priority="131" operator="greaterThan">
      <formula>1</formula>
    </cfRule>
    <cfRule type="cellIs" dxfId="305" priority="132" operator="lessThan">
      <formula>0.8</formula>
    </cfRule>
  </conditionalFormatting>
  <conditionalFormatting sqref="P84:P91">
    <cfRule type="cellIs" dxfId="304" priority="130" operator="greaterThan">
      <formula>0</formula>
    </cfRule>
  </conditionalFormatting>
  <conditionalFormatting sqref="Q84:Q91">
    <cfRule type="cellIs" dxfId="303" priority="129" operator="lessThan">
      <formula>0</formula>
    </cfRule>
  </conditionalFormatting>
  <conditionalFormatting sqref="R84:R91">
    <cfRule type="cellIs" dxfId="302" priority="127" operator="lessThan">
      <formula>0.8</formula>
    </cfRule>
    <cfRule type="cellIs" dxfId="301" priority="128" operator="greaterThan">
      <formula>1</formula>
    </cfRule>
  </conditionalFormatting>
  <conditionalFormatting sqref="R84:R91">
    <cfRule type="cellIs" dxfId="300" priority="125" operator="greaterThan">
      <formula>1</formula>
    </cfRule>
    <cfRule type="cellIs" dxfId="299" priority="126" operator="lessThan">
      <formula>0.8</formula>
    </cfRule>
  </conditionalFormatting>
  <conditionalFormatting sqref="P84:P91">
    <cfRule type="cellIs" dxfId="298" priority="124" operator="greaterThan">
      <formula>0</formula>
    </cfRule>
  </conditionalFormatting>
  <conditionalFormatting sqref="P84:P91">
    <cfRule type="cellIs" dxfId="297" priority="118" operator="greaterThan">
      <formula>0</formula>
    </cfRule>
  </conditionalFormatting>
  <conditionalFormatting sqref="Q84:Q91">
    <cfRule type="cellIs" dxfId="296" priority="123" operator="lessThan">
      <formula>0</formula>
    </cfRule>
  </conditionalFormatting>
  <conditionalFormatting sqref="R84:R91">
    <cfRule type="cellIs" dxfId="295" priority="121" operator="lessThan">
      <formula>0.8</formula>
    </cfRule>
    <cfRule type="cellIs" dxfId="294" priority="122" operator="greaterThan">
      <formula>1</formula>
    </cfRule>
  </conditionalFormatting>
  <conditionalFormatting sqref="R84:R91">
    <cfRule type="cellIs" dxfId="293" priority="119" operator="greaterThan">
      <formula>1</formula>
    </cfRule>
    <cfRule type="cellIs" dxfId="292" priority="120" operator="lessThan">
      <formula>0.8</formula>
    </cfRule>
  </conditionalFormatting>
  <conditionalFormatting sqref="P84:P91">
    <cfRule type="cellIs" dxfId="291" priority="112" operator="greaterThan">
      <formula>0</formula>
    </cfRule>
  </conditionalFormatting>
  <conditionalFormatting sqref="Q84:Q91">
    <cfRule type="cellIs" dxfId="290" priority="117" operator="lessThan">
      <formula>0</formula>
    </cfRule>
  </conditionalFormatting>
  <conditionalFormatting sqref="R84:R91">
    <cfRule type="cellIs" dxfId="289" priority="115" operator="lessThan">
      <formula>0.8</formula>
    </cfRule>
    <cfRule type="cellIs" dxfId="288" priority="116" operator="greaterThan">
      <formula>1</formula>
    </cfRule>
  </conditionalFormatting>
  <conditionalFormatting sqref="R84:R91">
    <cfRule type="cellIs" dxfId="287" priority="113" operator="greaterThan">
      <formula>1</formula>
    </cfRule>
    <cfRule type="cellIs" dxfId="286" priority="114" operator="lessThan">
      <formula>0.8</formula>
    </cfRule>
  </conditionalFormatting>
  <conditionalFormatting sqref="R84:R91">
    <cfRule type="cellIs" dxfId="285" priority="109" operator="lessThan">
      <formula>0.8</formula>
    </cfRule>
    <cfRule type="cellIs" dxfId="284" priority="110" operator="greaterThan">
      <formula>1</formula>
    </cfRule>
  </conditionalFormatting>
  <conditionalFormatting sqref="R84:R91">
    <cfRule type="cellIs" dxfId="283" priority="107" operator="greaterThan">
      <formula>1</formula>
    </cfRule>
    <cfRule type="cellIs" dxfId="282" priority="108" operator="lessThan">
      <formula>0.8</formula>
    </cfRule>
  </conditionalFormatting>
  <conditionalFormatting sqref="P84:P91">
    <cfRule type="cellIs" dxfId="281" priority="106" operator="greaterThan">
      <formula>0</formula>
    </cfRule>
  </conditionalFormatting>
  <conditionalFormatting sqref="Q84:Q91">
    <cfRule type="cellIs" dxfId="280" priority="111" operator="lessThan">
      <formula>0</formula>
    </cfRule>
  </conditionalFormatting>
  <conditionalFormatting sqref="Q84:Q91">
    <cfRule type="cellIs" dxfId="279" priority="100" operator="lessThan">
      <formula>0</formula>
    </cfRule>
  </conditionalFormatting>
  <conditionalFormatting sqref="P84:P91">
    <cfRule type="cellIs" dxfId="278" priority="101" operator="greaterThan">
      <formula>0</formula>
    </cfRule>
  </conditionalFormatting>
  <conditionalFormatting sqref="R84:R91">
    <cfRule type="cellIs" dxfId="277" priority="104" operator="lessThan">
      <formula>0.8</formula>
    </cfRule>
    <cfRule type="cellIs" dxfId="276" priority="105" operator="greaterThan">
      <formula>1</formula>
    </cfRule>
  </conditionalFormatting>
  <conditionalFormatting sqref="R84:R91">
    <cfRule type="cellIs" dxfId="275" priority="102" operator="greaterThan">
      <formula>1</formula>
    </cfRule>
    <cfRule type="cellIs" dxfId="274" priority="103" operator="lessThan">
      <formula>0.8</formula>
    </cfRule>
  </conditionalFormatting>
  <conditionalFormatting sqref="Q84:Q91">
    <cfRule type="cellIs" dxfId="273" priority="94" operator="lessThan">
      <formula>0</formula>
    </cfRule>
  </conditionalFormatting>
  <conditionalFormatting sqref="R84:R91">
    <cfRule type="cellIs" dxfId="272" priority="98" operator="lessThan">
      <formula>0.8</formula>
    </cfRule>
    <cfRule type="cellIs" dxfId="271" priority="99" operator="greaterThan">
      <formula>1</formula>
    </cfRule>
  </conditionalFormatting>
  <conditionalFormatting sqref="R84:R91">
    <cfRule type="cellIs" dxfId="270" priority="96" operator="greaterThan">
      <formula>1</formula>
    </cfRule>
    <cfRule type="cellIs" dxfId="269" priority="97" operator="lessThan">
      <formula>0.8</formula>
    </cfRule>
  </conditionalFormatting>
  <conditionalFormatting sqref="P84:P91">
    <cfRule type="cellIs" dxfId="268" priority="95" operator="greaterThan">
      <formula>0</formula>
    </cfRule>
  </conditionalFormatting>
  <conditionalFormatting sqref="Q84:Q91">
    <cfRule type="cellIs" dxfId="267" priority="93" operator="lessThan">
      <formula>0</formula>
    </cfRule>
  </conditionalFormatting>
  <conditionalFormatting sqref="R84:R91">
    <cfRule type="cellIs" dxfId="266" priority="91" operator="lessThan">
      <formula>0.8</formula>
    </cfRule>
    <cfRule type="cellIs" dxfId="265" priority="92" operator="greaterThan">
      <formula>1</formula>
    </cfRule>
  </conditionalFormatting>
  <conditionalFormatting sqref="R84:R91">
    <cfRule type="cellIs" dxfId="264" priority="89" operator="greaterThan">
      <formula>1</formula>
    </cfRule>
    <cfRule type="cellIs" dxfId="263" priority="90" operator="lessThan">
      <formula>0.8</formula>
    </cfRule>
  </conditionalFormatting>
  <conditionalFormatting sqref="P84:P91">
    <cfRule type="cellIs" dxfId="262" priority="88" operator="greaterThan">
      <formula>0</formula>
    </cfRule>
  </conditionalFormatting>
  <conditionalFormatting sqref="Q84:Q91">
    <cfRule type="cellIs" dxfId="261" priority="87" operator="lessThan">
      <formula>0</formula>
    </cfRule>
  </conditionalFormatting>
  <conditionalFormatting sqref="R84:R91">
    <cfRule type="cellIs" dxfId="260" priority="85" operator="lessThan">
      <formula>0.8</formula>
    </cfRule>
    <cfRule type="cellIs" dxfId="259" priority="86" operator="greaterThan">
      <formula>1</formula>
    </cfRule>
  </conditionalFormatting>
  <conditionalFormatting sqref="R84:R91">
    <cfRule type="cellIs" dxfId="258" priority="83" operator="greaterThan">
      <formula>1</formula>
    </cfRule>
    <cfRule type="cellIs" dxfId="257" priority="84" operator="lessThan">
      <formula>0.8</formula>
    </cfRule>
  </conditionalFormatting>
  <conditionalFormatting sqref="P84:P91">
    <cfRule type="cellIs" dxfId="256" priority="82" operator="greaterThan">
      <formula>0</formula>
    </cfRule>
  </conditionalFormatting>
  <conditionalFormatting sqref="Q84:Q91">
    <cfRule type="cellIs" dxfId="255" priority="81" operator="lessThan">
      <formula>0</formula>
    </cfRule>
  </conditionalFormatting>
  <conditionalFormatting sqref="R84:R91">
    <cfRule type="cellIs" dxfId="254" priority="79" operator="lessThan">
      <formula>0.8</formula>
    </cfRule>
    <cfRule type="cellIs" dxfId="253" priority="80" operator="greaterThan">
      <formula>1</formula>
    </cfRule>
  </conditionalFormatting>
  <conditionalFormatting sqref="R84:R91">
    <cfRule type="cellIs" dxfId="252" priority="77" operator="greaterThan">
      <formula>1</formula>
    </cfRule>
    <cfRule type="cellIs" dxfId="251" priority="78" operator="lessThan">
      <formula>0.8</formula>
    </cfRule>
  </conditionalFormatting>
  <conditionalFormatting sqref="P84:P91">
    <cfRule type="cellIs" dxfId="250" priority="76" operator="greaterThan">
      <formula>0</formula>
    </cfRule>
  </conditionalFormatting>
  <conditionalFormatting sqref="Q162:Q167">
    <cfRule type="cellIs" dxfId="249" priority="75" operator="lessThan">
      <formula>0</formula>
    </cfRule>
  </conditionalFormatting>
  <conditionalFormatting sqref="R162:R167">
    <cfRule type="cellIs" dxfId="248" priority="73" operator="lessThan">
      <formula>0.8</formula>
    </cfRule>
    <cfRule type="cellIs" dxfId="247" priority="74" operator="greaterThan">
      <formula>1</formula>
    </cfRule>
  </conditionalFormatting>
  <conditionalFormatting sqref="R162:R167">
    <cfRule type="cellIs" dxfId="246" priority="71" operator="greaterThan">
      <formula>1</formula>
    </cfRule>
    <cfRule type="cellIs" dxfId="245" priority="72" operator="lessThan">
      <formula>0.8</formula>
    </cfRule>
  </conditionalFormatting>
  <conditionalFormatting sqref="P162:P167">
    <cfRule type="cellIs" dxfId="244" priority="70" operator="greaterThan">
      <formula>0</formula>
    </cfRule>
  </conditionalFormatting>
  <conditionalFormatting sqref="P168">
    <cfRule type="cellIs" dxfId="243" priority="64" operator="greaterThan">
      <formula>0</formula>
    </cfRule>
  </conditionalFormatting>
  <conditionalFormatting sqref="R168">
    <cfRule type="cellIs" dxfId="242" priority="67" operator="lessThan">
      <formula>0.8</formula>
    </cfRule>
    <cfRule type="cellIs" dxfId="241" priority="68" operator="greaterThan">
      <formula>1</formula>
    </cfRule>
  </conditionalFormatting>
  <conditionalFormatting sqref="R168">
    <cfRule type="cellIs" dxfId="240" priority="65" operator="greaterThan">
      <formula>1</formula>
    </cfRule>
    <cfRule type="cellIs" dxfId="239" priority="66" operator="lessThan">
      <formula>0.8</formula>
    </cfRule>
  </conditionalFormatting>
  <conditionalFormatting sqref="Q168">
    <cfRule type="cellIs" dxfId="238" priority="69" operator="lessThan">
      <formula>0</formula>
    </cfRule>
  </conditionalFormatting>
  <conditionalFormatting sqref="Q161">
    <cfRule type="cellIs" dxfId="237" priority="63" operator="lessThan">
      <formula>0</formula>
    </cfRule>
  </conditionalFormatting>
  <conditionalFormatting sqref="R161">
    <cfRule type="cellIs" dxfId="236" priority="61" operator="lessThan">
      <formula>0.8</formula>
    </cfRule>
    <cfRule type="cellIs" dxfId="235" priority="62" operator="greaterThan">
      <formula>1</formula>
    </cfRule>
  </conditionalFormatting>
  <conditionalFormatting sqref="R161">
    <cfRule type="cellIs" dxfId="234" priority="59" operator="greaterThan">
      <formula>1</formula>
    </cfRule>
    <cfRule type="cellIs" dxfId="233" priority="60" operator="lessThan">
      <formula>0.8</formula>
    </cfRule>
  </conditionalFormatting>
  <conditionalFormatting sqref="P161">
    <cfRule type="cellIs" dxfId="232" priority="58" operator="greaterThan">
      <formula>0</formula>
    </cfRule>
  </conditionalFormatting>
  <conditionalFormatting sqref="Q162:Q167">
    <cfRule type="cellIs" dxfId="231" priority="57" operator="lessThan">
      <formula>0</formula>
    </cfRule>
  </conditionalFormatting>
  <conditionalFormatting sqref="R162:R167">
    <cfRule type="cellIs" dxfId="230" priority="55" operator="lessThan">
      <formula>0.8</formula>
    </cfRule>
    <cfRule type="cellIs" dxfId="229" priority="56" operator="greaterThan">
      <formula>1</formula>
    </cfRule>
  </conditionalFormatting>
  <conditionalFormatting sqref="R162:R167">
    <cfRule type="cellIs" dxfId="228" priority="53" operator="greaterThan">
      <formula>1</formula>
    </cfRule>
    <cfRule type="cellIs" dxfId="227" priority="54" operator="lessThan">
      <formula>0.8</formula>
    </cfRule>
  </conditionalFormatting>
  <conditionalFormatting sqref="P162:P167">
    <cfRule type="cellIs" dxfId="226" priority="52" operator="greaterThan">
      <formula>0</formula>
    </cfRule>
  </conditionalFormatting>
  <conditionalFormatting sqref="Q162:Q167">
    <cfRule type="cellIs" dxfId="225" priority="51" operator="lessThan">
      <formula>0</formula>
    </cfRule>
  </conditionalFormatting>
  <conditionalFormatting sqref="R162:R167">
    <cfRule type="cellIs" dxfId="224" priority="49" operator="lessThan">
      <formula>0.8</formula>
    </cfRule>
    <cfRule type="cellIs" dxfId="223" priority="50" operator="greaterThan">
      <formula>1</formula>
    </cfRule>
  </conditionalFormatting>
  <conditionalFormatting sqref="R162:R167">
    <cfRule type="cellIs" dxfId="222" priority="47" operator="greaterThan">
      <formula>1</formula>
    </cfRule>
    <cfRule type="cellIs" dxfId="221" priority="48" operator="lessThan">
      <formula>0.8</formula>
    </cfRule>
  </conditionalFormatting>
  <conditionalFormatting sqref="P162:P167">
    <cfRule type="cellIs" dxfId="220" priority="46" operator="greaterThan">
      <formula>0</formula>
    </cfRule>
  </conditionalFormatting>
  <conditionalFormatting sqref="Q168">
    <cfRule type="cellIs" dxfId="219" priority="45" operator="lessThan">
      <formula>0</formula>
    </cfRule>
  </conditionalFormatting>
  <conditionalFormatting sqref="R168">
    <cfRule type="cellIs" dxfId="218" priority="43" operator="lessThan">
      <formula>0.8</formula>
    </cfRule>
    <cfRule type="cellIs" dxfId="217" priority="44" operator="greaterThan">
      <formula>1</formula>
    </cfRule>
  </conditionalFormatting>
  <conditionalFormatting sqref="R168">
    <cfRule type="cellIs" dxfId="216" priority="41" operator="greaterThan">
      <formula>1</formula>
    </cfRule>
    <cfRule type="cellIs" dxfId="215" priority="42" operator="lessThan">
      <formula>0.8</formula>
    </cfRule>
  </conditionalFormatting>
  <conditionalFormatting sqref="P168">
    <cfRule type="cellIs" dxfId="214" priority="40" operator="greaterThan">
      <formula>0</formula>
    </cfRule>
  </conditionalFormatting>
  <conditionalFormatting sqref="Q161">
    <cfRule type="cellIs" dxfId="213" priority="39" operator="lessThan">
      <formula>0</formula>
    </cfRule>
  </conditionalFormatting>
  <conditionalFormatting sqref="R161">
    <cfRule type="cellIs" dxfId="212" priority="37" operator="lessThan">
      <formula>0.8</formula>
    </cfRule>
    <cfRule type="cellIs" dxfId="211" priority="38" operator="greaterThan">
      <formula>1</formula>
    </cfRule>
  </conditionalFormatting>
  <conditionalFormatting sqref="R161">
    <cfRule type="cellIs" dxfId="210" priority="35" operator="greaterThan">
      <formula>1</formula>
    </cfRule>
    <cfRule type="cellIs" dxfId="209" priority="36" operator="lessThan">
      <formula>0.8</formula>
    </cfRule>
  </conditionalFormatting>
  <conditionalFormatting sqref="P161">
    <cfRule type="cellIs" dxfId="208" priority="34" operator="greaterThan">
      <formula>0</formula>
    </cfRule>
  </conditionalFormatting>
  <conditionalFormatting sqref="Q162:Q167">
    <cfRule type="cellIs" dxfId="207" priority="33" operator="lessThan">
      <formula>0</formula>
    </cfRule>
  </conditionalFormatting>
  <conditionalFormatting sqref="R162:R167">
    <cfRule type="cellIs" dxfId="206" priority="31" operator="lessThan">
      <formula>0.8</formula>
    </cfRule>
    <cfRule type="cellIs" dxfId="205" priority="32" operator="greaterThan">
      <formula>1</formula>
    </cfRule>
  </conditionalFormatting>
  <conditionalFormatting sqref="R162:R167">
    <cfRule type="cellIs" dxfId="204" priority="29" operator="greaterThan">
      <formula>1</formula>
    </cfRule>
    <cfRule type="cellIs" dxfId="203" priority="30" operator="lessThan">
      <formula>0.8</formula>
    </cfRule>
  </conditionalFormatting>
  <conditionalFormatting sqref="P162:P167">
    <cfRule type="cellIs" dxfId="202" priority="28" operator="greaterThan">
      <formula>0</formula>
    </cfRule>
  </conditionalFormatting>
  <conditionalFormatting sqref="Q161">
    <cfRule type="cellIs" dxfId="201" priority="27" operator="lessThan">
      <formula>0</formula>
    </cfRule>
  </conditionalFormatting>
  <conditionalFormatting sqref="R161">
    <cfRule type="cellIs" dxfId="200" priority="25" operator="lessThan">
      <formula>0.8</formula>
    </cfRule>
    <cfRule type="cellIs" dxfId="199" priority="26" operator="greaterThan">
      <formula>1</formula>
    </cfRule>
  </conditionalFormatting>
  <conditionalFormatting sqref="R161">
    <cfRule type="cellIs" dxfId="198" priority="23" operator="greaterThan">
      <formula>1</formula>
    </cfRule>
    <cfRule type="cellIs" dxfId="197" priority="24" operator="lessThan">
      <formula>0.8</formula>
    </cfRule>
  </conditionalFormatting>
  <conditionalFormatting sqref="P161">
    <cfRule type="cellIs" dxfId="196" priority="22" operator="greaterThan">
      <formula>0</formula>
    </cfRule>
  </conditionalFormatting>
  <conditionalFormatting sqref="Q162:Q167">
    <cfRule type="cellIs" dxfId="195" priority="21" operator="lessThan">
      <formula>0</formula>
    </cfRule>
  </conditionalFormatting>
  <conditionalFormatting sqref="R162:R167">
    <cfRule type="cellIs" dxfId="194" priority="19" operator="lessThan">
      <formula>0.8</formula>
    </cfRule>
    <cfRule type="cellIs" dxfId="193" priority="20" operator="greaterThan">
      <formula>1</formula>
    </cfRule>
  </conditionalFormatting>
  <conditionalFormatting sqref="R162:R167">
    <cfRule type="cellIs" dxfId="192" priority="17" operator="greaterThan">
      <formula>1</formula>
    </cfRule>
    <cfRule type="cellIs" dxfId="191" priority="18" operator="lessThan">
      <formula>0.8</formula>
    </cfRule>
  </conditionalFormatting>
  <conditionalFormatting sqref="P162:P167">
    <cfRule type="cellIs" dxfId="190" priority="16" operator="greaterThan">
      <formula>0</formula>
    </cfRule>
  </conditionalFormatting>
  <conditionalFormatting sqref="Q161">
    <cfRule type="cellIs" dxfId="189" priority="15" operator="lessThan">
      <formula>0</formula>
    </cfRule>
  </conditionalFormatting>
  <conditionalFormatting sqref="R161">
    <cfRule type="cellIs" dxfId="188" priority="13" operator="lessThan">
      <formula>0.8</formula>
    </cfRule>
    <cfRule type="cellIs" dxfId="187" priority="14" operator="greaterThan">
      <formula>1</formula>
    </cfRule>
  </conditionalFormatting>
  <conditionalFormatting sqref="R161">
    <cfRule type="cellIs" dxfId="186" priority="11" operator="greaterThan">
      <formula>1</formula>
    </cfRule>
    <cfRule type="cellIs" dxfId="185" priority="12" operator="lessThan">
      <formula>0.8</formula>
    </cfRule>
  </conditionalFormatting>
  <conditionalFormatting sqref="P161">
    <cfRule type="cellIs" dxfId="184" priority="10" operator="greaterThan">
      <formula>0</formula>
    </cfRule>
  </conditionalFormatting>
  <conditionalFormatting sqref="P168">
    <cfRule type="cellIs" dxfId="183" priority="4" operator="greaterThan">
      <formula>0</formula>
    </cfRule>
  </conditionalFormatting>
  <conditionalFormatting sqref="R168">
    <cfRule type="cellIs" dxfId="182" priority="7" operator="lessThan">
      <formula>0.8</formula>
    </cfRule>
    <cfRule type="cellIs" dxfId="181" priority="8" operator="greaterThan">
      <formula>1</formula>
    </cfRule>
  </conditionalFormatting>
  <conditionalFormatting sqref="R168">
    <cfRule type="cellIs" dxfId="180" priority="5" operator="greaterThan">
      <formula>1</formula>
    </cfRule>
    <cfRule type="cellIs" dxfId="179" priority="6" operator="lessThan">
      <formula>0.8</formula>
    </cfRule>
  </conditionalFormatting>
  <conditionalFormatting sqref="Q168">
    <cfRule type="cellIs" dxfId="178" priority="9" operator="lessThan">
      <formula>0</formula>
    </cfRule>
  </conditionalFormatting>
  <conditionalFormatting sqref="AF30">
    <cfRule type="cellIs" dxfId="177" priority="3" operator="lessThan">
      <formula>0</formula>
    </cfRule>
  </conditionalFormatting>
  <conditionalFormatting sqref="AG30">
    <cfRule type="cellIs" dxfId="176" priority="1" operator="greaterThan">
      <formula>1</formula>
    </cfRule>
    <cfRule type="cellIs" dxfId="175" priority="2" operator="lessThan">
      <formula>0.8</formula>
    </cfRule>
  </conditionalFormatting>
  <dataValidations count="1">
    <dataValidation type="list" allowBlank="1" showInputMessage="1" showErrorMessage="1" sqref="AB5:AC173" xr:uid="{00000000-0002-0000-14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B8D5-677D-42DB-A672-DF43FE5E8C86}">
  <sheetPr>
    <pageSetUpPr fitToPage="1"/>
  </sheetPr>
  <dimension ref="B1:W38"/>
  <sheetViews>
    <sheetView tabSelected="1" zoomScale="40" zoomScaleNormal="40" workbookViewId="0">
      <selection activeCell="S18" sqref="S1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7" t="s">
        <v>0</v>
      </c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  <c r="N1" s="1"/>
      <c r="O1" s="1"/>
    </row>
    <row r="2" spans="2:17" ht="27.75" customHeight="1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9"/>
      <c r="N2" s="1"/>
      <c r="O2" s="1"/>
    </row>
    <row r="3" spans="2:17" ht="46.5" customHeight="1">
      <c r="B3" s="510" t="s">
        <v>1</v>
      </c>
      <c r="C3" s="511"/>
      <c r="D3" s="512" t="s">
        <v>812</v>
      </c>
      <c r="E3" s="513"/>
      <c r="F3" s="510" t="s">
        <v>2</v>
      </c>
      <c r="G3" s="511"/>
      <c r="H3" s="514">
        <v>296326.59999999998</v>
      </c>
      <c r="I3" s="515"/>
      <c r="J3" s="510" t="s">
        <v>3</v>
      </c>
      <c r="K3" s="511"/>
      <c r="L3" s="505">
        <v>9752489.7177677173</v>
      </c>
      <c r="M3" s="506"/>
      <c r="N3" s="372"/>
      <c r="O3" s="372"/>
      <c r="P3" s="372"/>
      <c r="Q3" s="372"/>
    </row>
    <row r="4" spans="2:17" ht="24" customHeight="1">
      <c r="B4" s="510" t="s">
        <v>135</v>
      </c>
      <c r="C4" s="511"/>
      <c r="D4" s="527" t="s">
        <v>135</v>
      </c>
      <c r="E4" s="528"/>
      <c r="F4" s="503" t="s">
        <v>136</v>
      </c>
      <c r="G4" s="504"/>
      <c r="H4" s="503" t="s">
        <v>137</v>
      </c>
      <c r="I4" s="504"/>
      <c r="J4" s="503" t="s">
        <v>138</v>
      </c>
      <c r="K4" s="504"/>
      <c r="L4" s="505" t="s">
        <v>139</v>
      </c>
      <c r="M4" s="506"/>
      <c r="N4" s="519" t="s">
        <v>4</v>
      </c>
      <c r="O4" s="520"/>
      <c r="P4" s="520" t="s">
        <v>5</v>
      </c>
      <c r="Q4" s="520"/>
    </row>
    <row r="5" spans="2:17" ht="24" customHeight="1">
      <c r="B5" s="521" t="s">
        <v>35</v>
      </c>
      <c r="C5" s="522"/>
      <c r="D5" s="527" t="s">
        <v>140</v>
      </c>
      <c r="E5" s="528"/>
      <c r="F5" s="527" t="s">
        <v>6</v>
      </c>
      <c r="G5" s="528"/>
      <c r="H5" s="529" t="s">
        <v>7</v>
      </c>
      <c r="I5" s="530"/>
      <c r="J5" s="531" t="s">
        <v>8</v>
      </c>
      <c r="K5" s="532"/>
      <c r="L5" s="533" t="s">
        <v>9</v>
      </c>
      <c r="M5" s="534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3"/>
      <c r="C6" s="524"/>
      <c r="D6" s="510" t="s">
        <v>10</v>
      </c>
      <c r="E6" s="511"/>
      <c r="F6" s="535">
        <f>AVERAGE(D13:O13,P13:Q13,D30:E30,G30:H30,J30:M30)</f>
        <v>380.21177633139246</v>
      </c>
      <c r="G6" s="536"/>
      <c r="H6" s="548">
        <f>AVERAGE(D13:P13,Q13)</f>
        <v>135.33279137790237</v>
      </c>
      <c r="I6" s="549"/>
      <c r="J6" s="548">
        <f>AVERAGE(D30:E30,G30:H30)</f>
        <v>736.25</v>
      </c>
      <c r="K6" s="549"/>
      <c r="L6" s="550">
        <f>AVERAGE(J30:M30)</f>
        <v>881.25</v>
      </c>
      <c r="M6" s="551"/>
      <c r="N6" s="552">
        <v>0</v>
      </c>
      <c r="O6" s="539">
        <v>0</v>
      </c>
      <c r="P6" s="516">
        <v>10</v>
      </c>
      <c r="Q6" s="539">
        <v>7</v>
      </c>
    </row>
    <row r="7" spans="2:17" s="5" customFormat="1" ht="39.6" customHeight="1">
      <c r="B7" s="523"/>
      <c r="C7" s="524"/>
      <c r="D7" s="540" t="s">
        <v>11</v>
      </c>
      <c r="E7" s="541"/>
      <c r="F7" s="542">
        <f>AVERAGE(D14:O14,P14:Q14,D31:E31,J31:M31,G31:H31)</f>
        <v>357.06664929527255</v>
      </c>
      <c r="G7" s="543"/>
      <c r="H7" s="544">
        <f>AVERAGE(D14:P14,Q14)</f>
        <v>122.12074571505082</v>
      </c>
      <c r="I7" s="545"/>
      <c r="J7" s="544">
        <f>AVERAGE(D31:E31,G31:H31)</f>
        <v>707.56692954431833</v>
      </c>
      <c r="K7" s="545"/>
      <c r="L7" s="546">
        <f>AVERAGE(J31:M31)</f>
        <v>828.87703157700298</v>
      </c>
      <c r="M7" s="547"/>
      <c r="N7" s="552"/>
      <c r="O7" s="539"/>
      <c r="P7" s="516"/>
      <c r="Q7" s="539"/>
    </row>
    <row r="8" spans="2:17" s="5" customFormat="1" ht="39.6" customHeight="1">
      <c r="B8" s="525"/>
      <c r="C8" s="526"/>
      <c r="D8" s="540" t="s">
        <v>12</v>
      </c>
      <c r="E8" s="541"/>
      <c r="F8" s="517">
        <f>AVERAGE(D15:O15,P15:Q15,D32:E32,G32:H32,J32:M32)</f>
        <v>0.90348221136895079</v>
      </c>
      <c r="G8" s="518"/>
      <c r="H8" s="517">
        <f>AVERAGE(D15:O15,P15:Q15)</f>
        <v>0.89681834722261533</v>
      </c>
      <c r="I8" s="518"/>
      <c r="J8" s="517">
        <f>AVERAGE(D32:E32,G32:H32)</f>
        <v>0.88418720509381021</v>
      </c>
      <c r="K8" s="518"/>
      <c r="L8" s="517">
        <f>AVERAGE(J32:M32)</f>
        <v>0.94610074215626594</v>
      </c>
      <c r="M8" s="518"/>
      <c r="N8" s="552"/>
      <c r="O8" s="539"/>
      <c r="P8" s="516"/>
      <c r="Q8" s="539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53" t="s">
        <v>145</v>
      </c>
      <c r="C10" s="554"/>
      <c r="D10" s="555" t="s">
        <v>146</v>
      </c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7"/>
    </row>
    <row r="11" spans="2:17" ht="17.25" customHeight="1">
      <c r="B11" s="558" t="s">
        <v>147</v>
      </c>
      <c r="C11" s="522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559"/>
      <c r="C12" s="526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560" t="s">
        <v>35</v>
      </c>
      <c r="C13" s="14" t="s">
        <v>161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95.778799019607845</v>
      </c>
      <c r="K13" s="19">
        <v>94.572449394430805</v>
      </c>
      <c r="L13" s="19">
        <v>91.533045235638113</v>
      </c>
      <c r="M13" s="19">
        <v>79.775987588017671</v>
      </c>
      <c r="N13" s="19">
        <v>86.498180705030563</v>
      </c>
      <c r="O13" s="19">
        <v>104.44444444444444</v>
      </c>
      <c r="P13" s="19">
        <v>201.44079254079256</v>
      </c>
      <c r="Q13" s="21">
        <v>150</v>
      </c>
    </row>
    <row r="14" spans="2:17" ht="39.9" customHeight="1">
      <c r="B14" s="561"/>
      <c r="C14" s="14" t="s">
        <v>162</v>
      </c>
      <c r="D14" s="19">
        <v>127.3359914809986</v>
      </c>
      <c r="E14" s="19">
        <v>101.99380969558899</v>
      </c>
      <c r="F14" s="19">
        <v>113.40723680534975</v>
      </c>
      <c r="G14" s="19">
        <v>253.98476820832755</v>
      </c>
      <c r="H14" s="19">
        <v>219.51201560953496</v>
      </c>
      <c r="I14" s="19">
        <v>79.887161251005509</v>
      </c>
      <c r="J14" s="19">
        <v>79.764428489833918</v>
      </c>
      <c r="K14" s="19">
        <v>84.595648213671325</v>
      </c>
      <c r="L14" s="19">
        <v>82.896075241063841</v>
      </c>
      <c r="M14" s="19">
        <v>70.246455465693472</v>
      </c>
      <c r="N14" s="19">
        <v>77.075287844658121</v>
      </c>
      <c r="O14" s="19">
        <v>89.935702230205905</v>
      </c>
      <c r="P14" s="19">
        <v>185.36214539970581</v>
      </c>
      <c r="Q14" s="9">
        <v>143.69371407507381</v>
      </c>
    </row>
    <row r="15" spans="2:17" ht="39.9" customHeight="1">
      <c r="B15" s="562"/>
      <c r="C15" s="373" t="s">
        <v>163</v>
      </c>
      <c r="D15" s="10">
        <f t="shared" ref="D15:Q15" si="0">D14/D13</f>
        <v>0.90970205785759795</v>
      </c>
      <c r="E15" s="10">
        <f t="shared" si="0"/>
        <v>0.8702652687496143</v>
      </c>
      <c r="F15" s="10">
        <f t="shared" si="0"/>
        <v>0.84331929767802249</v>
      </c>
      <c r="G15" s="10">
        <f t="shared" si="0"/>
        <v>0.8843407473367676</v>
      </c>
      <c r="H15" s="10">
        <f t="shared" si="0"/>
        <v>0.9704741742737335</v>
      </c>
      <c r="I15" s="10">
        <f t="shared" si="0"/>
        <v>0.93357444440426984</v>
      </c>
      <c r="J15" s="10">
        <f t="shared" si="0"/>
        <v>0.83279837820376656</v>
      </c>
      <c r="K15" s="10">
        <f t="shared" si="0"/>
        <v>0.89450626218689233</v>
      </c>
      <c r="L15" s="10">
        <f t="shared" si="0"/>
        <v>0.90564096308235253</v>
      </c>
      <c r="M15" s="10">
        <f t="shared" si="0"/>
        <v>0.88054635974502771</v>
      </c>
      <c r="N15" s="10">
        <f t="shared" si="0"/>
        <v>0.89106253121663137</v>
      </c>
      <c r="O15" s="10">
        <f t="shared" si="0"/>
        <v>0.86108651071473741</v>
      </c>
      <c r="P15" s="375">
        <f t="shared" si="0"/>
        <v>0.92018177183337502</v>
      </c>
      <c r="Q15" s="11">
        <f t="shared" si="0"/>
        <v>0.95795809383382546</v>
      </c>
    </row>
    <row r="16" spans="2:17" ht="22.8" customHeight="1">
      <c r="B16" s="563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0.58333333333333337</v>
      </c>
      <c r="P16" s="12">
        <v>0.16666666666666666</v>
      </c>
      <c r="Q16" s="376">
        <v>0.17361111111111113</v>
      </c>
    </row>
    <row r="17" spans="2:23" ht="22.8" customHeight="1">
      <c r="B17" s="564"/>
      <c r="C17" s="373" t="s">
        <v>36</v>
      </c>
      <c r="D17" s="12">
        <v>0.71041666666666659</v>
      </c>
      <c r="E17" s="12">
        <v>0.66736111111111096</v>
      </c>
      <c r="F17" s="12">
        <v>0.64027777777777772</v>
      </c>
      <c r="G17" s="12">
        <v>0.70833333333333315</v>
      </c>
      <c r="H17" s="12">
        <v>0.73194444444444451</v>
      </c>
      <c r="I17" s="12">
        <v>0.76388888888888873</v>
      </c>
      <c r="J17" s="12">
        <v>0.82916666666666661</v>
      </c>
      <c r="K17" s="12">
        <v>0.83055555555555538</v>
      </c>
      <c r="L17" s="12">
        <v>0.98958333333333337</v>
      </c>
      <c r="M17" s="12">
        <v>0.96249999999999991</v>
      </c>
      <c r="N17" s="12">
        <v>1.0201388888888889</v>
      </c>
      <c r="O17" s="22">
        <v>0.9652777777777779</v>
      </c>
      <c r="P17" s="12">
        <v>0.68541666666666656</v>
      </c>
      <c r="Q17" s="376">
        <v>0.60416666666666663</v>
      </c>
    </row>
    <row r="18" spans="2:23" ht="22.8" customHeight="1">
      <c r="B18" s="537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538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537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>
        <v>1</v>
      </c>
      <c r="M20" s="378">
        <v>1</v>
      </c>
      <c r="N20" s="378" t="s">
        <v>15</v>
      </c>
      <c r="O20" s="378" t="s">
        <v>15</v>
      </c>
      <c r="P20" s="378">
        <v>2</v>
      </c>
      <c r="Q20" s="379"/>
    </row>
    <row r="21" spans="2:23" ht="22.8" customHeight="1">
      <c r="B21" s="538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 t="s">
        <v>15</v>
      </c>
      <c r="L21" s="378">
        <v>1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565" t="s">
        <v>169</v>
      </c>
      <c r="C22" s="511"/>
      <c r="D22" s="380">
        <v>18.5</v>
      </c>
      <c r="E22" s="380">
        <v>17.666666666666668</v>
      </c>
      <c r="F22" s="380">
        <v>15</v>
      </c>
      <c r="G22" s="380">
        <v>7.375</v>
      </c>
      <c r="H22" s="380">
        <v>6.666666666666667</v>
      </c>
      <c r="I22" s="380">
        <v>17.166666666666668</v>
      </c>
      <c r="J22" s="380">
        <v>17</v>
      </c>
      <c r="K22" s="380">
        <v>16.818181818181817</v>
      </c>
      <c r="L22" s="380">
        <v>16.75</v>
      </c>
      <c r="M22" s="380">
        <v>18.857142857142858</v>
      </c>
      <c r="N22" s="380">
        <v>17.333333333333332</v>
      </c>
      <c r="O22" s="380">
        <v>15</v>
      </c>
      <c r="P22" s="380">
        <v>11.666666666666666</v>
      </c>
      <c r="Q22" s="381">
        <v>11.333333333333334</v>
      </c>
    </row>
    <row r="23" spans="2:23" ht="22.8" customHeight="1">
      <c r="B23" s="565" t="s">
        <v>170</v>
      </c>
      <c r="C23" s="511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5" t="s">
        <v>171</v>
      </c>
      <c r="C24" s="51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6" t="s">
        <v>172</v>
      </c>
      <c r="C25" s="56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53"/>
      <c r="C27" s="578"/>
      <c r="D27" s="570" t="s">
        <v>173</v>
      </c>
      <c r="E27" s="571"/>
      <c r="F27" s="571"/>
      <c r="G27" s="571"/>
      <c r="H27" s="572"/>
      <c r="I27" s="573" t="s">
        <v>174</v>
      </c>
      <c r="J27" s="574"/>
      <c r="K27" s="574"/>
      <c r="L27" s="574"/>
      <c r="M27" s="575"/>
      <c r="N27" s="372"/>
      <c r="O27" s="372"/>
      <c r="P27" s="372"/>
      <c r="Q27" s="372"/>
    </row>
    <row r="28" spans="2:23" ht="17.25" customHeight="1">
      <c r="B28" s="558" t="s">
        <v>147</v>
      </c>
      <c r="C28" s="576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9"/>
      <c r="C29" s="577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560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561"/>
      <c r="C31" s="386" t="s">
        <v>162</v>
      </c>
      <c r="D31" s="388">
        <v>155.99999999999972</v>
      </c>
      <c r="E31" s="8">
        <v>770.61842176488369</v>
      </c>
      <c r="F31" s="8">
        <v>0</v>
      </c>
      <c r="G31" s="8">
        <v>916.14316611302775</v>
      </c>
      <c r="H31" s="389">
        <v>987.50613029936221</v>
      </c>
      <c r="I31" s="388">
        <v>0</v>
      </c>
      <c r="J31" s="8">
        <v>994.99999999999557</v>
      </c>
      <c r="K31" s="8">
        <v>620.75396825396922</v>
      </c>
      <c r="L31" s="8">
        <v>921.58454598033438</v>
      </c>
      <c r="M31" s="389">
        <v>778.1696120737131</v>
      </c>
      <c r="N31" s="372"/>
      <c r="O31" s="372"/>
      <c r="P31" s="372"/>
      <c r="Q31" s="372"/>
    </row>
    <row r="32" spans="2:23" ht="39.9" customHeight="1">
      <c r="B32" s="562"/>
      <c r="C32" s="407" t="s">
        <v>163</v>
      </c>
      <c r="D32" s="390">
        <f t="shared" ref="D32:M32" si="1">D31/D30</f>
        <v>0.4874999999999991</v>
      </c>
      <c r="E32" s="10">
        <f t="shared" si="1"/>
        <v>0.93408293547258625</v>
      </c>
      <c r="F32" s="10">
        <f t="shared" si="1"/>
        <v>0</v>
      </c>
      <c r="G32" s="10">
        <f t="shared" si="1"/>
        <v>1.0179368512366975</v>
      </c>
      <c r="H32" s="10">
        <f t="shared" si="1"/>
        <v>1.097229033665958</v>
      </c>
      <c r="I32" s="388">
        <f t="shared" si="1"/>
        <v>0</v>
      </c>
      <c r="J32" s="10">
        <f t="shared" si="1"/>
        <v>1.2060606060606007</v>
      </c>
      <c r="K32" s="10">
        <f t="shared" si="1"/>
        <v>0.68972663139329915</v>
      </c>
      <c r="L32" s="10">
        <f t="shared" si="1"/>
        <v>1.0239828288670383</v>
      </c>
      <c r="M32" s="11">
        <f t="shared" si="1"/>
        <v>0.86463290230412571</v>
      </c>
      <c r="N32" s="372"/>
      <c r="O32" s="372"/>
      <c r="P32" s="372"/>
      <c r="Q32" s="372"/>
    </row>
    <row r="33" spans="2:17" ht="25.8" customHeight="1">
      <c r="B33" s="563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2516.8421052631561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564"/>
      <c r="C34" s="407" t="s">
        <v>36</v>
      </c>
      <c r="D34" s="391">
        <v>0.3923611111111111</v>
      </c>
      <c r="E34" s="12">
        <v>0.36319444444444443</v>
      </c>
      <c r="F34" s="12">
        <v>0</v>
      </c>
      <c r="G34" s="12">
        <v>1245.8823529411748</v>
      </c>
      <c r="H34" s="376">
        <v>0.57013888888888886</v>
      </c>
      <c r="I34" s="23">
        <v>0</v>
      </c>
      <c r="J34" s="12">
        <v>0.73611111111111116</v>
      </c>
      <c r="K34" s="12">
        <v>0.79166666666666663</v>
      </c>
      <c r="L34" s="12">
        <v>1.0659722222222221</v>
      </c>
      <c r="M34" s="13">
        <v>1835</v>
      </c>
      <c r="N34" s="372"/>
      <c r="O34" s="372"/>
      <c r="P34" s="372"/>
      <c r="Q34" s="372"/>
    </row>
    <row r="35" spans="2:17" ht="25.8" customHeight="1">
      <c r="B35" s="565" t="s">
        <v>169</v>
      </c>
      <c r="C35" s="5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565" t="s">
        <v>170</v>
      </c>
      <c r="C36" s="5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565" t="s">
        <v>171</v>
      </c>
      <c r="C37" s="5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566" t="s">
        <v>172</v>
      </c>
      <c r="C38" s="569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1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9" priority="4" operator="lessThan">
      <formula>0.8</formula>
    </cfRule>
  </conditionalFormatting>
  <conditionalFormatting sqref="J32:L32">
    <cfRule type="cellIs" dxfId="28" priority="3" operator="lessThan">
      <formula>0.8</formula>
    </cfRule>
  </conditionalFormatting>
  <conditionalFormatting sqref="M32">
    <cfRule type="cellIs" dxfId="27" priority="2" operator="lessThan">
      <formula>0.8</formula>
    </cfRule>
  </conditionalFormatting>
  <conditionalFormatting sqref="H32">
    <cfRule type="cellIs" dxfId="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83B4-5AF6-472A-88EE-1AD5CC7A3D2B}">
  <sheetPr>
    <tabColor theme="8" tint="0.79998168889431442"/>
    <pageSetUpPr fitToPage="1"/>
  </sheetPr>
  <dimension ref="A1:R126"/>
  <sheetViews>
    <sheetView zoomScale="85" zoomScaleNormal="85" workbookViewId="0">
      <selection activeCell="G13" sqref="G1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93160</v>
      </c>
      <c r="F1" s="281" t="s">
        <v>3</v>
      </c>
      <c r="G1" s="282">
        <f>SUM(H5:H124)</f>
        <v>1778067.2009542629</v>
      </c>
      <c r="H1" s="283" t="s">
        <v>272</v>
      </c>
      <c r="I1" s="284">
        <f>+J16+J64+J24+J38+J51+J81+J100+J91+J57+J124+J111</f>
        <v>44.828571428571429</v>
      </c>
      <c r="J1" s="487" t="s">
        <v>273</v>
      </c>
      <c r="K1" s="488"/>
      <c r="L1" s="489"/>
      <c r="M1" s="487" t="s">
        <v>216</v>
      </c>
      <c r="N1" s="488"/>
      <c r="O1" s="488"/>
      <c r="P1" s="488"/>
      <c r="Q1" s="488"/>
      <c r="R1" s="489"/>
    </row>
    <row r="2" spans="1:18" ht="26.25" customHeight="1" thickBot="1">
      <c r="A2" s="493" t="s">
        <v>811</v>
      </c>
      <c r="B2" s="494"/>
      <c r="C2" s="286"/>
      <c r="D2" s="414" t="s">
        <v>223</v>
      </c>
      <c r="E2" s="287">
        <f>AVERAGE(L16,L24,L38,L51,L100,L111,L91)</f>
        <v>601.27510834570933</v>
      </c>
      <c r="F2" s="288" t="s">
        <v>40</v>
      </c>
      <c r="G2" s="289">
        <f>G1/E1</f>
        <v>19.086165746610806</v>
      </c>
      <c r="H2" s="290" t="s">
        <v>275</v>
      </c>
      <c r="I2" s="291">
        <f>COUNT(I5:I124)</f>
        <v>0</v>
      </c>
      <c r="J2" s="490"/>
      <c r="K2" s="491"/>
      <c r="L2" s="492"/>
      <c r="M2" s="490"/>
      <c r="N2" s="491"/>
      <c r="O2" s="491"/>
      <c r="P2" s="491"/>
      <c r="Q2" s="491"/>
      <c r="R2" s="492"/>
    </row>
    <row r="3" spans="1:18" ht="23.25" customHeight="1">
      <c r="A3" s="495" t="s">
        <v>224</v>
      </c>
      <c r="B3" s="497" t="s">
        <v>276</v>
      </c>
      <c r="C3" s="416"/>
      <c r="D3" s="498" t="s">
        <v>225</v>
      </c>
      <c r="E3" s="498"/>
      <c r="F3" s="499" t="s">
        <v>43</v>
      </c>
      <c r="G3" s="500" t="s">
        <v>277</v>
      </c>
      <c r="H3" s="498" t="s">
        <v>278</v>
      </c>
      <c r="I3" s="501" t="s">
        <v>226</v>
      </c>
      <c r="J3" s="468" t="s">
        <v>228</v>
      </c>
      <c r="K3" s="480" t="s">
        <v>227</v>
      </c>
      <c r="L3" s="482" t="s">
        <v>223</v>
      </c>
      <c r="M3" s="484" t="s">
        <v>48</v>
      </c>
      <c r="N3" s="484"/>
      <c r="O3" s="468" t="s">
        <v>106</v>
      </c>
      <c r="P3" s="485" t="s">
        <v>231</v>
      </c>
      <c r="Q3" s="468" t="s">
        <v>232</v>
      </c>
      <c r="R3" s="468"/>
    </row>
    <row r="4" spans="1:18" ht="15.75" customHeight="1">
      <c r="A4" s="496"/>
      <c r="B4" s="497"/>
      <c r="C4" s="416"/>
      <c r="D4" s="498"/>
      <c r="E4" s="498"/>
      <c r="F4" s="499"/>
      <c r="G4" s="500"/>
      <c r="H4" s="498"/>
      <c r="I4" s="502"/>
      <c r="J4" s="479"/>
      <c r="K4" s="481"/>
      <c r="L4" s="483"/>
      <c r="M4" s="419" t="s">
        <v>50</v>
      </c>
      <c r="N4" s="419" t="s">
        <v>51</v>
      </c>
      <c r="O4" s="479"/>
      <c r="P4" s="486"/>
      <c r="Q4" s="292" t="s">
        <v>236</v>
      </c>
      <c r="R4" s="292" t="s">
        <v>279</v>
      </c>
    </row>
    <row r="5" spans="1:18">
      <c r="A5" s="469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6">
        <v>1971</v>
      </c>
      <c r="H5" s="296">
        <f>F5*G5</f>
        <v>59061.987577639738</v>
      </c>
      <c r="I5" s="417"/>
      <c r="J5" s="297">
        <v>13</v>
      </c>
      <c r="K5" s="298">
        <f t="shared" ref="K5:K10" si="0">G5/P5*60</f>
        <v>1244.8421052631581</v>
      </c>
      <c r="L5" s="299">
        <f t="shared" ref="L5:L10" si="1">K5/J5</f>
        <v>95.75708502024294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469"/>
      <c r="B6" s="293">
        <v>0</v>
      </c>
      <c r="C6" s="293"/>
      <c r="D6" s="294" t="s">
        <v>192</v>
      </c>
      <c r="E6" s="294"/>
      <c r="F6" s="295" t="s">
        <v>133</v>
      </c>
      <c r="G6" s="416">
        <v>2414</v>
      </c>
      <c r="H6" s="296">
        <f t="shared" ref="H6:H15" si="3">F6*G6</f>
        <v>0</v>
      </c>
      <c r="I6" s="417"/>
      <c r="J6" s="297">
        <v>9</v>
      </c>
      <c r="K6" s="298">
        <f t="shared" si="0"/>
        <v>1609.3333333333339</v>
      </c>
      <c r="L6" s="299">
        <f t="shared" si="1"/>
        <v>178.81481481481489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469"/>
      <c r="B7" s="293">
        <v>0</v>
      </c>
      <c r="C7" s="293"/>
      <c r="D7" s="294" t="s">
        <v>193</v>
      </c>
      <c r="E7" s="294"/>
      <c r="F7" s="295" t="s">
        <v>133</v>
      </c>
      <c r="G7" s="416">
        <v>2244</v>
      </c>
      <c r="H7" s="296">
        <f t="shared" si="3"/>
        <v>0</v>
      </c>
      <c r="I7" s="417"/>
      <c r="J7" s="297">
        <v>9</v>
      </c>
      <c r="K7" s="298">
        <f t="shared" si="0"/>
        <v>1583.9999999999998</v>
      </c>
      <c r="L7" s="299">
        <f t="shared" si="1"/>
        <v>175.99999999999997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9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1926</v>
      </c>
      <c r="H8" s="296">
        <f t="shared" si="3"/>
        <v>70202.700000000012</v>
      </c>
      <c r="I8" s="417"/>
      <c r="J8" s="297">
        <v>13</v>
      </c>
      <c r="K8" s="298">
        <f t="shared" si="0"/>
        <v>1444.4999999999995</v>
      </c>
      <c r="L8" s="299">
        <f t="shared" si="1"/>
        <v>111.11538461538458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0.4513888888888889</v>
      </c>
      <c r="R8" s="301">
        <v>0.49305555555555558</v>
      </c>
    </row>
    <row r="9" spans="1:18">
      <c r="A9" s="469"/>
      <c r="B9" s="293" t="s">
        <v>134</v>
      </c>
      <c r="C9" s="293"/>
      <c r="D9" s="294" t="s">
        <v>195</v>
      </c>
      <c r="E9" s="294"/>
      <c r="F9" s="295">
        <v>29.85</v>
      </c>
      <c r="G9" s="302">
        <v>2414</v>
      </c>
      <c r="H9" s="296">
        <f t="shared" si="3"/>
        <v>72057.900000000009</v>
      </c>
      <c r="I9" s="417"/>
      <c r="J9" s="297">
        <v>12</v>
      </c>
      <c r="K9" s="298">
        <f t="shared" si="0"/>
        <v>1810.5000000000027</v>
      </c>
      <c r="L9" s="299">
        <f t="shared" si="1"/>
        <v>150.87500000000023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469"/>
      <c r="B10" s="293" t="s">
        <v>134</v>
      </c>
      <c r="C10" s="293"/>
      <c r="D10" s="294" t="s">
        <v>196</v>
      </c>
      <c r="E10" s="294"/>
      <c r="F10" s="295">
        <v>29.52</v>
      </c>
      <c r="G10" s="302">
        <v>2244</v>
      </c>
      <c r="H10" s="296">
        <f t="shared" si="3"/>
        <v>66242.880000000005</v>
      </c>
      <c r="I10" s="417"/>
      <c r="J10" s="297">
        <v>12</v>
      </c>
      <c r="K10" s="298">
        <f t="shared" si="0"/>
        <v>1795.2000000000025</v>
      </c>
      <c r="L10" s="299">
        <f t="shared" si="1"/>
        <v>149.60000000000022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469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70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70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70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70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71"/>
      <c r="B16" s="293">
        <v>0</v>
      </c>
      <c r="C16" s="293" t="s">
        <v>282</v>
      </c>
      <c r="D16" s="455" t="s">
        <v>243</v>
      </c>
      <c r="E16" s="455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1581.3959064327494</v>
      </c>
      <c r="L16" s="309">
        <f>AVERAGE(L5:L15)</f>
        <v>143.69371407507381</v>
      </c>
      <c r="M16" s="300"/>
      <c r="N16" s="300"/>
      <c r="O16" s="298"/>
      <c r="P16" s="298"/>
      <c r="Q16" s="299"/>
      <c r="R16" s="299"/>
    </row>
    <row r="17" spans="1:18" ht="15.75" customHeight="1">
      <c r="A17" s="472" t="s">
        <v>283</v>
      </c>
      <c r="B17" s="293" t="s">
        <v>134</v>
      </c>
      <c r="C17" s="416"/>
      <c r="D17" s="475" t="s">
        <v>180</v>
      </c>
      <c r="E17" s="476"/>
      <c r="F17" s="295">
        <v>25.64</v>
      </c>
      <c r="G17" s="416">
        <v>780</v>
      </c>
      <c r="H17" s="310">
        <f t="shared" ref="H17:H23" si="4">F17*G17</f>
        <v>19999.2</v>
      </c>
      <c r="I17" s="311"/>
      <c r="J17" s="297">
        <v>10</v>
      </c>
      <c r="K17" s="298">
        <f t="shared" ref="K17" si="5">G17/P17*60</f>
        <v>1559.9999999999973</v>
      </c>
      <c r="L17" s="299">
        <f>K17/J17</f>
        <v>155.99999999999972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472"/>
      <c r="B18" s="293">
        <v>0</v>
      </c>
      <c r="C18" s="416"/>
      <c r="D18" s="477"/>
      <c r="E18" s="478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2"/>
      <c r="B19" s="293">
        <v>0</v>
      </c>
      <c r="C19" s="416"/>
      <c r="D19" s="477"/>
      <c r="E19" s="478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3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3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3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3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474"/>
      <c r="B24" s="293">
        <v>0</v>
      </c>
      <c r="C24" s="6" t="s">
        <v>284</v>
      </c>
      <c r="D24" s="455" t="s">
        <v>243</v>
      </c>
      <c r="E24" s="455"/>
      <c r="F24" s="304"/>
      <c r="G24" s="313"/>
      <c r="H24" s="306"/>
      <c r="I24" s="307"/>
      <c r="J24" s="308">
        <f>AVERAGE(J17:J23)</f>
        <v>10</v>
      </c>
      <c r="K24" s="308">
        <f>AVERAGE(K17:K23)</f>
        <v>1559.9999999999973</v>
      </c>
      <c r="L24" s="309">
        <f>AVERAGE(L17:L23)</f>
        <v>155.99999999999972</v>
      </c>
      <c r="M24" s="300"/>
      <c r="N24" s="300"/>
      <c r="O24" s="292"/>
      <c r="P24" s="292"/>
      <c r="Q24" s="292"/>
      <c r="R24" s="292"/>
    </row>
    <row r="25" spans="1:18">
      <c r="A25" s="459" t="s">
        <v>285</v>
      </c>
      <c r="B25" s="293" t="s">
        <v>131</v>
      </c>
      <c r="C25" s="314"/>
      <c r="D25" s="316" t="s">
        <v>286</v>
      </c>
      <c r="E25" s="315"/>
      <c r="F25" s="295">
        <v>15.03</v>
      </c>
      <c r="G25" s="416">
        <v>1166</v>
      </c>
      <c r="H25" s="296">
        <f t="shared" ref="H25:H37" si="6">F25*G25</f>
        <v>17524.98</v>
      </c>
      <c r="I25" s="417"/>
      <c r="J25" s="297">
        <v>4</v>
      </c>
      <c r="K25" s="298">
        <f t="shared" ref="K25:K28" si="7">G25/P25*60</f>
        <v>2798.400000000001</v>
      </c>
      <c r="L25" s="299">
        <f t="shared" ref="L25:L28" si="8">K25/J25</f>
        <v>699.60000000000025</v>
      </c>
      <c r="M25" s="300">
        <v>0.18055555555555555</v>
      </c>
      <c r="N25" s="300">
        <v>0.19791666666666666</v>
      </c>
      <c r="O25" s="292">
        <v>20</v>
      </c>
      <c r="P25" s="411">
        <f t="shared" ref="P25:P28" si="9">(N25-M25)*24*60</f>
        <v>24.999999999999993</v>
      </c>
      <c r="Q25" s="301"/>
      <c r="R25" s="301"/>
    </row>
    <row r="26" spans="1:18">
      <c r="A26" s="459"/>
      <c r="B26" s="293" t="s">
        <v>131</v>
      </c>
      <c r="C26" s="314"/>
      <c r="D26" s="312" t="s">
        <v>107</v>
      </c>
      <c r="E26" s="317"/>
      <c r="F26" s="295">
        <v>18.18</v>
      </c>
      <c r="G26" s="416">
        <v>2181</v>
      </c>
      <c r="H26" s="296">
        <f t="shared" si="6"/>
        <v>39650.58</v>
      </c>
      <c r="I26" s="417"/>
      <c r="J26" s="297">
        <v>4</v>
      </c>
      <c r="K26" s="298">
        <f t="shared" si="7"/>
        <v>1843.098591549295</v>
      </c>
      <c r="L26" s="299">
        <f t="shared" si="8"/>
        <v>460.77464788732374</v>
      </c>
      <c r="M26" s="300">
        <v>0.21180555555555555</v>
      </c>
      <c r="N26" s="300">
        <v>0.26111111111111113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459"/>
      <c r="B27" s="293" t="s">
        <v>131</v>
      </c>
      <c r="C27" s="314"/>
      <c r="D27" s="316" t="s">
        <v>109</v>
      </c>
      <c r="E27" s="317"/>
      <c r="F27" s="295">
        <v>18.53</v>
      </c>
      <c r="G27" s="416">
        <v>1899</v>
      </c>
      <c r="H27" s="296">
        <f t="shared" si="6"/>
        <v>35188.47</v>
      </c>
      <c r="I27" s="417"/>
      <c r="J27" s="297">
        <v>3</v>
      </c>
      <c r="K27" s="298">
        <f t="shared" si="7"/>
        <v>2779.0243902439015</v>
      </c>
      <c r="L27" s="299">
        <f t="shared" si="8"/>
        <v>926.34146341463384</v>
      </c>
      <c r="M27" s="300">
        <v>0.27499999999999997</v>
      </c>
      <c r="N27" s="300">
        <v>0.3034722222222222</v>
      </c>
      <c r="O27" s="292">
        <v>20</v>
      </c>
      <c r="P27" s="411">
        <f t="shared" si="9"/>
        <v>41.000000000000014</v>
      </c>
      <c r="Q27" s="301"/>
      <c r="R27" s="301"/>
    </row>
    <row r="28" spans="1:18">
      <c r="A28" s="459"/>
      <c r="B28" s="293" t="s">
        <v>131</v>
      </c>
      <c r="C28" s="416"/>
      <c r="D28" s="312" t="s">
        <v>287</v>
      </c>
      <c r="E28" s="317"/>
      <c r="F28" s="295">
        <v>24.93</v>
      </c>
      <c r="G28" s="416">
        <v>3286</v>
      </c>
      <c r="H28" s="296">
        <f t="shared" si="6"/>
        <v>81919.98</v>
      </c>
      <c r="I28" s="417"/>
      <c r="J28" s="297">
        <v>3</v>
      </c>
      <c r="K28" s="298">
        <f t="shared" si="7"/>
        <v>2987.2727272727302</v>
      </c>
      <c r="L28" s="299">
        <f t="shared" si="8"/>
        <v>995.75757575757677</v>
      </c>
      <c r="M28" s="300">
        <v>0.31736111111111115</v>
      </c>
      <c r="N28" s="300">
        <v>0.36319444444444443</v>
      </c>
      <c r="O28" s="292">
        <v>20</v>
      </c>
      <c r="P28" s="411">
        <f t="shared" si="9"/>
        <v>65.999999999999929</v>
      </c>
      <c r="Q28" s="301"/>
      <c r="R28" s="301"/>
    </row>
    <row r="29" spans="1:18">
      <c r="A29" s="459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59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59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59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59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59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59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59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59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460"/>
      <c r="B38" s="293">
        <v>0</v>
      </c>
      <c r="C38" s="6" t="s">
        <v>27</v>
      </c>
      <c r="D38" s="450" t="s">
        <v>108</v>
      </c>
      <c r="E38" s="450"/>
      <c r="F38" s="304"/>
      <c r="G38" s="320"/>
      <c r="H38" s="306"/>
      <c r="I38" s="307"/>
      <c r="J38" s="308">
        <f>AVERAGE(J25:J37)</f>
        <v>3.5</v>
      </c>
      <c r="K38" s="308">
        <f>AVERAGE(K25:K37)</f>
        <v>2601.9489272664819</v>
      </c>
      <c r="L38" s="309">
        <f>AVERAGE(L25:L37)</f>
        <v>770.61842176488369</v>
      </c>
      <c r="M38" s="300"/>
      <c r="N38" s="300"/>
      <c r="O38" s="298"/>
      <c r="P38" s="298"/>
      <c r="Q38" s="299"/>
      <c r="R38" s="299"/>
    </row>
    <row r="39" spans="1:18" ht="16.2" customHeight="1">
      <c r="A39" s="461" t="s">
        <v>288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62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62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62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62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62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62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62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62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63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63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63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64"/>
      <c r="B51" s="293">
        <v>0</v>
      </c>
      <c r="C51" s="6" t="s">
        <v>28</v>
      </c>
      <c r="D51" s="455" t="s">
        <v>243</v>
      </c>
      <c r="E51" s="455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5" t="s">
        <v>289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985</v>
      </c>
      <c r="H52" s="296">
        <f>F52*G52</f>
        <v>17907.3</v>
      </c>
      <c r="I52" s="417"/>
      <c r="J52" s="297">
        <v>3</v>
      </c>
      <c r="K52" s="298">
        <f>G52/P52*60</f>
        <v>3110.5263157894583</v>
      </c>
      <c r="L52" s="299">
        <f>K52/J52</f>
        <v>1036.8421052631527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466"/>
      <c r="B53" s="293" t="s">
        <v>131</v>
      </c>
      <c r="C53" s="416"/>
      <c r="D53" s="315" t="s">
        <v>110</v>
      </c>
      <c r="E53" s="331"/>
      <c r="F53" s="295">
        <v>25.03</v>
      </c>
      <c r="G53" s="302">
        <v>732</v>
      </c>
      <c r="H53" s="296">
        <f t="shared" ref="H53:H116" si="11">F53*G53</f>
        <v>18321.96</v>
      </c>
      <c r="I53" s="417"/>
      <c r="J53" s="297">
        <v>4</v>
      </c>
      <c r="K53" s="298">
        <f t="shared" ref="K53:K57" si="12">G53/P53*60</f>
        <v>3137.1428571428501</v>
      </c>
      <c r="L53" s="299">
        <f t="shared" ref="L53:L57" si="13">K53/J53</f>
        <v>784.28571428571252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466"/>
      <c r="B54" s="293" t="s">
        <v>131</v>
      </c>
      <c r="C54" s="416"/>
      <c r="D54" s="315" t="s">
        <v>111</v>
      </c>
      <c r="E54" s="413"/>
      <c r="F54" s="295">
        <v>24.82</v>
      </c>
      <c r="G54" s="302">
        <v>797</v>
      </c>
      <c r="H54" s="296">
        <f t="shared" si="11"/>
        <v>19781.54</v>
      </c>
      <c r="I54" s="417"/>
      <c r="J54" s="297">
        <v>4</v>
      </c>
      <c r="K54" s="298">
        <f t="shared" si="12"/>
        <v>2516.8421052631561</v>
      </c>
      <c r="L54" s="299">
        <f t="shared" si="13"/>
        <v>629.21052631578902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466"/>
      <c r="B55" s="293" t="s">
        <v>131</v>
      </c>
      <c r="C55" s="416"/>
      <c r="D55" s="315" t="s">
        <v>112</v>
      </c>
      <c r="E55" s="317"/>
      <c r="F55" s="295">
        <v>30</v>
      </c>
      <c r="G55" s="302">
        <v>1412</v>
      </c>
      <c r="H55" s="296">
        <f t="shared" si="11"/>
        <v>42360</v>
      </c>
      <c r="I55" s="417"/>
      <c r="J55" s="297">
        <v>4</v>
      </c>
      <c r="K55" s="298">
        <f t="shared" si="12"/>
        <v>4983.529411764699</v>
      </c>
      <c r="L55" s="299">
        <f t="shared" si="13"/>
        <v>1245.8823529411748</v>
      </c>
      <c r="M55" s="300">
        <v>0.3833333333333333</v>
      </c>
      <c r="N55" s="300">
        <v>0.39513888888888887</v>
      </c>
      <c r="O55" s="298">
        <v>20</v>
      </c>
      <c r="P55" s="411">
        <f t="shared" si="14"/>
        <v>17.000000000000021</v>
      </c>
      <c r="Q55" s="301">
        <v>0.40208333333333335</v>
      </c>
      <c r="R55" s="301">
        <v>0.44375000000000003</v>
      </c>
    </row>
    <row r="56" spans="1:18" ht="15.6" customHeight="1">
      <c r="A56" s="466"/>
      <c r="B56" s="293" t="s">
        <v>131</v>
      </c>
      <c r="C56" s="416"/>
      <c r="D56" s="316" t="s">
        <v>290</v>
      </c>
      <c r="E56" s="317"/>
      <c r="F56" s="295">
        <v>23.72</v>
      </c>
      <c r="G56" s="302">
        <v>1100</v>
      </c>
      <c r="H56" s="296">
        <f t="shared" si="11"/>
        <v>26092</v>
      </c>
      <c r="I56" s="417"/>
      <c r="J56" s="297">
        <v>4</v>
      </c>
      <c r="K56" s="298">
        <f t="shared" si="12"/>
        <v>2999.9999999999891</v>
      </c>
      <c r="L56" s="299">
        <f t="shared" si="13"/>
        <v>749.99999999999727</v>
      </c>
      <c r="M56" s="300">
        <v>0.46111111111111108</v>
      </c>
      <c r="N56" s="300">
        <v>0.47638888888888892</v>
      </c>
      <c r="O56" s="298">
        <v>20</v>
      </c>
      <c r="P56" s="411">
        <f t="shared" si="14"/>
        <v>22.000000000000082</v>
      </c>
      <c r="Q56" s="301"/>
      <c r="R56" s="301"/>
    </row>
    <row r="57" spans="1:18" ht="15.75" customHeight="1">
      <c r="A57" s="466"/>
      <c r="B57" s="293" t="s">
        <v>131</v>
      </c>
      <c r="C57" s="6" t="s">
        <v>31</v>
      </c>
      <c r="D57" s="315" t="s">
        <v>291</v>
      </c>
      <c r="E57" s="317"/>
      <c r="F57" s="295">
        <v>17.07</v>
      </c>
      <c r="G57" s="302">
        <v>2469</v>
      </c>
      <c r="H57" s="296">
        <f t="shared" si="11"/>
        <v>42145.83</v>
      </c>
      <c r="I57" s="417"/>
      <c r="J57" s="297">
        <v>3</v>
      </c>
      <c r="K57" s="298">
        <f t="shared" si="12"/>
        <v>3151.9148936170218</v>
      </c>
      <c r="L57" s="299">
        <f t="shared" si="13"/>
        <v>1050.6382978723407</v>
      </c>
      <c r="M57" s="300">
        <v>0.49027777777777781</v>
      </c>
      <c r="N57" s="300">
        <v>0.5229166666666667</v>
      </c>
      <c r="O57" s="298">
        <v>20</v>
      </c>
      <c r="P57" s="411">
        <f t="shared" si="14"/>
        <v>46.999999999999993</v>
      </c>
      <c r="Q57" s="301"/>
      <c r="R57" s="301"/>
    </row>
    <row r="58" spans="1:18" ht="15.6" customHeight="1">
      <c r="A58" s="46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7"/>
      <c r="B64" s="293">
        <v>0</v>
      </c>
      <c r="C64" s="6" t="s">
        <v>292</v>
      </c>
      <c r="D64" s="455" t="s">
        <v>243</v>
      </c>
      <c r="E64" s="455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3316.6592639295286</v>
      </c>
      <c r="L64" s="309">
        <f>AVERAGE(L52:L63)</f>
        <v>916.14316611302775</v>
      </c>
      <c r="M64" s="300"/>
      <c r="N64" s="300"/>
      <c r="O64" s="292"/>
      <c r="P64" s="292"/>
      <c r="Q64" s="292"/>
      <c r="R64" s="292"/>
    </row>
    <row r="65" spans="1:18" ht="15.6" customHeight="1">
      <c r="A65" s="452" t="s">
        <v>293</v>
      </c>
      <c r="B65" s="293" t="s">
        <v>131</v>
      </c>
      <c r="C65" s="416"/>
      <c r="D65" s="316" t="s">
        <v>294</v>
      </c>
      <c r="E65" s="330"/>
      <c r="F65" s="295">
        <v>22.281818181818181</v>
      </c>
      <c r="G65" s="416">
        <v>696</v>
      </c>
      <c r="H65" s="296">
        <f>F65*G65</f>
        <v>15508.145454545454</v>
      </c>
      <c r="I65" s="417"/>
      <c r="J65" s="297">
        <v>4</v>
      </c>
      <c r="K65" s="298">
        <f t="shared" ref="K65:K72" si="15">G65/P65*60</f>
        <v>2982.8571428571449</v>
      </c>
      <c r="L65" s="299">
        <f t="shared" ref="L65:L72" si="16">K65/J65</f>
        <v>745.71428571428623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53"/>
      <c r="B66" s="293" t="s">
        <v>131</v>
      </c>
      <c r="C66" s="416"/>
      <c r="D66" s="316" t="s">
        <v>115</v>
      </c>
      <c r="E66" s="331"/>
      <c r="F66" s="295">
        <v>18.18</v>
      </c>
      <c r="G66" s="302">
        <v>1594</v>
      </c>
      <c r="H66" s="296">
        <f t="shared" ref="H66:H74" si="17">F66*G66</f>
        <v>28978.92</v>
      </c>
      <c r="I66" s="417"/>
      <c r="J66" s="297">
        <v>3</v>
      </c>
      <c r="K66" s="298">
        <f t="shared" si="15"/>
        <v>3188.0000000000027</v>
      </c>
      <c r="L66" s="299">
        <f t="shared" si="16"/>
        <v>1062.6666666666677</v>
      </c>
      <c r="M66" s="300">
        <v>0.20416666666666669</v>
      </c>
      <c r="N66" s="300">
        <v>0.22500000000000001</v>
      </c>
      <c r="O66" s="298">
        <v>20</v>
      </c>
      <c r="P66" s="411">
        <f t="shared" ref="P66:P72" si="18">(N66-M66)*24*60</f>
        <v>29.999999999999972</v>
      </c>
      <c r="Q66" s="301"/>
      <c r="R66" s="301"/>
    </row>
    <row r="67" spans="1:18" ht="15.6" customHeight="1">
      <c r="A67" s="453"/>
      <c r="B67" s="293" t="s">
        <v>131</v>
      </c>
      <c r="C67" s="416"/>
      <c r="D67" s="332" t="s">
        <v>295</v>
      </c>
      <c r="E67" s="317"/>
      <c r="F67" s="295">
        <v>17.890909090909091</v>
      </c>
      <c r="G67" s="302">
        <v>1761</v>
      </c>
      <c r="H67" s="296">
        <f t="shared" si="17"/>
        <v>31505.890909090907</v>
      </c>
      <c r="I67" s="417"/>
      <c r="J67" s="297">
        <v>3</v>
      </c>
      <c r="K67" s="298">
        <f t="shared" si="15"/>
        <v>3201.818181818182</v>
      </c>
      <c r="L67" s="299">
        <f t="shared" si="16"/>
        <v>1067.2727272727273</v>
      </c>
      <c r="M67" s="300">
        <v>0.2388888888888889</v>
      </c>
      <c r="N67" s="300">
        <v>0.26180555555555557</v>
      </c>
      <c r="O67" s="298">
        <v>20</v>
      </c>
      <c r="P67" s="411">
        <f t="shared" si="18"/>
        <v>33</v>
      </c>
      <c r="Q67" s="301">
        <v>0.26180555555555557</v>
      </c>
      <c r="R67" s="301">
        <v>0.38680555555555557</v>
      </c>
    </row>
    <row r="68" spans="1:18" ht="15.6" customHeight="1">
      <c r="A68" s="453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4962</v>
      </c>
      <c r="H68" s="296">
        <f t="shared" si="17"/>
        <v>70885.714285714275</v>
      </c>
      <c r="I68" s="417"/>
      <c r="J68" s="297">
        <v>3</v>
      </c>
      <c r="K68" s="298">
        <f t="shared" si="15"/>
        <v>3201.2903225806458</v>
      </c>
      <c r="L68" s="299">
        <f t="shared" si="16"/>
        <v>1067.0967741935485</v>
      </c>
      <c r="M68" s="300">
        <v>0.32083333333333336</v>
      </c>
      <c r="N68" s="300">
        <v>0.38541666666666669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453"/>
      <c r="B69" s="293" t="s">
        <v>131</v>
      </c>
      <c r="C69" s="416"/>
      <c r="D69" s="316" t="s">
        <v>296</v>
      </c>
      <c r="E69" s="317"/>
      <c r="F69" s="295">
        <v>16.66</v>
      </c>
      <c r="G69" s="302">
        <v>3170</v>
      </c>
      <c r="H69" s="296">
        <f t="shared" si="17"/>
        <v>52812.2</v>
      </c>
      <c r="I69" s="417"/>
      <c r="J69" s="297">
        <v>4</v>
      </c>
      <c r="K69" s="298">
        <f t="shared" si="15"/>
        <v>3169.9999999999986</v>
      </c>
      <c r="L69" s="299">
        <f t="shared" si="16"/>
        <v>792.49999999999966</v>
      </c>
      <c r="M69" s="300">
        <v>0.39930555555555558</v>
      </c>
      <c r="N69" s="300">
        <v>0.44097222222222227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453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3063</v>
      </c>
      <c r="H70" s="296">
        <f t="shared" si="17"/>
        <v>42973.89</v>
      </c>
      <c r="I70" s="417"/>
      <c r="J70" s="297">
        <v>3</v>
      </c>
      <c r="K70" s="298">
        <f t="shared" si="15"/>
        <v>3168.6206896551748</v>
      </c>
      <c r="L70" s="299">
        <f t="shared" si="16"/>
        <v>1056.2068965517249</v>
      </c>
      <c r="M70" s="300">
        <v>0.4548611111111111</v>
      </c>
      <c r="N70" s="300">
        <v>0.49513888888888885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453"/>
      <c r="B71" s="293" t="s">
        <v>131</v>
      </c>
      <c r="C71" s="314"/>
      <c r="D71" s="332" t="s">
        <v>297</v>
      </c>
      <c r="E71" s="317"/>
      <c r="F71" s="295">
        <v>25.2</v>
      </c>
      <c r="G71" s="334">
        <v>1097</v>
      </c>
      <c r="H71" s="296">
        <f t="shared" si="17"/>
        <v>27644.399999999998</v>
      </c>
      <c r="I71" s="417"/>
      <c r="J71" s="297">
        <v>3</v>
      </c>
      <c r="K71" s="298">
        <f t="shared" si="15"/>
        <v>3134.2857142857015</v>
      </c>
      <c r="L71" s="299">
        <f t="shared" si="16"/>
        <v>1044.7619047619005</v>
      </c>
      <c r="M71" s="300">
        <v>0.50902777777777775</v>
      </c>
      <c r="N71" s="300">
        <v>0.52361111111111114</v>
      </c>
      <c r="O71" s="298">
        <v>20</v>
      </c>
      <c r="P71" s="411">
        <f t="shared" si="18"/>
        <v>21.000000000000085</v>
      </c>
      <c r="Q71" s="301"/>
      <c r="R71" s="301"/>
    </row>
    <row r="72" spans="1:18" ht="15.6" customHeight="1">
      <c r="A72" s="453"/>
      <c r="B72" s="293" t="s">
        <v>131</v>
      </c>
      <c r="C72" s="416"/>
      <c r="D72" s="332" t="s">
        <v>298</v>
      </c>
      <c r="E72" s="317"/>
      <c r="F72" s="295">
        <v>20.72</v>
      </c>
      <c r="G72" s="302">
        <v>2500</v>
      </c>
      <c r="H72" s="296">
        <f t="shared" si="17"/>
        <v>51800</v>
      </c>
      <c r="I72" s="417"/>
      <c r="J72" s="297">
        <v>3</v>
      </c>
      <c r="K72" s="298">
        <f t="shared" si="15"/>
        <v>3191.4893617021285</v>
      </c>
      <c r="L72" s="299">
        <f t="shared" si="16"/>
        <v>1063.8297872340429</v>
      </c>
      <c r="M72" s="300">
        <v>0.53749999999999998</v>
      </c>
      <c r="N72" s="300">
        <v>0.57013888888888886</v>
      </c>
      <c r="O72" s="298">
        <v>20</v>
      </c>
      <c r="P72" s="411">
        <f t="shared" si="18"/>
        <v>46.999999999999993</v>
      </c>
      <c r="Q72" s="301"/>
      <c r="R72" s="301"/>
    </row>
    <row r="73" spans="1:18" ht="15.6" customHeight="1">
      <c r="A73" s="453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53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54"/>
      <c r="B75" s="293">
        <v>0</v>
      </c>
      <c r="C75" s="6" t="s">
        <v>299</v>
      </c>
      <c r="D75" s="455" t="s">
        <v>243</v>
      </c>
      <c r="E75" s="455"/>
      <c r="F75" s="304"/>
      <c r="G75" s="309"/>
      <c r="H75" s="327"/>
      <c r="I75" s="328"/>
      <c r="J75" s="308">
        <f>AVERAGE(J65:J74)</f>
        <v>3.25</v>
      </c>
      <c r="K75" s="308">
        <f>AVERAGE(K65:K74)</f>
        <v>3154.7951766123724</v>
      </c>
      <c r="L75" s="309">
        <f>AVERAGE(L65:L74)</f>
        <v>987.50613029936221</v>
      </c>
      <c r="M75" s="300"/>
      <c r="N75" s="300"/>
      <c r="O75" s="292"/>
      <c r="P75" s="292"/>
      <c r="Q75" s="292"/>
      <c r="R75" s="292"/>
    </row>
    <row r="76" spans="1:18" ht="16.2" customHeight="1">
      <c r="A76" s="456" t="s">
        <v>117</v>
      </c>
      <c r="B76" s="293">
        <v>0</v>
      </c>
      <c r="C76" s="293"/>
      <c r="D76" s="457"/>
      <c r="E76" s="458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56"/>
      <c r="B77" s="293">
        <v>0</v>
      </c>
      <c r="C77" s="293"/>
      <c r="D77" s="457"/>
      <c r="E77" s="458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56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56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56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56"/>
      <c r="B81" s="293">
        <v>0</v>
      </c>
      <c r="C81" s="6" t="s">
        <v>31</v>
      </c>
      <c r="D81" s="450" t="s">
        <v>243</v>
      </c>
      <c r="E81" s="450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41" t="s">
        <v>300</v>
      </c>
      <c r="B82" s="293" t="s">
        <v>131</v>
      </c>
      <c r="C82" s="314"/>
      <c r="D82" s="315" t="s">
        <v>301</v>
      </c>
      <c r="E82" s="340"/>
      <c r="F82" s="295">
        <v>17.22</v>
      </c>
      <c r="G82" s="319">
        <v>995</v>
      </c>
      <c r="H82" s="341">
        <f t="shared" ref="H82:H90" si="19">F82*G82</f>
        <v>17133.899999999998</v>
      </c>
      <c r="I82" s="417"/>
      <c r="J82" s="297">
        <v>3</v>
      </c>
      <c r="K82" s="298">
        <f t="shared" ref="K82" si="20">G82/P82*60</f>
        <v>2984.9999999999868</v>
      </c>
      <c r="L82" s="299">
        <f t="shared" ref="L82" si="21">K82/J82</f>
        <v>994.99999999999557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42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42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42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42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42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42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42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42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442"/>
      <c r="B91" s="293">
        <v>0</v>
      </c>
      <c r="C91" s="6" t="s">
        <v>285</v>
      </c>
      <c r="D91" s="443" t="s">
        <v>243</v>
      </c>
      <c r="E91" s="443"/>
      <c r="F91" s="304"/>
      <c r="G91" s="344"/>
      <c r="H91" s="345"/>
      <c r="I91" s="307"/>
      <c r="J91" s="308">
        <f>AVERAGE(J82:J90)</f>
        <v>3</v>
      </c>
      <c r="K91" s="308">
        <f>AVERAGE(K82:K90)</f>
        <v>2984.9999999999868</v>
      </c>
      <c r="L91" s="309">
        <f>AVERAGE(L82:L90)</f>
        <v>994.99999999999557</v>
      </c>
      <c r="M91" s="300"/>
      <c r="N91" s="300"/>
      <c r="O91" s="298"/>
      <c r="P91" s="298"/>
      <c r="Q91" s="299"/>
      <c r="R91" s="299"/>
    </row>
    <row r="92" spans="1:18" ht="16.2" customHeight="1">
      <c r="A92" s="444" t="s">
        <v>302</v>
      </c>
      <c r="B92" s="293" t="s">
        <v>131</v>
      </c>
      <c r="C92" s="293"/>
      <c r="D92" s="346" t="s">
        <v>303</v>
      </c>
      <c r="E92" s="340"/>
      <c r="F92" s="295">
        <v>24.54</v>
      </c>
      <c r="G92" s="416">
        <v>1643</v>
      </c>
      <c r="H92" s="296">
        <f t="shared" ref="H92:H99" si="23">F92*G92</f>
        <v>40319.22</v>
      </c>
      <c r="I92" s="417"/>
      <c r="J92" s="297">
        <v>3</v>
      </c>
      <c r="K92" s="298">
        <f>G92/P92*60</f>
        <v>2190.666666666667</v>
      </c>
      <c r="L92" s="299">
        <f t="shared" ref="L92:L93" si="24">K92/J92</f>
        <v>730.22222222222229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445"/>
      <c r="B93" s="293" t="s">
        <v>131</v>
      </c>
      <c r="C93" s="293"/>
      <c r="D93" s="315" t="s">
        <v>304</v>
      </c>
      <c r="E93" s="335"/>
      <c r="F93" s="295">
        <v>23.27</v>
      </c>
      <c r="G93" s="302">
        <v>1193</v>
      </c>
      <c r="H93" s="296">
        <f t="shared" si="23"/>
        <v>27761.11</v>
      </c>
      <c r="I93" s="417"/>
      <c r="J93" s="297">
        <v>4</v>
      </c>
      <c r="K93" s="298">
        <f t="shared" ref="K93" si="25">G93/P93*60</f>
        <v>2045.1428571428646</v>
      </c>
      <c r="L93" s="299">
        <f t="shared" si="24"/>
        <v>511.28571428571615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445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6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6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6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6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6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6"/>
      <c r="B100" s="293">
        <v>0</v>
      </c>
      <c r="C100" s="6" t="s">
        <v>305</v>
      </c>
      <c r="D100" s="447" t="s">
        <v>243</v>
      </c>
      <c r="E100" s="448"/>
      <c r="F100" s="304"/>
      <c r="G100" s="305"/>
      <c r="H100" s="347"/>
      <c r="I100" s="307"/>
      <c r="J100" s="308">
        <f>AVERAGE(J92:J99)</f>
        <v>3.5</v>
      </c>
      <c r="K100" s="308">
        <f>AVERAGE(K92:K99)</f>
        <v>2117.904761904766</v>
      </c>
      <c r="L100" s="309">
        <f>AVERAGE(L92:L99)</f>
        <v>620.75396825396922</v>
      </c>
      <c r="M100" s="300"/>
      <c r="N100" s="300"/>
      <c r="O100" s="298"/>
      <c r="P100" s="298"/>
      <c r="Q100" s="299"/>
      <c r="R100" s="299"/>
    </row>
    <row r="101" spans="1:18" ht="16.2" customHeight="1">
      <c r="A101" s="449" t="s">
        <v>306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1216</v>
      </c>
      <c r="H101" s="296">
        <f t="shared" ref="H101:H110" si="26">F101*G101</f>
        <v>30436.480000000003</v>
      </c>
      <c r="I101" s="417"/>
      <c r="J101" s="297">
        <v>4</v>
      </c>
      <c r="K101" s="298">
        <f>G101/P101*60</f>
        <v>2918.3999999999915</v>
      </c>
      <c r="L101" s="299">
        <f t="shared" ref="L101:L105" si="27">K101/J101</f>
        <v>729.59999999999786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9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1885</v>
      </c>
      <c r="H102" s="296">
        <f t="shared" si="26"/>
        <v>46785.7</v>
      </c>
      <c r="I102" s="417"/>
      <c r="J102" s="297">
        <v>4</v>
      </c>
      <c r="K102" s="298">
        <f t="shared" ref="K102:K105" si="29">G102/P102*60</f>
        <v>3231.4285714285684</v>
      </c>
      <c r="L102" s="299">
        <f t="shared" si="27"/>
        <v>807.85714285714209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449"/>
      <c r="B103" s="293" t="s">
        <v>131</v>
      </c>
      <c r="C103" s="6"/>
      <c r="D103" s="315" t="s">
        <v>307</v>
      </c>
      <c r="E103" s="315"/>
      <c r="F103" s="295">
        <v>30</v>
      </c>
      <c r="G103" s="416">
        <v>2094</v>
      </c>
      <c r="H103" s="296">
        <f t="shared" si="26"/>
        <v>62820</v>
      </c>
      <c r="I103" s="417"/>
      <c r="J103" s="297">
        <v>3</v>
      </c>
      <c r="K103" s="298">
        <f t="shared" si="29"/>
        <v>3140.9999999999859</v>
      </c>
      <c r="L103" s="299">
        <f t="shared" si="27"/>
        <v>1046.9999999999952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449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3329</v>
      </c>
      <c r="H104" s="296">
        <f t="shared" si="26"/>
        <v>95109.53</v>
      </c>
      <c r="I104" s="417"/>
      <c r="J104" s="297">
        <v>3</v>
      </c>
      <c r="K104" s="298">
        <f t="shared" si="29"/>
        <v>3072.9230769230803</v>
      </c>
      <c r="L104" s="299">
        <f t="shared" si="27"/>
        <v>1024.3076923076935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449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9492</v>
      </c>
      <c r="H105" s="296">
        <f t="shared" si="26"/>
        <v>135599.99999999997</v>
      </c>
      <c r="I105" s="417"/>
      <c r="J105" s="297">
        <v>3</v>
      </c>
      <c r="K105" s="298">
        <f t="shared" si="29"/>
        <v>2997.4736842105294</v>
      </c>
      <c r="L105" s="299">
        <f t="shared" si="27"/>
        <v>999.1578947368431</v>
      </c>
      <c r="M105" s="300">
        <v>0.93402777777777779</v>
      </c>
      <c r="N105" s="300">
        <v>1.0659722222222221</v>
      </c>
      <c r="O105" s="292">
        <v>20</v>
      </c>
      <c r="P105" s="298">
        <f>(N105-M105)*24*60</f>
        <v>189.9999999999998</v>
      </c>
      <c r="Q105" s="299"/>
      <c r="R105" s="301"/>
    </row>
    <row r="106" spans="1:18">
      <c r="A106" s="449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9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9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9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9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9"/>
      <c r="B111" s="293">
        <v>0</v>
      </c>
      <c r="C111" s="6" t="s">
        <v>292</v>
      </c>
      <c r="D111" s="450" t="s">
        <v>243</v>
      </c>
      <c r="E111" s="451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3072.2450665124306</v>
      </c>
      <c r="L111" s="309">
        <f>AVERAGE(L101:L110)</f>
        <v>921.58454598033438</v>
      </c>
      <c r="M111" s="300"/>
      <c r="N111" s="300"/>
      <c r="O111" s="298"/>
      <c r="P111" s="298"/>
      <c r="Q111" s="299"/>
      <c r="R111" s="292"/>
    </row>
    <row r="112" spans="1:18" ht="16.2" customHeight="1">
      <c r="A112" s="439" t="s">
        <v>308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1619</v>
      </c>
      <c r="H112" s="341">
        <f t="shared" si="11"/>
        <v>27037.3</v>
      </c>
      <c r="I112" s="417"/>
      <c r="J112" s="297">
        <v>3</v>
      </c>
      <c r="K112" s="298">
        <f t="shared" ref="K112:K118" si="30">G112/P112*60</f>
        <v>3238.0000000000118</v>
      </c>
      <c r="L112" s="299">
        <f t="shared" ref="L112:L118" si="31">K112/J112</f>
        <v>1079.3333333333374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39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1193</v>
      </c>
      <c r="H113" s="341">
        <f t="shared" si="11"/>
        <v>21688.739999999998</v>
      </c>
      <c r="I113" s="417"/>
      <c r="J113" s="297">
        <v>4</v>
      </c>
      <c r="K113" s="298">
        <f t="shared" si="30"/>
        <v>2.7100188921406424E-2</v>
      </c>
      <c r="L113" s="299">
        <f t="shared" si="31"/>
        <v>6.775047230351606E-3</v>
      </c>
      <c r="M113" s="300">
        <v>0.75694444444444453</v>
      </c>
      <c r="N113" s="300">
        <v>1835</v>
      </c>
      <c r="O113" s="292">
        <v>20</v>
      </c>
      <c r="P113" s="411">
        <f t="shared" si="32"/>
        <v>2641310</v>
      </c>
      <c r="Q113" s="301"/>
      <c r="R113" s="301"/>
    </row>
    <row r="114" spans="1:18">
      <c r="A114" s="439"/>
      <c r="B114" s="293" t="s">
        <v>131</v>
      </c>
      <c r="C114" s="314"/>
      <c r="D114" s="410" t="s">
        <v>309</v>
      </c>
      <c r="E114" s="315"/>
      <c r="F114" s="295">
        <v>18.18</v>
      </c>
      <c r="G114" s="416">
        <v>1205</v>
      </c>
      <c r="H114" s="341">
        <f t="shared" si="11"/>
        <v>21906.9</v>
      </c>
      <c r="I114" s="417"/>
      <c r="J114" s="297">
        <v>3</v>
      </c>
      <c r="K114" s="298">
        <f t="shared" si="30"/>
        <v>2892.0000000000286</v>
      </c>
      <c r="L114" s="299">
        <f t="shared" si="31"/>
        <v>964.00000000000955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439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6379</v>
      </c>
      <c r="H115" s="341">
        <f t="shared" si="11"/>
        <v>106274.14</v>
      </c>
      <c r="I115" s="417"/>
      <c r="J115" s="297">
        <v>4</v>
      </c>
      <c r="K115" s="298">
        <f t="shared" si="30"/>
        <v>2944.1538461538494</v>
      </c>
      <c r="L115" s="299">
        <f t="shared" si="31"/>
        <v>736.03846153846234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439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1153</v>
      </c>
      <c r="H116" s="341">
        <f t="shared" si="11"/>
        <v>25690.936363636363</v>
      </c>
      <c r="I116" s="417"/>
      <c r="J116" s="297">
        <v>4</v>
      </c>
      <c r="K116" s="298">
        <f t="shared" si="30"/>
        <v>2767.2000000000098</v>
      </c>
      <c r="L116" s="299">
        <f t="shared" si="31"/>
        <v>691.80000000000246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439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4143</v>
      </c>
      <c r="H117" s="341">
        <f t="shared" ref="H117:H123" si="33">F117*G117</f>
        <v>74122.036363636362</v>
      </c>
      <c r="I117" s="417"/>
      <c r="J117" s="297">
        <v>3</v>
      </c>
      <c r="K117" s="298">
        <f t="shared" si="30"/>
        <v>2924.4705882352937</v>
      </c>
      <c r="L117" s="299">
        <f t="shared" si="31"/>
        <v>974.82352941176453</v>
      </c>
      <c r="M117" s="300">
        <v>0.99652777777777779</v>
      </c>
      <c r="N117" s="300">
        <v>1.0555555555555556</v>
      </c>
      <c r="O117" s="298">
        <v>20</v>
      </c>
      <c r="P117" s="411">
        <f t="shared" si="32"/>
        <v>85.000000000000014</v>
      </c>
      <c r="Q117" s="301"/>
      <c r="R117" s="301"/>
    </row>
    <row r="118" spans="1:18">
      <c r="A118" s="439"/>
      <c r="B118" s="293" t="s">
        <v>131</v>
      </c>
      <c r="C118" s="314"/>
      <c r="D118" s="315" t="s">
        <v>310</v>
      </c>
      <c r="E118" s="331"/>
      <c r="F118" s="295">
        <v>14.03</v>
      </c>
      <c r="G118" s="416">
        <v>6758</v>
      </c>
      <c r="H118" s="341">
        <f t="shared" si="33"/>
        <v>94814.739999999991</v>
      </c>
      <c r="I118" s="417"/>
      <c r="J118" s="297">
        <v>3</v>
      </c>
      <c r="K118" s="298">
        <f t="shared" si="30"/>
        <v>3003.5555555555552</v>
      </c>
      <c r="L118" s="299">
        <f t="shared" si="31"/>
        <v>1001.1851851851851</v>
      </c>
      <c r="M118" s="300">
        <v>1.0694444444444444</v>
      </c>
      <c r="N118" s="300">
        <v>1.1631944444444444</v>
      </c>
      <c r="O118" s="298">
        <v>20</v>
      </c>
      <c r="P118" s="411">
        <f t="shared" si="32"/>
        <v>135</v>
      </c>
      <c r="Q118" s="301"/>
      <c r="R118" s="301"/>
    </row>
    <row r="119" spans="1:18">
      <c r="A119" s="439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39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39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39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39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439"/>
      <c r="B124" s="293">
        <v>0</v>
      </c>
      <c r="C124" s="6" t="s">
        <v>299</v>
      </c>
      <c r="D124" s="440" t="s">
        <v>243</v>
      </c>
      <c r="E124" s="440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2538.4867271619528</v>
      </c>
      <c r="L124" s="309">
        <f>AVERAGE(L112:L123)</f>
        <v>778.1696120737131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181D-741E-42F3-AA82-AAE9E9F3E6CB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36" sqref="M36"/>
      <selection pane="bottomLeft" activeCell="K7" sqref="K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38" t="s">
        <v>214</v>
      </c>
      <c r="E1" s="29">
        <f>SUM(G5:G173)</f>
        <v>203166.6</v>
      </c>
      <c r="F1" s="422" t="s">
        <v>3</v>
      </c>
      <c r="G1" s="30">
        <f>SUM(H5:H173)</f>
        <v>7974422.5168134551</v>
      </c>
      <c r="H1" s="437" t="s">
        <v>37</v>
      </c>
      <c r="I1" s="31">
        <f>M17+M30+M43+M56+M69+M82+M95+M108+M121+M134+M147+M160+M173</f>
        <v>195.80032467532467</v>
      </c>
      <c r="J1" s="579" t="s">
        <v>38</v>
      </c>
      <c r="K1" s="579"/>
      <c r="L1" s="579"/>
      <c r="M1" s="579" t="s">
        <v>39</v>
      </c>
      <c r="N1" s="579"/>
      <c r="O1" s="579"/>
      <c r="P1" s="579" t="s">
        <v>215</v>
      </c>
      <c r="Q1" s="579"/>
      <c r="R1" s="579"/>
      <c r="S1" s="579"/>
      <c r="T1" s="579" t="s">
        <v>216</v>
      </c>
      <c r="U1" s="579"/>
      <c r="V1" s="579"/>
      <c r="W1" s="579"/>
      <c r="X1" s="579"/>
      <c r="Y1" s="579"/>
      <c r="Z1" s="32" t="s">
        <v>217</v>
      </c>
      <c r="AA1" s="32" t="s">
        <v>218</v>
      </c>
      <c r="AB1" s="595" t="s">
        <v>219</v>
      </c>
      <c r="AC1" s="596"/>
      <c r="AD1" s="32" t="s">
        <v>217</v>
      </c>
      <c r="AE1" s="32" t="s">
        <v>220</v>
      </c>
      <c r="AF1" s="579" t="s">
        <v>221</v>
      </c>
      <c r="AG1" s="580"/>
      <c r="AH1" s="580"/>
    </row>
    <row r="2" spans="1:34" ht="26.25" customHeight="1">
      <c r="A2" s="587" t="s">
        <v>813</v>
      </c>
      <c r="B2" s="587"/>
      <c r="C2" s="438"/>
      <c r="D2" s="438" t="s">
        <v>223</v>
      </c>
      <c r="E2" s="34">
        <f>AVERAGE(O17,O30,O43,O56,O69,O82,O95,O108,O121,O134,O147,O160,O173)</f>
        <v>120.46128661043366</v>
      </c>
      <c r="F2" s="35" t="s">
        <v>40</v>
      </c>
      <c r="G2" s="36">
        <f>G1/E1</f>
        <v>39.250656932849466</v>
      </c>
      <c r="H2" s="437" t="s">
        <v>41</v>
      </c>
      <c r="I2" s="437">
        <f>COUNT(I5:I173)</f>
        <v>15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10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224</v>
      </c>
      <c r="B3" s="588" t="s">
        <v>42</v>
      </c>
      <c r="C3" s="589"/>
      <c r="D3" s="588" t="s">
        <v>225</v>
      </c>
      <c r="E3" s="588"/>
      <c r="F3" s="589" t="s">
        <v>43</v>
      </c>
      <c r="G3" s="604" t="s">
        <v>44</v>
      </c>
      <c r="H3" s="589" t="s">
        <v>45</v>
      </c>
      <c r="I3" s="581" t="s">
        <v>226</v>
      </c>
      <c r="J3" s="582" t="s">
        <v>46</v>
      </c>
      <c r="K3" s="583" t="s">
        <v>47</v>
      </c>
      <c r="L3" s="584" t="s">
        <v>35</v>
      </c>
      <c r="M3" s="604" t="s">
        <v>46</v>
      </c>
      <c r="N3" s="583" t="s">
        <v>227</v>
      </c>
      <c r="O3" s="584" t="s">
        <v>223</v>
      </c>
      <c r="P3" s="582" t="s">
        <v>228</v>
      </c>
      <c r="Q3" s="584" t="s">
        <v>223</v>
      </c>
      <c r="R3" s="585" t="s">
        <v>229</v>
      </c>
      <c r="S3" s="586" t="s">
        <v>230</v>
      </c>
      <c r="T3" s="604" t="s">
        <v>48</v>
      </c>
      <c r="U3" s="604"/>
      <c r="V3" s="605" t="s">
        <v>49</v>
      </c>
      <c r="W3" s="581" t="s">
        <v>231</v>
      </c>
      <c r="X3" s="604" t="s">
        <v>232</v>
      </c>
      <c r="Y3" s="604"/>
      <c r="Z3" s="606" t="s">
        <v>233</v>
      </c>
      <c r="AA3" s="607"/>
      <c r="AB3" s="591" t="s">
        <v>234</v>
      </c>
      <c r="AC3" s="592"/>
      <c r="AD3" s="593" t="s">
        <v>235</v>
      </c>
      <c r="AE3" s="594"/>
      <c r="AF3" s="583" t="s">
        <v>227</v>
      </c>
      <c r="AG3" s="585" t="s">
        <v>229</v>
      </c>
      <c r="AH3" s="586" t="s">
        <v>230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50</v>
      </c>
      <c r="U4" s="432" t="s">
        <v>51</v>
      </c>
      <c r="V4" s="604"/>
      <c r="W4" s="581"/>
      <c r="X4" s="422" t="s">
        <v>236</v>
      </c>
      <c r="Y4" s="422" t="s">
        <v>36</v>
      </c>
      <c r="Z4" s="432" t="s">
        <v>237</v>
      </c>
      <c r="AA4" s="432" t="s">
        <v>238</v>
      </c>
      <c r="AB4" s="592"/>
      <c r="AC4" s="592"/>
      <c r="AD4" s="432" t="s">
        <v>239</v>
      </c>
      <c r="AE4" s="39" t="s">
        <v>240</v>
      </c>
      <c r="AF4" s="583"/>
      <c r="AG4" s="585"/>
      <c r="AH4" s="586"/>
    </row>
    <row r="5" spans="1:34" ht="18.75" customHeight="1">
      <c r="A5" s="599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6127.0999999999995</v>
      </c>
      <c r="H5" s="45">
        <f t="shared" ref="H5:H16" si="0">F5*G5</f>
        <v>231788.19299999997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2297.6624999999999</v>
      </c>
      <c r="O5" s="47">
        <f t="shared" ref="O5:O12" si="2">N5/M5</f>
        <v>114.88312499999999</v>
      </c>
      <c r="P5" s="48">
        <f t="shared" ref="P5:P12" si="3">M5-J5</f>
        <v>0</v>
      </c>
      <c r="Q5" s="49">
        <f t="shared" ref="Q5:Q12" si="4">O5-L5</f>
        <v>-5.1168750000000074</v>
      </c>
      <c r="R5" s="424">
        <f t="shared" ref="R5:R12" si="5">O5/L5</f>
        <v>0.9573593749999999</v>
      </c>
      <c r="S5" s="602">
        <f>R17</f>
        <v>0.90970205785759795</v>
      </c>
      <c r="T5" s="89">
        <v>0.25</v>
      </c>
      <c r="U5" s="89">
        <v>0.3611111111111111</v>
      </c>
      <c r="V5" s="422">
        <v>5</v>
      </c>
      <c r="W5" s="433">
        <f>(U5-T5)*24*60</f>
        <v>160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-102.33750000000009</v>
      </c>
      <c r="AG5" s="424">
        <f t="shared" ref="AG5:AG70" si="7">N5/K5</f>
        <v>0.95735937500000001</v>
      </c>
      <c r="AH5" s="602">
        <f>AG17</f>
        <v>0.91851558892215868</v>
      </c>
    </row>
    <row r="6" spans="1:34" ht="19.2" customHeight="1">
      <c r="A6" s="600"/>
      <c r="B6" s="40" t="s">
        <v>127</v>
      </c>
      <c r="C6" s="41"/>
      <c r="D6" s="42" t="s">
        <v>188</v>
      </c>
      <c r="E6" s="43"/>
      <c r="F6" s="355">
        <v>38.99</v>
      </c>
      <c r="G6" s="44">
        <v>1327</v>
      </c>
      <c r="H6" s="45">
        <f t="shared" si="0"/>
        <v>51739.73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2412.7272727272752</v>
      </c>
      <c r="O6" s="47">
        <f t="shared" si="2"/>
        <v>141.92513368983973</v>
      </c>
      <c r="P6" s="48">
        <f t="shared" si="3"/>
        <v>0</v>
      </c>
      <c r="Q6" s="49">
        <f t="shared" si="4"/>
        <v>-16.89839572192497</v>
      </c>
      <c r="R6" s="424">
        <f t="shared" si="5"/>
        <v>0.89360269360269462</v>
      </c>
      <c r="S6" s="602"/>
      <c r="T6" s="89">
        <v>0.37708333333333333</v>
      </c>
      <c r="U6" s="89">
        <v>0.39999999999999997</v>
      </c>
      <c r="V6" s="422">
        <v>23</v>
      </c>
      <c r="W6" s="433">
        <f t="shared" ref="W6:W17" si="8">(U6-T6)*24*60</f>
        <v>32.999999999999964</v>
      </c>
      <c r="X6" s="53">
        <v>0.36527777777777781</v>
      </c>
      <c r="Y6" s="53">
        <v>0.37638888888888888</v>
      </c>
      <c r="Z6" s="54"/>
      <c r="AA6" s="54"/>
      <c r="AB6" s="588"/>
      <c r="AC6" s="588"/>
      <c r="AD6" s="420"/>
      <c r="AE6" s="420"/>
      <c r="AF6" s="48">
        <f t="shared" si="6"/>
        <v>-287.27272727272475</v>
      </c>
      <c r="AG6" s="424">
        <f t="shared" si="7"/>
        <v>0.89360269360269451</v>
      </c>
      <c r="AH6" s="602"/>
    </row>
    <row r="7" spans="1:34" ht="19.2" customHeight="1">
      <c r="A7" s="600"/>
      <c r="B7" s="40" t="s">
        <v>127</v>
      </c>
      <c r="C7" s="41"/>
      <c r="D7" s="42" t="s">
        <v>184</v>
      </c>
      <c r="E7" s="43"/>
      <c r="F7" s="355">
        <v>28.86</v>
      </c>
      <c r="G7" s="44">
        <v>1779</v>
      </c>
      <c r="H7" s="45">
        <f t="shared" si="0"/>
        <v>51341.94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2372</v>
      </c>
      <c r="O7" s="47">
        <f t="shared" si="2"/>
        <v>139.52941176470588</v>
      </c>
      <c r="P7" s="48">
        <f t="shared" si="3"/>
        <v>0</v>
      </c>
      <c r="Q7" s="49">
        <f t="shared" si="4"/>
        <v>-19.294117647058812</v>
      </c>
      <c r="R7" s="424">
        <f t="shared" si="5"/>
        <v>0.87851851851851859</v>
      </c>
      <c r="S7" s="602"/>
      <c r="T7" s="89">
        <v>0.40486111111111106</v>
      </c>
      <c r="U7" s="89">
        <v>0.43611111111111106</v>
      </c>
      <c r="V7" s="422">
        <v>7</v>
      </c>
      <c r="W7" s="433">
        <f t="shared" si="8"/>
        <v>45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-328</v>
      </c>
      <c r="AG7" s="424">
        <f t="shared" si="7"/>
        <v>0.87851851851851848</v>
      </c>
      <c r="AH7" s="602"/>
    </row>
    <row r="8" spans="1:34" ht="19.2" customHeight="1">
      <c r="A8" s="600"/>
      <c r="B8" s="40" t="s">
        <v>127</v>
      </c>
      <c r="C8" s="41"/>
      <c r="D8" s="42" t="s">
        <v>53</v>
      </c>
      <c r="E8" s="43"/>
      <c r="F8" s="355">
        <v>31.11</v>
      </c>
      <c r="G8" s="44">
        <v>3133</v>
      </c>
      <c r="H8" s="45">
        <f t="shared" si="0"/>
        <v>97467.63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2610.8333333333339</v>
      </c>
      <c r="O8" s="47">
        <f t="shared" si="2"/>
        <v>137.41228070175441</v>
      </c>
      <c r="P8" s="48">
        <f t="shared" si="3"/>
        <v>1</v>
      </c>
      <c r="Q8" s="49">
        <f t="shared" si="4"/>
        <v>-12.587719298245588</v>
      </c>
      <c r="R8" s="424">
        <f t="shared" si="5"/>
        <v>0.91608187134502939</v>
      </c>
      <c r="S8" s="602"/>
      <c r="T8" s="89">
        <v>0.44097222222222215</v>
      </c>
      <c r="U8" s="89">
        <v>0.49097222222222214</v>
      </c>
      <c r="V8" s="422">
        <v>7</v>
      </c>
      <c r="W8" s="433">
        <f t="shared" si="8"/>
        <v>71.999999999999986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-89.16666666666606</v>
      </c>
      <c r="AG8" s="424">
        <f t="shared" si="7"/>
        <v>0.96697530864197556</v>
      </c>
      <c r="AH8" s="602"/>
    </row>
    <row r="9" spans="1:34" ht="19.2" customHeight="1">
      <c r="A9" s="600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602"/>
      <c r="T9" s="89">
        <v>0.53124999999999989</v>
      </c>
      <c r="U9" s="89">
        <v>0.58124999999999993</v>
      </c>
      <c r="V9" s="422">
        <v>5</v>
      </c>
      <c r="W9" s="433">
        <f t="shared" si="8"/>
        <v>72.000000000000057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602"/>
    </row>
    <row r="10" spans="1:34" ht="19.2" customHeight="1">
      <c r="A10" s="601"/>
      <c r="B10" s="40" t="s">
        <v>127</v>
      </c>
      <c r="C10" s="41"/>
      <c r="D10" s="42" t="s">
        <v>205</v>
      </c>
      <c r="E10" s="43"/>
      <c r="F10" s="355">
        <v>46.93</v>
      </c>
      <c r="G10" s="44">
        <v>1551</v>
      </c>
      <c r="H10" s="45">
        <f t="shared" si="0"/>
        <v>72788.429999999993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2115</v>
      </c>
      <c r="O10" s="47">
        <f t="shared" si="2"/>
        <v>117.5</v>
      </c>
      <c r="P10" s="48">
        <f t="shared" si="3"/>
        <v>0</v>
      </c>
      <c r="Q10" s="49">
        <f t="shared" si="4"/>
        <v>-15.833333333333343</v>
      </c>
      <c r="R10" s="424">
        <f t="shared" si="5"/>
        <v>0.88124999999999998</v>
      </c>
      <c r="S10" s="603"/>
      <c r="T10" s="89">
        <v>0.58611111111111103</v>
      </c>
      <c r="U10" s="89">
        <v>0.61666666666666659</v>
      </c>
      <c r="V10" s="422">
        <v>7</v>
      </c>
      <c r="W10" s="433">
        <f t="shared" si="8"/>
        <v>44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-285</v>
      </c>
      <c r="AG10" s="424">
        <f t="shared" si="7"/>
        <v>0.88124999999999998</v>
      </c>
      <c r="AH10" s="603"/>
    </row>
    <row r="11" spans="1:34" ht="19.2" customHeight="1">
      <c r="A11" s="601"/>
      <c r="B11" s="40" t="s">
        <v>127</v>
      </c>
      <c r="C11" s="41"/>
      <c r="D11" s="42" t="s">
        <v>367</v>
      </c>
      <c r="E11" s="43"/>
      <c r="F11" s="355">
        <v>43.96</v>
      </c>
      <c r="G11" s="44">
        <v>1400</v>
      </c>
      <c r="H11" s="45">
        <f t="shared" si="0"/>
        <v>61544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2270.2702702702686</v>
      </c>
      <c r="O11" s="47">
        <f t="shared" si="2"/>
        <v>113.51351351351343</v>
      </c>
      <c r="P11" s="48">
        <f t="shared" si="3"/>
        <v>0</v>
      </c>
      <c r="Q11" s="49">
        <f t="shared" si="4"/>
        <v>-6.4864864864865694</v>
      </c>
      <c r="R11" s="424">
        <f t="shared" si="5"/>
        <v>0.94594594594594528</v>
      </c>
      <c r="S11" s="603"/>
      <c r="T11" s="89">
        <v>0.63194444444444431</v>
      </c>
      <c r="U11" s="89">
        <v>0.65763888888888877</v>
      </c>
      <c r="V11" s="422">
        <v>22</v>
      </c>
      <c r="W11" s="433">
        <f t="shared" si="8"/>
        <v>37.000000000000028</v>
      </c>
      <c r="X11" s="53">
        <v>0.62083333333333335</v>
      </c>
      <c r="Y11" s="53">
        <v>0.63055555555555554</v>
      </c>
      <c r="Z11" s="54"/>
      <c r="AA11" s="54"/>
      <c r="AB11" s="588"/>
      <c r="AC11" s="588"/>
      <c r="AD11" s="420">
        <v>1</v>
      </c>
      <c r="AE11" s="420"/>
      <c r="AF11" s="48">
        <f t="shared" si="6"/>
        <v>-129.72972972973139</v>
      </c>
      <c r="AG11" s="424">
        <f t="shared" si="7"/>
        <v>0.94594594594594528</v>
      </c>
      <c r="AH11" s="603"/>
    </row>
    <row r="12" spans="1:34" ht="19.2" customHeight="1">
      <c r="A12" s="601"/>
      <c r="B12" s="40" t="s">
        <v>127</v>
      </c>
      <c r="C12" s="41"/>
      <c r="D12" s="59" t="s">
        <v>52</v>
      </c>
      <c r="E12" s="43"/>
      <c r="F12" s="355">
        <v>37.83</v>
      </c>
      <c r="G12" s="44">
        <v>2625.9</v>
      </c>
      <c r="H12" s="45">
        <f t="shared" si="0"/>
        <v>99337.797000000006</v>
      </c>
      <c r="I12" s="433">
        <v>1</v>
      </c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2283.3913043478237</v>
      </c>
      <c r="O12" s="47">
        <f t="shared" si="2"/>
        <v>114.16956521739118</v>
      </c>
      <c r="P12" s="48">
        <f t="shared" si="3"/>
        <v>0</v>
      </c>
      <c r="Q12" s="49">
        <f t="shared" si="4"/>
        <v>-5.830434782608819</v>
      </c>
      <c r="R12" s="424">
        <f t="shared" si="5"/>
        <v>0.95141304347825983</v>
      </c>
      <c r="S12" s="603"/>
      <c r="T12" s="89">
        <v>0.66249999999999987</v>
      </c>
      <c r="U12" s="89">
        <v>0.71041666666666659</v>
      </c>
      <c r="V12" s="422">
        <v>7</v>
      </c>
      <c r="W12" s="433">
        <f t="shared" si="8"/>
        <v>69.000000000000071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-116.60869565217627</v>
      </c>
      <c r="AG12" s="424">
        <f t="shared" si="7"/>
        <v>0.95141304347825983</v>
      </c>
      <c r="AH12" s="603"/>
    </row>
    <row r="13" spans="1:34" ht="19.2" customHeight="1">
      <c r="A13" s="601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2" customHeight="1">
      <c r="A14" s="601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2" customHeight="1">
      <c r="A15" s="601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2" customHeight="1">
      <c r="A16" s="601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2" customHeight="1">
      <c r="A17" s="601"/>
      <c r="B17" s="69">
        <v>0</v>
      </c>
      <c r="C17" s="69" t="s">
        <v>242</v>
      </c>
      <c r="D17" s="608" t="s">
        <v>243</v>
      </c>
      <c r="E17" s="608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J17:O17" si="9">AVERAGE(M5:M16)</f>
        <v>18.5</v>
      </c>
      <c r="N17" s="70">
        <f t="shared" si="9"/>
        <v>2342.2147517515045</v>
      </c>
      <c r="O17" s="73">
        <f t="shared" si="9"/>
        <v>127.3359914809986</v>
      </c>
      <c r="P17" s="65">
        <f t="shared" ref="P17:P28" si="10">M17-J17</f>
        <v>0.125</v>
      </c>
      <c r="Q17" s="74">
        <f t="shared" ref="Q17:Q23" si="11">O17-L17</f>
        <v>-12.639498715079853</v>
      </c>
      <c r="R17" s="75">
        <f>O17/L17</f>
        <v>0.90970205785759795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-207.78524824849546</v>
      </c>
      <c r="AG17" s="425">
        <f t="shared" si="7"/>
        <v>0.91851558892215868</v>
      </c>
      <c r="AH17" s="603"/>
    </row>
    <row r="18" spans="1:34" ht="19.2" customHeight="1">
      <c r="A18" s="610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4004.65</v>
      </c>
      <c r="H18" s="84">
        <f t="shared" ref="H18:H29" si="12">F18*G18</f>
        <v>147611.399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2145.3482142857142</v>
      </c>
      <c r="O18" s="86">
        <f t="shared" ref="O18:O23" si="14">N18/M18</f>
        <v>119.1860119047619</v>
      </c>
      <c r="P18" s="54">
        <f t="shared" si="10"/>
        <v>1</v>
      </c>
      <c r="Q18" s="88">
        <f t="shared" si="11"/>
        <v>-13.166929271708682</v>
      </c>
      <c r="R18" s="421">
        <f t="shared" ref="R18:R23" si="15">O18/L18</f>
        <v>0.90051653439153445</v>
      </c>
      <c r="S18" s="611">
        <f>R30</f>
        <v>0.8702652687496143</v>
      </c>
      <c r="T18" s="89">
        <v>0.16666666666666666</v>
      </c>
      <c r="U18" s="89">
        <v>0.24444444444444444</v>
      </c>
      <c r="V18" s="420">
        <v>5</v>
      </c>
      <c r="W18" s="90">
        <f>(U18-T18)*24*60</f>
        <v>112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-104.65178571428578</v>
      </c>
      <c r="AG18" s="92">
        <f t="shared" si="7"/>
        <v>0.95348809523809519</v>
      </c>
      <c r="AH18" s="612">
        <f>AG30</f>
        <v>0.91463826391299285</v>
      </c>
    </row>
    <row r="19" spans="1:34" ht="19.2" customHeight="1">
      <c r="A19" s="610"/>
      <c r="B19" s="430" t="s">
        <v>129</v>
      </c>
      <c r="C19" s="429"/>
      <c r="D19" s="82" t="s">
        <v>62</v>
      </c>
      <c r="E19" s="83"/>
      <c r="F19" s="355">
        <v>38.39</v>
      </c>
      <c r="G19" s="57">
        <v>1819.3500000000001</v>
      </c>
      <c r="H19" s="84">
        <f t="shared" si="12"/>
        <v>69844.8465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1381.7848101265818</v>
      </c>
      <c r="O19" s="95">
        <f t="shared" si="14"/>
        <v>81.281459419210691</v>
      </c>
      <c r="P19" s="54">
        <f t="shared" si="10"/>
        <v>1</v>
      </c>
      <c r="Q19" s="88">
        <f t="shared" si="11"/>
        <v>-20.968540580789309</v>
      </c>
      <c r="R19" s="421">
        <f t="shared" si="15"/>
        <v>0.79492869847638814</v>
      </c>
      <c r="S19" s="611"/>
      <c r="T19" s="89">
        <v>0.26041666666666663</v>
      </c>
      <c r="U19" s="89">
        <v>0.31527777777777777</v>
      </c>
      <c r="V19" s="420">
        <v>23</v>
      </c>
      <c r="W19" s="90">
        <f>(U19-T19)*24*60</f>
        <v>79.000000000000043</v>
      </c>
      <c r="X19" s="96">
        <v>0.24861111111111112</v>
      </c>
      <c r="Y19" s="96">
        <v>0.25972222222222224</v>
      </c>
      <c r="Z19" s="54"/>
      <c r="AA19" s="54"/>
      <c r="AB19" s="588"/>
      <c r="AC19" s="588"/>
      <c r="AD19" s="420"/>
      <c r="AE19" s="420"/>
      <c r="AF19" s="48">
        <f t="shared" si="6"/>
        <v>-254.21518987341824</v>
      </c>
      <c r="AG19" s="424">
        <f t="shared" si="7"/>
        <v>0.84461174213116241</v>
      </c>
      <c r="AH19" s="613"/>
    </row>
    <row r="20" spans="1:34" ht="19.2" customHeight="1">
      <c r="A20" s="610"/>
      <c r="B20" s="430" t="s">
        <v>130</v>
      </c>
      <c r="C20" s="55"/>
      <c r="D20" s="42" t="s">
        <v>61</v>
      </c>
      <c r="E20" s="83"/>
      <c r="F20" s="355">
        <v>43.14</v>
      </c>
      <c r="G20" s="57">
        <v>2134</v>
      </c>
      <c r="H20" s="84">
        <f t="shared" si="12"/>
        <v>92060.76</v>
      </c>
      <c r="I20" s="420"/>
      <c r="J20" s="93">
        <v>16</v>
      </c>
      <c r="K20" s="44">
        <v>1440</v>
      </c>
      <c r="L20" s="47">
        <v>90</v>
      </c>
      <c r="M20" s="87">
        <v>17</v>
      </c>
      <c r="N20" s="94">
        <f t="shared" si="13"/>
        <v>1391.7391304347825</v>
      </c>
      <c r="O20" s="95">
        <f t="shared" si="14"/>
        <v>81.867007672634259</v>
      </c>
      <c r="P20" s="54">
        <f t="shared" si="10"/>
        <v>1</v>
      </c>
      <c r="Q20" s="88">
        <f t="shared" si="11"/>
        <v>-8.1329923273657414</v>
      </c>
      <c r="R20" s="421">
        <f t="shared" si="15"/>
        <v>0.90963341858482505</v>
      </c>
      <c r="S20" s="611"/>
      <c r="T20" s="89">
        <v>0.32013888888888886</v>
      </c>
      <c r="U20" s="89">
        <v>0.38402777777777775</v>
      </c>
      <c r="V20" s="420">
        <v>7</v>
      </c>
      <c r="W20" s="90">
        <f t="shared" ref="W20:W29" si="16">(U20-T20)*24*60</f>
        <v>92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-48.26086956521749</v>
      </c>
      <c r="AG20" s="92">
        <f t="shared" si="7"/>
        <v>0.96648550724637672</v>
      </c>
      <c r="AH20" s="613"/>
    </row>
    <row r="21" spans="1:34" ht="19.2" customHeight="1">
      <c r="A21" s="610"/>
      <c r="B21" s="430" t="s">
        <v>129</v>
      </c>
      <c r="C21" s="97"/>
      <c r="D21" s="98" t="s">
        <v>210</v>
      </c>
      <c r="E21" s="43"/>
      <c r="F21" s="355">
        <v>44.3</v>
      </c>
      <c r="G21" s="44">
        <v>3403.6000000000004</v>
      </c>
      <c r="H21" s="84">
        <f t="shared" si="12"/>
        <v>150779.48000000001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1418.1666666666663</v>
      </c>
      <c r="O21" s="95">
        <f t="shared" si="14"/>
        <v>83.421568627450952</v>
      </c>
      <c r="P21" s="54">
        <f t="shared" si="10"/>
        <v>0</v>
      </c>
      <c r="Q21" s="88">
        <f t="shared" si="11"/>
        <v>-12.813725490196106</v>
      </c>
      <c r="R21" s="421">
        <f t="shared" si="15"/>
        <v>0.86685004074979599</v>
      </c>
      <c r="S21" s="611"/>
      <c r="T21" s="89">
        <v>0.39999999999999997</v>
      </c>
      <c r="U21" s="89">
        <v>0.5</v>
      </c>
      <c r="V21" s="420">
        <v>23</v>
      </c>
      <c r="W21" s="90">
        <f t="shared" si="16"/>
        <v>144.00000000000006</v>
      </c>
      <c r="X21" s="96">
        <v>0.3888888888888889</v>
      </c>
      <c r="Y21" s="96">
        <v>0.39930555555555558</v>
      </c>
      <c r="Z21" s="54"/>
      <c r="AA21" s="54"/>
      <c r="AB21" s="588"/>
      <c r="AC21" s="588"/>
      <c r="AD21" s="420"/>
      <c r="AE21" s="420">
        <v>1</v>
      </c>
      <c r="AF21" s="48">
        <f t="shared" si="6"/>
        <v>-217.83333333333371</v>
      </c>
      <c r="AG21" s="424">
        <f t="shared" si="7"/>
        <v>0.86685004074979599</v>
      </c>
      <c r="AH21" s="614"/>
    </row>
    <row r="22" spans="1:34" ht="19.2" customHeight="1">
      <c r="A22" s="610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4043</v>
      </c>
      <c r="H22" s="84">
        <f t="shared" si="12"/>
        <v>155574.63999999998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2401.7821782178225</v>
      </c>
      <c r="O22" s="95">
        <f t="shared" si="14"/>
        <v>126.40958832725381</v>
      </c>
      <c r="P22" s="54">
        <f t="shared" si="10"/>
        <v>1</v>
      </c>
      <c r="Q22" s="88">
        <f t="shared" si="11"/>
        <v>-23.590411672746185</v>
      </c>
      <c r="R22" s="421">
        <f t="shared" si="15"/>
        <v>0.84273058884835872</v>
      </c>
      <c r="S22" s="611"/>
      <c r="T22" s="89">
        <v>0.54027777777777775</v>
      </c>
      <c r="U22" s="89">
        <v>0.61041666666666661</v>
      </c>
      <c r="V22" s="420">
        <v>5</v>
      </c>
      <c r="W22" s="90">
        <f t="shared" si="16"/>
        <v>100.99999999999996</v>
      </c>
      <c r="X22" s="96"/>
      <c r="Y22" s="96"/>
      <c r="Z22" s="54"/>
      <c r="AA22" s="54"/>
      <c r="AB22" s="588"/>
      <c r="AC22" s="588"/>
      <c r="AD22" s="420">
        <v>1</v>
      </c>
      <c r="AE22" s="420"/>
      <c r="AF22" s="91">
        <f t="shared" si="6"/>
        <v>-298.21782178217745</v>
      </c>
      <c r="AG22" s="92">
        <f t="shared" si="7"/>
        <v>0.8895489548954898</v>
      </c>
      <c r="AH22" s="614"/>
    </row>
    <row r="23" spans="1:34" ht="19.2" customHeight="1">
      <c r="A23" s="610"/>
      <c r="B23" s="430" t="s">
        <v>127</v>
      </c>
      <c r="C23" s="97"/>
      <c r="D23" s="42" t="s">
        <v>60</v>
      </c>
      <c r="E23" s="43"/>
      <c r="F23" s="355">
        <v>36.86</v>
      </c>
      <c r="G23" s="44">
        <v>2156.35</v>
      </c>
      <c r="H23" s="84">
        <f t="shared" si="12"/>
        <v>79483.061000000002</v>
      </c>
      <c r="I23" s="422">
        <v>1</v>
      </c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2156.3500000000022</v>
      </c>
      <c r="O23" s="95">
        <f t="shared" si="14"/>
        <v>119.79722222222235</v>
      </c>
      <c r="P23" s="54">
        <f t="shared" si="10"/>
        <v>1</v>
      </c>
      <c r="Q23" s="88">
        <f t="shared" si="11"/>
        <v>-12.555718954248235</v>
      </c>
      <c r="R23" s="421">
        <f t="shared" si="15"/>
        <v>0.90513456790123559</v>
      </c>
      <c r="S23" s="611"/>
      <c r="T23" s="89">
        <v>0.62569444444444433</v>
      </c>
      <c r="U23" s="89">
        <v>0.66736111111111096</v>
      </c>
      <c r="V23" s="420">
        <v>22</v>
      </c>
      <c r="W23" s="90">
        <f t="shared" si="16"/>
        <v>59.999999999999943</v>
      </c>
      <c r="X23" s="96">
        <v>0.61458333333333337</v>
      </c>
      <c r="Y23" s="96">
        <v>0.625</v>
      </c>
      <c r="Z23" s="54"/>
      <c r="AA23" s="54"/>
      <c r="AB23" s="588"/>
      <c r="AC23" s="588"/>
      <c r="AD23" s="420"/>
      <c r="AE23" s="420"/>
      <c r="AF23" s="48">
        <f t="shared" si="6"/>
        <v>-93.649999999997817</v>
      </c>
      <c r="AG23" s="424">
        <f t="shared" si="7"/>
        <v>0.95837777777777877</v>
      </c>
      <c r="AH23" s="614"/>
    </row>
    <row r="24" spans="1:34" ht="19.2" customHeight="1">
      <c r="A24" s="610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2" customHeight="1">
      <c r="A25" s="610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2" customHeight="1">
      <c r="A26" s="610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2" customHeight="1">
      <c r="A27" s="610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2" customHeight="1">
      <c r="A28" s="610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2" customHeight="1">
      <c r="A29" s="610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2" customHeight="1">
      <c r="A30" s="610"/>
      <c r="B30" s="99">
        <v>0</v>
      </c>
      <c r="C30" s="100" t="s">
        <v>245</v>
      </c>
      <c r="D30" s="609" t="s">
        <v>243</v>
      </c>
      <c r="E30" s="609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J30:O30" si="17">AVERAGE(M18:M29)</f>
        <v>17.666666666666668</v>
      </c>
      <c r="N30" s="101">
        <f t="shared" si="17"/>
        <v>1815.8618332885951</v>
      </c>
      <c r="O30" s="104">
        <f t="shared" si="17"/>
        <v>101.99380969558899</v>
      </c>
      <c r="P30" s="54">
        <f t="shared" ref="P30:P37" si="18">M30-J30</f>
        <v>0.8333333333333357</v>
      </c>
      <c r="Q30" s="88">
        <f t="shared" ref="Q30:Q37" si="19">O30-L30</f>
        <v>-15.204719716175717</v>
      </c>
      <c r="R30" s="105">
        <f t="shared" ref="R30:R37" si="20">O30/L30</f>
        <v>0.8702652687496143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1</v>
      </c>
      <c r="AF30" s="108">
        <f t="shared" si="6"/>
        <v>-169.47150004473815</v>
      </c>
      <c r="AG30" s="109">
        <f t="shared" ref="AG30" si="21">N30/K30</f>
        <v>0.91463826391299285</v>
      </c>
      <c r="AH30" s="615"/>
    </row>
    <row r="31" spans="1:34" ht="19.2" customHeight="1">
      <c r="A31" s="618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1648.83</v>
      </c>
      <c r="H31" s="112">
        <f t="shared" ref="H31:H40" si="22">F31*G31</f>
        <v>43693.994999999995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1413.2828571428574</v>
      </c>
      <c r="O31" s="115">
        <f t="shared" ref="O31:O37" si="24">N31/M31</f>
        <v>117.77357142857146</v>
      </c>
      <c r="P31" s="116">
        <f t="shared" si="18"/>
        <v>0</v>
      </c>
      <c r="Q31" s="117">
        <f t="shared" si="19"/>
        <v>-48.893095238095199</v>
      </c>
      <c r="R31" s="423">
        <f t="shared" si="20"/>
        <v>0.70664142857142875</v>
      </c>
      <c r="S31" s="620">
        <f>R43</f>
        <v>0.84331929767802249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-586.71714285714256</v>
      </c>
      <c r="AG31" s="120">
        <f t="shared" si="7"/>
        <v>0.70664142857142875</v>
      </c>
      <c r="AH31" s="616">
        <f>AG43</f>
        <v>0.84713852911987209</v>
      </c>
    </row>
    <row r="32" spans="1:34" ht="19.2" customHeight="1">
      <c r="A32" s="619"/>
      <c r="B32" s="121" t="s">
        <v>131</v>
      </c>
      <c r="C32" s="122"/>
      <c r="D32" s="42" t="s">
        <v>63</v>
      </c>
      <c r="E32" s="43"/>
      <c r="F32" s="355">
        <v>35.33</v>
      </c>
      <c r="G32" s="134">
        <v>2424</v>
      </c>
      <c r="H32" s="84">
        <f t="shared" si="22"/>
        <v>85639.92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1888.8311688311687</v>
      </c>
      <c r="O32" s="47">
        <f t="shared" si="24"/>
        <v>157.40259740259739</v>
      </c>
      <c r="P32" s="116">
        <f t="shared" si="18"/>
        <v>0</v>
      </c>
      <c r="Q32" s="49">
        <f t="shared" si="19"/>
        <v>-19.097402597402606</v>
      </c>
      <c r="R32" s="424">
        <f t="shared" si="20"/>
        <v>0.89179941871159996</v>
      </c>
      <c r="S32" s="611"/>
      <c r="T32" s="89">
        <v>0.17916666666666667</v>
      </c>
      <c r="U32" s="89">
        <v>0.2326388888888889</v>
      </c>
      <c r="V32" s="142">
        <v>8</v>
      </c>
      <c r="W32" s="90">
        <f t="shared" si="25"/>
        <v>77</v>
      </c>
      <c r="X32" s="123"/>
      <c r="Y32" s="123"/>
      <c r="Z32" s="124"/>
      <c r="AA32" s="124"/>
      <c r="AB32" s="588"/>
      <c r="AC32" s="588"/>
      <c r="AD32" s="420">
        <v>1</v>
      </c>
      <c r="AE32" s="420"/>
      <c r="AF32" s="48">
        <f t="shared" si="6"/>
        <v>-229.16883116883128</v>
      </c>
      <c r="AG32" s="424">
        <f t="shared" si="7"/>
        <v>0.89179941871159996</v>
      </c>
      <c r="AH32" s="602"/>
    </row>
    <row r="33" spans="1:34" ht="19.2" customHeight="1">
      <c r="A33" s="61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1976</v>
      </c>
      <c r="H33" s="84">
        <f t="shared" si="22"/>
        <v>67638.48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1852.5000000000009</v>
      </c>
      <c r="O33" s="47">
        <f t="shared" si="24"/>
        <v>154.37500000000009</v>
      </c>
      <c r="P33" s="116">
        <f t="shared" si="18"/>
        <v>0</v>
      </c>
      <c r="Q33" s="49">
        <f t="shared" si="19"/>
        <v>-22.124999999999915</v>
      </c>
      <c r="R33" s="424">
        <f t="shared" si="20"/>
        <v>0.87464589235127532</v>
      </c>
      <c r="S33" s="611"/>
      <c r="T33" s="89">
        <v>0.23750000000000002</v>
      </c>
      <c r="U33" s="89">
        <v>0.28194444444444444</v>
      </c>
      <c r="V33" s="142">
        <v>7</v>
      </c>
      <c r="W33" s="90">
        <f t="shared" si="25"/>
        <v>63.999999999999972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-265.49999999999909</v>
      </c>
      <c r="AG33" s="125">
        <f t="shared" si="7"/>
        <v>0.87464589235127521</v>
      </c>
      <c r="AH33" s="602"/>
    </row>
    <row r="34" spans="1:34" ht="19.2" customHeight="1">
      <c r="A34" s="619"/>
      <c r="B34" s="121" t="s">
        <v>132</v>
      </c>
      <c r="C34" s="126"/>
      <c r="D34" s="147" t="s">
        <v>144</v>
      </c>
      <c r="E34" s="83"/>
      <c r="F34" s="355">
        <v>54.09</v>
      </c>
      <c r="G34" s="137">
        <v>634.80000000000007</v>
      </c>
      <c r="H34" s="84">
        <f t="shared" si="22"/>
        <v>34336.332000000009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1269.6000000000013</v>
      </c>
      <c r="O34" s="47">
        <f t="shared" si="24"/>
        <v>70.533333333333402</v>
      </c>
      <c r="P34" s="116">
        <f t="shared" si="18"/>
        <v>0</v>
      </c>
      <c r="Q34" s="49">
        <f t="shared" si="19"/>
        <v>-12.799999999999926</v>
      </c>
      <c r="R34" s="424">
        <f t="shared" si="20"/>
        <v>0.84640000000000093</v>
      </c>
      <c r="S34" s="611"/>
      <c r="T34" s="89">
        <v>0.29722222222222222</v>
      </c>
      <c r="U34" s="89">
        <v>0.31805555555555554</v>
      </c>
      <c r="V34" s="137">
        <v>22</v>
      </c>
      <c r="W34" s="90">
        <f t="shared" si="25"/>
        <v>29.999999999999972</v>
      </c>
      <c r="X34" s="123">
        <v>0.28611111111111115</v>
      </c>
      <c r="Y34" s="123">
        <v>0.29583333333333334</v>
      </c>
      <c r="Z34" s="124"/>
      <c r="AA34" s="124"/>
      <c r="AB34" s="588"/>
      <c r="AC34" s="588"/>
      <c r="AD34" s="420"/>
      <c r="AE34" s="420"/>
      <c r="AF34" s="48">
        <f t="shared" si="6"/>
        <v>-230.39999999999873</v>
      </c>
      <c r="AG34" s="125">
        <f t="shared" si="7"/>
        <v>0.84640000000000082</v>
      </c>
      <c r="AH34" s="602"/>
    </row>
    <row r="35" spans="1:34" ht="19.2" customHeight="1">
      <c r="A35" s="619"/>
      <c r="B35" s="121" t="s">
        <v>129</v>
      </c>
      <c r="C35" s="41"/>
      <c r="D35" s="150" t="s">
        <v>189</v>
      </c>
      <c r="E35" s="43"/>
      <c r="F35" s="355">
        <v>56.43</v>
      </c>
      <c r="G35" s="137">
        <v>2126</v>
      </c>
      <c r="H35" s="84">
        <f t="shared" si="22"/>
        <v>119970.18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1328.7500000000005</v>
      </c>
      <c r="O35" s="47">
        <f t="shared" si="24"/>
        <v>78.161764705882376</v>
      </c>
      <c r="P35" s="116">
        <f t="shared" si="18"/>
        <v>0</v>
      </c>
      <c r="Q35" s="49">
        <f t="shared" si="19"/>
        <v>-18.073529411764682</v>
      </c>
      <c r="R35" s="424">
        <f t="shared" si="20"/>
        <v>0.81219437652811766</v>
      </c>
      <c r="S35" s="611"/>
      <c r="T35" s="89">
        <v>0.32291666666666663</v>
      </c>
      <c r="U35" s="89">
        <v>0.38958333333333328</v>
      </c>
      <c r="V35" s="134">
        <v>7</v>
      </c>
      <c r="W35" s="90">
        <f t="shared" si="25"/>
        <v>95.999999999999972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-307.24999999999955</v>
      </c>
      <c r="AG35" s="120">
        <f t="shared" si="7"/>
        <v>0.81219437652811766</v>
      </c>
      <c r="AH35" s="603"/>
    </row>
    <row r="36" spans="1:34" ht="19.2" customHeight="1">
      <c r="A36" s="619"/>
      <c r="B36" s="121" t="s">
        <v>129</v>
      </c>
      <c r="C36" s="128"/>
      <c r="D36" s="150" t="s">
        <v>179</v>
      </c>
      <c r="E36" s="83"/>
      <c r="F36" s="355">
        <v>49.91</v>
      </c>
      <c r="G36" s="134">
        <v>3168.75</v>
      </c>
      <c r="H36" s="84">
        <f t="shared" si="22"/>
        <v>158152.3125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1320.3124999999995</v>
      </c>
      <c r="O36" s="47">
        <f t="shared" si="24"/>
        <v>88.0208333333333</v>
      </c>
      <c r="P36" s="116">
        <f t="shared" si="18"/>
        <v>0</v>
      </c>
      <c r="Q36" s="49">
        <f t="shared" si="19"/>
        <v>-11.9791666666667</v>
      </c>
      <c r="R36" s="424">
        <f t="shared" si="20"/>
        <v>0.88020833333333304</v>
      </c>
      <c r="S36" s="611"/>
      <c r="T36" s="89">
        <v>0.40486111111111106</v>
      </c>
      <c r="U36" s="89">
        <v>0.50486111111111109</v>
      </c>
      <c r="V36" s="134">
        <v>22</v>
      </c>
      <c r="W36" s="90">
        <f t="shared" si="25"/>
        <v>144.00000000000006</v>
      </c>
      <c r="X36" s="123">
        <v>0.39444444444444443</v>
      </c>
      <c r="Y36" s="123">
        <v>0.40416666666666662</v>
      </c>
      <c r="Z36" s="124"/>
      <c r="AA36" s="124"/>
      <c r="AB36" s="588"/>
      <c r="AC36" s="588"/>
      <c r="AD36" s="420"/>
      <c r="AE36" s="420"/>
      <c r="AF36" s="48">
        <f t="shared" si="6"/>
        <v>-179.68750000000045</v>
      </c>
      <c r="AG36" s="424">
        <f t="shared" si="7"/>
        <v>0.88020833333333304</v>
      </c>
      <c r="AH36" s="603"/>
    </row>
    <row r="37" spans="1:34" ht="19.2" customHeight="1">
      <c r="A37" s="61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5535</v>
      </c>
      <c r="H37" s="84">
        <f t="shared" si="22"/>
        <v>209222.99999999997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2424.087591240876</v>
      </c>
      <c r="O37" s="47">
        <f t="shared" si="24"/>
        <v>127.58355743373032</v>
      </c>
      <c r="P37" s="116">
        <f t="shared" si="18"/>
        <v>0</v>
      </c>
      <c r="Q37" s="49">
        <f t="shared" si="19"/>
        <v>-14.52170572416442</v>
      </c>
      <c r="R37" s="424">
        <f t="shared" si="20"/>
        <v>0.8978102189781022</v>
      </c>
      <c r="S37" s="611"/>
      <c r="T37" s="89">
        <v>0.54513888888888884</v>
      </c>
      <c r="U37" s="89">
        <v>0.64027777777777772</v>
      </c>
      <c r="V37" s="134">
        <v>5</v>
      </c>
      <c r="W37" s="90">
        <f t="shared" si="25"/>
        <v>137</v>
      </c>
      <c r="X37" s="123"/>
      <c r="Y37" s="123"/>
      <c r="Z37" s="124"/>
      <c r="AA37" s="124"/>
      <c r="AB37" s="588"/>
      <c r="AC37" s="588"/>
      <c r="AD37" s="420">
        <v>1</v>
      </c>
      <c r="AE37" s="420">
        <v>1</v>
      </c>
      <c r="AF37" s="48">
        <f t="shared" si="6"/>
        <v>-275.91240875912399</v>
      </c>
      <c r="AG37" s="125">
        <f t="shared" si="7"/>
        <v>0.8978102189781022</v>
      </c>
      <c r="AH37" s="603"/>
    </row>
    <row r="38" spans="1:34" ht="19.2" customHeight="1">
      <c r="A38" s="61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2" customHeight="1">
      <c r="A39" s="61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2" customHeight="1">
      <c r="A40" s="61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2" customHeight="1">
      <c r="A41" s="61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2" customHeight="1">
      <c r="A42" s="61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2" customHeight="1">
      <c r="A43" s="619"/>
      <c r="B43" s="121">
        <v>0</v>
      </c>
      <c r="C43" s="100" t="s">
        <v>247</v>
      </c>
      <c r="D43" s="617" t="s">
        <v>243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J43:O43" si="26">AVERAGE(M31:M42)</f>
        <v>15</v>
      </c>
      <c r="N43" s="101">
        <f t="shared" si="26"/>
        <v>1642.4805881735576</v>
      </c>
      <c r="O43" s="104">
        <f t="shared" si="26"/>
        <v>113.40723680534975</v>
      </c>
      <c r="P43" s="54">
        <f>M43-J43</f>
        <v>0</v>
      </c>
      <c r="Q43" s="88">
        <f>N43-K43</f>
        <v>-296.37655468358525</v>
      </c>
      <c r="R43" s="105">
        <f t="shared" ref="R43:R51" si="27">O43/L43</f>
        <v>0.84331929767802249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2</v>
      </c>
      <c r="AE43" s="107">
        <f>SUM(AE31:AE42)</f>
        <v>1</v>
      </c>
      <c r="AF43" s="48">
        <f t="shared" ref="AF43:AF54" si="28">N43-K43</f>
        <v>-296.37655468358525</v>
      </c>
      <c r="AG43" s="425">
        <f t="shared" si="7"/>
        <v>0.84713852911987209</v>
      </c>
      <c r="AH43" s="603"/>
    </row>
    <row r="44" spans="1:34" s="145" customFormat="1" ht="19.2" customHeight="1">
      <c r="A44" s="622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1451</v>
      </c>
      <c r="H44" s="45">
        <f>F44*G44</f>
        <v>39902.5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1527.3684210526314</v>
      </c>
      <c r="O44" s="138">
        <f t="shared" ref="O44:O51" si="30">N44/M44</f>
        <v>127.28070175438596</v>
      </c>
      <c r="P44" s="51">
        <f t="shared" ref="P44:P51" si="31">M44-J44</f>
        <v>0</v>
      </c>
      <c r="Q44" s="139">
        <f t="shared" ref="Q44:Q51" si="32">O44-L44</f>
        <v>-39.385964912280699</v>
      </c>
      <c r="R44" s="140">
        <f t="shared" si="27"/>
        <v>0.76368421052631574</v>
      </c>
      <c r="S44" s="602">
        <f>R56</f>
        <v>0.8843407473367676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-472.63157894736855</v>
      </c>
      <c r="AG44" s="428">
        <f t="shared" si="7"/>
        <v>0.76368421052631574</v>
      </c>
      <c r="AH44" s="625">
        <f>AG56</f>
        <v>0.93404620667014127</v>
      </c>
    </row>
    <row r="45" spans="1:34" s="145" customFormat="1" ht="19.2" customHeight="1">
      <c r="A45" s="623"/>
      <c r="B45" s="97" t="s">
        <v>131</v>
      </c>
      <c r="C45" s="133"/>
      <c r="D45" s="42" t="s">
        <v>76</v>
      </c>
      <c r="E45" s="43"/>
      <c r="F45" s="362">
        <v>24.73</v>
      </c>
      <c r="G45" s="134">
        <v>2411</v>
      </c>
      <c r="H45" s="45">
        <f>F45*G45</f>
        <v>59624.03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2096.521739130435</v>
      </c>
      <c r="O45" s="138">
        <f t="shared" si="30"/>
        <v>419.304347826087</v>
      </c>
      <c r="P45" s="51">
        <f t="shared" si="31"/>
        <v>1</v>
      </c>
      <c r="Q45" s="139">
        <f t="shared" si="32"/>
        <v>-80.695652173913004</v>
      </c>
      <c r="R45" s="140">
        <f t="shared" si="27"/>
        <v>0.838608695652174</v>
      </c>
      <c r="S45" s="602"/>
      <c r="T45" s="89">
        <v>0.16805555555555554</v>
      </c>
      <c r="U45" s="89">
        <v>0.2159722222222222</v>
      </c>
      <c r="V45" s="142">
        <v>5</v>
      </c>
      <c r="W45" s="143">
        <f t="shared" si="33"/>
        <v>69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96.52173913043498</v>
      </c>
      <c r="AG45" s="428">
        <f t="shared" si="7"/>
        <v>1.0482608695652176</v>
      </c>
      <c r="AH45" s="625"/>
    </row>
    <row r="46" spans="1:34" s="145" customFormat="1" ht="19.2" customHeight="1">
      <c r="A46" s="623"/>
      <c r="B46" s="97" t="s">
        <v>131</v>
      </c>
      <c r="C46" s="133"/>
      <c r="D46" s="42" t="s">
        <v>77</v>
      </c>
      <c r="E46" s="43"/>
      <c r="F46" s="362">
        <v>24.73</v>
      </c>
      <c r="G46" s="134">
        <v>2292</v>
      </c>
      <c r="H46" s="45">
        <f t="shared" ref="H46:H51" si="34">F46*G46</f>
        <v>56681.16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2148.7500000000009</v>
      </c>
      <c r="O46" s="138">
        <f t="shared" si="30"/>
        <v>429.75000000000017</v>
      </c>
      <c r="P46" s="51">
        <f t="shared" si="31"/>
        <v>1</v>
      </c>
      <c r="Q46" s="139">
        <f t="shared" si="32"/>
        <v>-70.249999999999829</v>
      </c>
      <c r="R46" s="140">
        <f t="shared" si="27"/>
        <v>0.85950000000000037</v>
      </c>
      <c r="S46" s="602"/>
      <c r="T46" s="89">
        <v>0.21944444444444441</v>
      </c>
      <c r="U46" s="89">
        <v>0.26388888888888884</v>
      </c>
      <c r="V46" s="142">
        <v>5</v>
      </c>
      <c r="W46" s="143">
        <f t="shared" si="33"/>
        <v>63.999999999999972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148.75000000000091</v>
      </c>
      <c r="AG46" s="428">
        <f t="shared" si="7"/>
        <v>1.0743750000000005</v>
      </c>
      <c r="AH46" s="625"/>
    </row>
    <row r="47" spans="1:34" s="145" customFormat="1" ht="19.2" customHeight="1">
      <c r="A47" s="623"/>
      <c r="B47" s="97" t="s">
        <v>130</v>
      </c>
      <c r="C47" s="133"/>
      <c r="D47" s="42" t="s">
        <v>67</v>
      </c>
      <c r="E47" s="148"/>
      <c r="F47" s="362">
        <v>31.43</v>
      </c>
      <c r="G47" s="137">
        <v>1906</v>
      </c>
      <c r="H47" s="45">
        <f t="shared" si="34"/>
        <v>59905.58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1429.5000000000009</v>
      </c>
      <c r="O47" s="138">
        <f t="shared" si="30"/>
        <v>204.21428571428584</v>
      </c>
      <c r="P47" s="51">
        <f t="shared" si="31"/>
        <v>0</v>
      </c>
      <c r="Q47" s="139">
        <f t="shared" si="32"/>
        <v>-10.071428571428442</v>
      </c>
      <c r="R47" s="140">
        <f t="shared" si="27"/>
        <v>0.95300000000000062</v>
      </c>
      <c r="S47" s="602"/>
      <c r="T47" s="89">
        <v>0.28124999999999994</v>
      </c>
      <c r="U47" s="89">
        <v>0.33680555555555547</v>
      </c>
      <c r="V47" s="137">
        <v>25</v>
      </c>
      <c r="W47" s="143">
        <f t="shared" si="33"/>
        <v>79.999999999999957</v>
      </c>
      <c r="X47" s="123">
        <v>0.26805555555555555</v>
      </c>
      <c r="Y47" s="123">
        <v>0.28055555555555556</v>
      </c>
      <c r="Z47" s="124"/>
      <c r="AA47" s="124"/>
      <c r="AB47" s="588"/>
      <c r="AC47" s="588"/>
      <c r="AD47" s="420"/>
      <c r="AE47" s="420"/>
      <c r="AF47" s="144">
        <f t="shared" si="28"/>
        <v>-70.499999999999091</v>
      </c>
      <c r="AG47" s="428">
        <f t="shared" si="7"/>
        <v>0.95300000000000062</v>
      </c>
      <c r="AH47" s="625"/>
    </row>
    <row r="48" spans="1:34" s="145" customFormat="1" ht="19.2" customHeight="1">
      <c r="A48" s="623"/>
      <c r="B48" s="97" t="s">
        <v>130</v>
      </c>
      <c r="C48" s="133"/>
      <c r="D48" s="42" t="s">
        <v>178</v>
      </c>
      <c r="E48" s="148"/>
      <c r="F48" s="362">
        <v>11.86</v>
      </c>
      <c r="G48" s="137">
        <v>1919</v>
      </c>
      <c r="H48" s="45">
        <f t="shared" si="34"/>
        <v>22759.34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1457.4683544303789</v>
      </c>
      <c r="O48" s="138">
        <f t="shared" si="30"/>
        <v>242.91139240506314</v>
      </c>
      <c r="P48" s="51">
        <f t="shared" si="31"/>
        <v>0</v>
      </c>
      <c r="Q48" s="139">
        <f t="shared" si="32"/>
        <v>-7.0886075949368603</v>
      </c>
      <c r="R48" s="140">
        <f t="shared" si="27"/>
        <v>0.97164556962025261</v>
      </c>
      <c r="S48" s="602"/>
      <c r="T48" s="89">
        <v>0.34374999999999989</v>
      </c>
      <c r="U48" s="89">
        <v>0.39861111111111103</v>
      </c>
      <c r="V48" s="134">
        <v>10</v>
      </c>
      <c r="W48" s="143">
        <f t="shared" si="33"/>
        <v>79.000000000000043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-42.531645569621105</v>
      </c>
      <c r="AG48" s="428">
        <f t="shared" si="7"/>
        <v>0.97164556962025261</v>
      </c>
      <c r="AH48" s="625"/>
    </row>
    <row r="49" spans="1:34" s="145" customFormat="1" ht="19.2" customHeight="1">
      <c r="A49" s="623"/>
      <c r="B49" s="97" t="s">
        <v>132</v>
      </c>
      <c r="C49" s="133"/>
      <c r="D49" s="42" t="s">
        <v>66</v>
      </c>
      <c r="E49" s="148"/>
      <c r="F49" s="362">
        <v>10.09</v>
      </c>
      <c r="G49" s="134">
        <v>3969.5400000000004</v>
      </c>
      <c r="H49" s="45">
        <f t="shared" si="34"/>
        <v>40052.658600000002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1434.7734939759034</v>
      </c>
      <c r="O49" s="138">
        <f t="shared" si="30"/>
        <v>239.12891566265057</v>
      </c>
      <c r="P49" s="51">
        <f t="shared" si="31"/>
        <v>0</v>
      </c>
      <c r="Q49" s="139">
        <f t="shared" si="32"/>
        <v>-10.87108433734943</v>
      </c>
      <c r="R49" s="140">
        <f t="shared" si="27"/>
        <v>0.95651566265060228</v>
      </c>
      <c r="S49" s="602"/>
      <c r="T49" s="89">
        <v>0.43888888888888877</v>
      </c>
      <c r="U49" s="89">
        <v>0.55416666666666659</v>
      </c>
      <c r="V49" s="134">
        <v>5</v>
      </c>
      <c r="W49" s="143">
        <f t="shared" si="33"/>
        <v>166.00000000000006</v>
      </c>
      <c r="X49" s="152"/>
      <c r="Y49" s="152"/>
      <c r="Z49" s="153"/>
      <c r="AA49" s="124"/>
      <c r="AB49" s="588"/>
      <c r="AC49" s="588"/>
      <c r="AD49" s="420"/>
      <c r="AE49" s="420">
        <v>1</v>
      </c>
      <c r="AF49" s="144">
        <f t="shared" si="28"/>
        <v>-65.226506024096579</v>
      </c>
      <c r="AG49" s="428">
        <f t="shared" si="7"/>
        <v>0.95651566265060228</v>
      </c>
      <c r="AH49" s="625"/>
    </row>
    <row r="50" spans="1:34" s="145" customFormat="1" ht="19.2" customHeight="1">
      <c r="A50" s="623"/>
      <c r="B50" s="97" t="s">
        <v>132</v>
      </c>
      <c r="C50" s="133"/>
      <c r="D50" s="42" t="s">
        <v>66</v>
      </c>
      <c r="E50" s="148"/>
      <c r="F50" s="362">
        <v>10.09</v>
      </c>
      <c r="G50" s="134">
        <v>3381.46</v>
      </c>
      <c r="H50" s="45">
        <f t="shared" si="34"/>
        <v>34118.931400000001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1449.197142857143</v>
      </c>
      <c r="O50" s="138">
        <f t="shared" si="30"/>
        <v>241.53285714285718</v>
      </c>
      <c r="P50" s="51">
        <f t="shared" si="31"/>
        <v>0</v>
      </c>
      <c r="Q50" s="139">
        <f t="shared" si="32"/>
        <v>-8.467142857142818</v>
      </c>
      <c r="R50" s="140">
        <f t="shared" si="27"/>
        <v>0.96613142857142875</v>
      </c>
      <c r="S50" s="602"/>
      <c r="T50" s="89">
        <v>0.56111111111111101</v>
      </c>
      <c r="U50" s="89">
        <v>0.65833333333333321</v>
      </c>
      <c r="V50" s="134">
        <v>10</v>
      </c>
      <c r="W50" s="143">
        <f t="shared" si="33"/>
        <v>139.99999999999997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-50.802857142856965</v>
      </c>
      <c r="AG50" s="428">
        <f t="shared" si="7"/>
        <v>0.96613142857142864</v>
      </c>
      <c r="AH50" s="625"/>
    </row>
    <row r="51" spans="1:34" s="145" customFormat="1" ht="19.2" customHeight="1">
      <c r="A51" s="623"/>
      <c r="B51" s="97" t="s">
        <v>130</v>
      </c>
      <c r="C51" s="133"/>
      <c r="D51" s="150" t="s">
        <v>201</v>
      </c>
      <c r="E51" s="148"/>
      <c r="F51" s="362">
        <v>26.5</v>
      </c>
      <c r="G51" s="134">
        <v>1584.17</v>
      </c>
      <c r="H51" s="45">
        <f t="shared" si="34"/>
        <v>41980.505000000005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1533.0677419354854</v>
      </c>
      <c r="O51" s="138">
        <f t="shared" si="30"/>
        <v>127.75564516129045</v>
      </c>
      <c r="P51" s="51">
        <f t="shared" si="31"/>
        <v>0</v>
      </c>
      <c r="Q51" s="139">
        <f t="shared" si="32"/>
        <v>-38.911021505376212</v>
      </c>
      <c r="R51" s="140">
        <f t="shared" si="27"/>
        <v>0.76653387096774273</v>
      </c>
      <c r="S51" s="602"/>
      <c r="T51" s="151">
        <v>0.66527777777777763</v>
      </c>
      <c r="U51" s="151">
        <v>0.70833333333333315</v>
      </c>
      <c r="V51" s="134">
        <v>10</v>
      </c>
      <c r="W51" s="143">
        <f t="shared" si="33"/>
        <v>61.999999999999943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-466.9322580645146</v>
      </c>
      <c r="AG51" s="428">
        <f t="shared" si="7"/>
        <v>0.76653387096774273</v>
      </c>
      <c r="AH51" s="625"/>
    </row>
    <row r="52" spans="1:34" s="145" customFormat="1" ht="19.2" customHeight="1">
      <c r="A52" s="623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2" customHeight="1">
      <c r="A53" s="623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2" customHeight="1">
      <c r="A54" s="623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2" customHeight="1">
      <c r="A55" s="623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2" customHeight="1">
      <c r="A56" s="624"/>
      <c r="B56" s="157">
        <v>0</v>
      </c>
      <c r="C56" s="268" t="s">
        <v>249</v>
      </c>
      <c r="D56" s="621" t="s">
        <v>243</v>
      </c>
      <c r="E56" s="617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J56:O56" si="35">AVERAGE(M44:M55)</f>
        <v>7.375</v>
      </c>
      <c r="N56" s="101">
        <f t="shared" si="35"/>
        <v>1634.5808616727472</v>
      </c>
      <c r="O56" s="104">
        <f t="shared" si="35"/>
        <v>253.98476820832755</v>
      </c>
      <c r="P56" s="158">
        <f>M56-J56</f>
        <v>0.25</v>
      </c>
      <c r="Q56" s="117">
        <f>N56-K56</f>
        <v>-115.41913832725277</v>
      </c>
      <c r="R56" s="159">
        <f t="shared" ref="R56:R62" si="36">O56/L56</f>
        <v>0.8843407473367676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-115.41913832725277</v>
      </c>
      <c r="AG56" s="421">
        <f>N56/K56</f>
        <v>0.93404620667014127</v>
      </c>
      <c r="AH56" s="625"/>
    </row>
    <row r="57" spans="1:34" ht="19.2" customHeight="1">
      <c r="A57" s="628" t="s">
        <v>250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1363</v>
      </c>
      <c r="H57" s="84">
        <f t="shared" ref="H57:H66" si="37">F57*G57</f>
        <v>38518.380000000005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1460.3571428571429</v>
      </c>
      <c r="O57" s="86">
        <f t="shared" ref="O57:O62" si="39">N57/M57</f>
        <v>208.62244897959184</v>
      </c>
      <c r="P57" s="165">
        <f t="shared" ref="P57:P62" si="40">M57-J57</f>
        <v>0</v>
      </c>
      <c r="Q57" s="49">
        <f t="shared" ref="Q57:Q62" si="41">O57-L57</f>
        <v>-5.6632653061224403</v>
      </c>
      <c r="R57" s="424">
        <f t="shared" si="36"/>
        <v>0.97357142857142864</v>
      </c>
      <c r="S57" s="602">
        <f>R69</f>
        <v>0.9704741742737335</v>
      </c>
      <c r="T57" s="50">
        <v>0.125</v>
      </c>
      <c r="U57" s="50">
        <v>0.16388888888888889</v>
      </c>
      <c r="V57" s="422">
        <v>5</v>
      </c>
      <c r="W57" s="433">
        <f>(U57-T57)*24*60</f>
        <v>56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-39.64285714285711</v>
      </c>
      <c r="AG57" s="423">
        <f t="shared" si="7"/>
        <v>0.97357142857142864</v>
      </c>
      <c r="AH57" s="616">
        <f>AG69</f>
        <v>0.97009313104555484</v>
      </c>
    </row>
    <row r="58" spans="1:34" ht="19.2" customHeight="1">
      <c r="A58" s="619"/>
      <c r="B58" s="121" t="s">
        <v>130</v>
      </c>
      <c r="C58" s="420"/>
      <c r="D58" s="42" t="s">
        <v>69</v>
      </c>
      <c r="E58" s="43"/>
      <c r="F58" s="355">
        <v>27.88</v>
      </c>
      <c r="G58" s="44">
        <v>3961</v>
      </c>
      <c r="H58" s="45">
        <f t="shared" si="37"/>
        <v>110432.68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1440.3636363636367</v>
      </c>
      <c r="O58" s="47">
        <f t="shared" si="39"/>
        <v>205.76623376623382</v>
      </c>
      <c r="P58" s="165">
        <f t="shared" si="40"/>
        <v>0</v>
      </c>
      <c r="Q58" s="49">
        <f t="shared" si="41"/>
        <v>-8.519480519480453</v>
      </c>
      <c r="R58" s="424">
        <f t="shared" si="36"/>
        <v>0.96024242424242456</v>
      </c>
      <c r="S58" s="602"/>
      <c r="T58" s="50">
        <v>0.16944444444444445</v>
      </c>
      <c r="U58" s="50">
        <v>0.28402777777777777</v>
      </c>
      <c r="V58" s="422">
        <v>8</v>
      </c>
      <c r="W58" s="433">
        <f>(U58-T58)*24*60</f>
        <v>164.99999999999997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-59.636363636363285</v>
      </c>
      <c r="AG58" s="424">
        <f t="shared" si="7"/>
        <v>0.96024242424242445</v>
      </c>
      <c r="AH58" s="602"/>
    </row>
    <row r="59" spans="1:34" ht="19.2" customHeight="1">
      <c r="A59" s="619"/>
      <c r="B59" s="121" t="s">
        <v>130</v>
      </c>
      <c r="C59" s="420"/>
      <c r="D59" s="42" t="s">
        <v>70</v>
      </c>
      <c r="E59" s="43"/>
      <c r="F59" s="355">
        <v>28</v>
      </c>
      <c r="G59" s="44">
        <v>3617</v>
      </c>
      <c r="H59" s="45">
        <f t="shared" si="37"/>
        <v>101276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1437.2185430463574</v>
      </c>
      <c r="O59" s="47">
        <f t="shared" si="39"/>
        <v>205.31693472090819</v>
      </c>
      <c r="P59" s="165">
        <f t="shared" si="40"/>
        <v>0</v>
      </c>
      <c r="Q59" s="49">
        <f t="shared" si="41"/>
        <v>-8.9687795648060842</v>
      </c>
      <c r="R59" s="424">
        <f t="shared" si="36"/>
        <v>0.95814569536423833</v>
      </c>
      <c r="S59" s="602"/>
      <c r="T59" s="50">
        <v>0.30138888888888887</v>
      </c>
      <c r="U59" s="50">
        <v>0.40625</v>
      </c>
      <c r="V59" s="142">
        <v>25</v>
      </c>
      <c r="W59" s="433">
        <f t="shared" ref="W59:W69" si="42">(U59-T59)*24*60</f>
        <v>151.00000000000003</v>
      </c>
      <c r="X59" s="53">
        <v>0.28888888888888892</v>
      </c>
      <c r="Y59" s="53">
        <v>0.3</v>
      </c>
      <c r="Z59" s="54"/>
      <c r="AA59" s="54"/>
      <c r="AB59" s="588"/>
      <c r="AC59" s="588"/>
      <c r="AD59" s="420"/>
      <c r="AE59" s="420">
        <v>1</v>
      </c>
      <c r="AF59" s="48">
        <f t="shared" si="6"/>
        <v>-62.781456953642646</v>
      </c>
      <c r="AG59" s="424">
        <f t="shared" si="7"/>
        <v>0.95814569536423821</v>
      </c>
      <c r="AH59" s="602"/>
    </row>
    <row r="60" spans="1:34" ht="19.2" customHeight="1">
      <c r="A60" s="619"/>
      <c r="B60" s="121" t="s">
        <v>130</v>
      </c>
      <c r="C60" s="420"/>
      <c r="D60" s="42" t="s">
        <v>387</v>
      </c>
      <c r="E60" s="43"/>
      <c r="F60" s="355">
        <v>28.47</v>
      </c>
      <c r="G60" s="44">
        <v>1460.8999999999999</v>
      </c>
      <c r="H60" s="45">
        <f t="shared" si="37"/>
        <v>41591.822999999997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1460.8999999999992</v>
      </c>
      <c r="O60" s="47">
        <f t="shared" si="39"/>
        <v>208.69999999999987</v>
      </c>
      <c r="P60" s="165">
        <f t="shared" si="40"/>
        <v>0</v>
      </c>
      <c r="Q60" s="49">
        <f t="shared" si="41"/>
        <v>-5.5857142857144026</v>
      </c>
      <c r="R60" s="424">
        <f t="shared" si="36"/>
        <v>0.97393333333333276</v>
      </c>
      <c r="S60" s="602"/>
      <c r="T60" s="50">
        <v>0.4236111111111111</v>
      </c>
      <c r="U60" s="50">
        <v>0.46527777777777779</v>
      </c>
      <c r="V60" s="142">
        <v>25</v>
      </c>
      <c r="W60" s="433">
        <f t="shared" si="42"/>
        <v>60.000000000000028</v>
      </c>
      <c r="X60" s="53">
        <v>0.41111111111111115</v>
      </c>
      <c r="Y60" s="53">
        <v>0.42222222222222222</v>
      </c>
      <c r="Z60" s="54"/>
      <c r="AA60" s="54"/>
      <c r="AB60" s="588"/>
      <c r="AC60" s="588"/>
      <c r="AD60" s="420"/>
      <c r="AE60" s="420"/>
      <c r="AF60" s="48">
        <f t="shared" si="6"/>
        <v>-39.100000000000819</v>
      </c>
      <c r="AG60" s="423">
        <f t="shared" si="7"/>
        <v>0.97393333333333276</v>
      </c>
      <c r="AH60" s="602"/>
    </row>
    <row r="61" spans="1:34" ht="19.2" customHeight="1">
      <c r="A61" s="619"/>
      <c r="B61" s="121" t="s">
        <v>132</v>
      </c>
      <c r="C61" s="420"/>
      <c r="D61" s="42" t="s">
        <v>66</v>
      </c>
      <c r="E61" s="43"/>
      <c r="F61" s="355">
        <v>10.09</v>
      </c>
      <c r="G61" s="44">
        <v>4263.58</v>
      </c>
      <c r="H61" s="45">
        <f t="shared" si="37"/>
        <v>43019.522199999999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1461.7988571428568</v>
      </c>
      <c r="O61" s="47">
        <f t="shared" si="39"/>
        <v>243.63314285714281</v>
      </c>
      <c r="P61" s="165">
        <f t="shared" si="40"/>
        <v>0</v>
      </c>
      <c r="Q61" s="49">
        <f t="shared" si="41"/>
        <v>-6.3668571428571852</v>
      </c>
      <c r="R61" s="424">
        <f t="shared" si="36"/>
        <v>0.9745325714285713</v>
      </c>
      <c r="S61" s="602"/>
      <c r="T61" s="50">
        <v>0.50555555555555554</v>
      </c>
      <c r="U61" s="50">
        <v>0.62708333333333333</v>
      </c>
      <c r="V61" s="142">
        <v>5</v>
      </c>
      <c r="W61" s="433">
        <f t="shared" si="42"/>
        <v>175.00000000000003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-38.201142857143168</v>
      </c>
      <c r="AG61" s="424">
        <f t="shared" si="7"/>
        <v>0.97453257142857119</v>
      </c>
      <c r="AH61" s="602"/>
    </row>
    <row r="62" spans="1:34" ht="19.2" customHeight="1">
      <c r="A62" s="619"/>
      <c r="B62" s="121" t="s">
        <v>132</v>
      </c>
      <c r="C62" s="420"/>
      <c r="D62" s="42" t="s">
        <v>66</v>
      </c>
      <c r="E62" s="43"/>
      <c r="F62" s="355">
        <v>10.09</v>
      </c>
      <c r="G62" s="134">
        <v>3087.42</v>
      </c>
      <c r="H62" s="45">
        <f t="shared" si="37"/>
        <v>31152.067800000001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1470.1999999999996</v>
      </c>
      <c r="O62" s="47">
        <f t="shared" si="39"/>
        <v>245.03333333333327</v>
      </c>
      <c r="P62" s="165">
        <f t="shared" si="40"/>
        <v>0</v>
      </c>
      <c r="Q62" s="49">
        <f t="shared" si="41"/>
        <v>-4.9666666666667254</v>
      </c>
      <c r="R62" s="424">
        <f t="shared" si="36"/>
        <v>0.98013333333333308</v>
      </c>
      <c r="S62" s="602"/>
      <c r="T62" s="166">
        <v>0.64444444444444449</v>
      </c>
      <c r="U62" s="166">
        <v>0.73194444444444451</v>
      </c>
      <c r="V62" s="142">
        <v>25</v>
      </c>
      <c r="W62" s="433">
        <f t="shared" si="42"/>
        <v>126.00000000000003</v>
      </c>
      <c r="X62" s="53">
        <v>0.63194444444444442</v>
      </c>
      <c r="Y62" s="53">
        <v>0.6430555555555556</v>
      </c>
      <c r="Z62" s="54"/>
      <c r="AA62" s="54"/>
      <c r="AB62" s="588"/>
      <c r="AC62" s="588"/>
      <c r="AD62" s="420"/>
      <c r="AE62" s="420"/>
      <c r="AF62" s="48">
        <f t="shared" si="6"/>
        <v>-29.800000000000409</v>
      </c>
      <c r="AG62" s="424">
        <f t="shared" si="7"/>
        <v>0.98013333333333308</v>
      </c>
      <c r="AH62" s="602"/>
    </row>
    <row r="63" spans="1:34" ht="19.2" customHeight="1">
      <c r="A63" s="61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2" customHeight="1">
      <c r="A64" s="584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2" customHeight="1">
      <c r="A65" s="584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2" customHeight="1">
      <c r="A66" s="584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2" customHeight="1">
      <c r="A67" s="584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2" customHeight="1">
      <c r="A68" s="584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2" customHeight="1">
      <c r="A69" s="584"/>
      <c r="B69" s="168">
        <v>0</v>
      </c>
      <c r="C69" s="6" t="s">
        <v>251</v>
      </c>
      <c r="D69" s="617" t="s">
        <v>243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J69:O69" si="43">AVERAGE(M57:M68)</f>
        <v>6.666666666666667</v>
      </c>
      <c r="N69" s="70">
        <f t="shared" si="43"/>
        <v>1455.1396965683323</v>
      </c>
      <c r="O69" s="73">
        <f t="shared" si="43"/>
        <v>219.51201560953496</v>
      </c>
      <c r="P69" s="48">
        <f>M69-J69</f>
        <v>0</v>
      </c>
      <c r="Q69" s="49">
        <f>N69-K69</f>
        <v>-44.860303431667717</v>
      </c>
      <c r="R69" s="172">
        <f t="shared" ref="R69:R75" si="44">O69/L69</f>
        <v>0.9704741742737335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-44.860303431667717</v>
      </c>
      <c r="AG69" s="424">
        <f t="shared" si="7"/>
        <v>0.97009313104555484</v>
      </c>
      <c r="AH69" s="602"/>
    </row>
    <row r="70" spans="1:34" ht="19.2" customHeight="1">
      <c r="A70" s="586" t="s">
        <v>252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1665.75</v>
      </c>
      <c r="H70" s="45">
        <f>F70*G70</f>
        <v>103493.0475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1388.1250000000002</v>
      </c>
      <c r="O70" s="47">
        <f t="shared" ref="O70:O75" si="46">N70/M70</f>
        <v>99.151785714285737</v>
      </c>
      <c r="P70" s="48">
        <f t="shared" ref="P70:P75" si="47">M70-J70</f>
        <v>0</v>
      </c>
      <c r="Q70" s="49">
        <f t="shared" ref="Q70:Q75" si="48">O70-L70</f>
        <v>-7.9910714285714022</v>
      </c>
      <c r="R70" s="424">
        <f t="shared" si="44"/>
        <v>0.92541666666666689</v>
      </c>
      <c r="S70" s="602">
        <f>R82</f>
        <v>0.93357444440426984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-111.87499999999977</v>
      </c>
      <c r="AG70" s="424">
        <f t="shared" si="7"/>
        <v>0.92541666666666678</v>
      </c>
      <c r="AH70" s="602">
        <f>AG82</f>
        <v>0.93409493689727074</v>
      </c>
    </row>
    <row r="71" spans="1:34" ht="19.2" customHeight="1">
      <c r="A71" s="586"/>
      <c r="B71" s="422" t="s">
        <v>128</v>
      </c>
      <c r="C71" s="41"/>
      <c r="D71" s="173" t="s">
        <v>71</v>
      </c>
      <c r="E71" s="43"/>
      <c r="F71" s="355">
        <v>47.65</v>
      </c>
      <c r="G71" s="44">
        <v>2499</v>
      </c>
      <c r="H71" s="45">
        <f>F71*G71</f>
        <v>119077.34999999999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1350.8108108108108</v>
      </c>
      <c r="O71" s="47">
        <f t="shared" si="46"/>
        <v>75.045045045045043</v>
      </c>
      <c r="P71" s="48">
        <f t="shared" si="47"/>
        <v>0</v>
      </c>
      <c r="Q71" s="49">
        <f t="shared" si="48"/>
        <v>-4.9549549549549567</v>
      </c>
      <c r="R71" s="424">
        <f t="shared" si="44"/>
        <v>0.93806306306306309</v>
      </c>
      <c r="S71" s="602"/>
      <c r="T71" s="50">
        <v>0.30486111111111108</v>
      </c>
      <c r="U71" s="50">
        <v>0.38194444444444442</v>
      </c>
      <c r="V71" s="422">
        <v>7</v>
      </c>
      <c r="W71" s="433">
        <f t="shared" ref="W71:W81" si="49">(U71-T71)*24*60</f>
        <v>111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-89.189189189189165</v>
      </c>
      <c r="AG71" s="424">
        <f>N71/K71</f>
        <v>0.93806306306306309</v>
      </c>
      <c r="AH71" s="602"/>
    </row>
    <row r="72" spans="1:34" ht="19.2" customHeight="1">
      <c r="A72" s="586"/>
      <c r="B72" s="422" t="s">
        <v>128</v>
      </c>
      <c r="C72" s="66"/>
      <c r="D72" s="173" t="s">
        <v>72</v>
      </c>
      <c r="E72" s="43"/>
      <c r="F72" s="355">
        <v>53.36</v>
      </c>
      <c r="G72" s="44">
        <v>3047.4</v>
      </c>
      <c r="H72" s="45">
        <f t="shared" ref="H72:H80" si="50">F72*G72</f>
        <v>162609.264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1364.5074626865674</v>
      </c>
      <c r="O72" s="47">
        <f t="shared" si="46"/>
        <v>71.816182246661441</v>
      </c>
      <c r="P72" s="48">
        <f t="shared" si="47"/>
        <v>0</v>
      </c>
      <c r="Q72" s="49">
        <f t="shared" si="48"/>
        <v>-3.9732914375490793</v>
      </c>
      <c r="R72" s="424">
        <f t="shared" si="44"/>
        <v>0.94757462686567184</v>
      </c>
      <c r="S72" s="602"/>
      <c r="T72" s="50">
        <v>0.39791666666666664</v>
      </c>
      <c r="U72" s="50">
        <v>0.4909722222222222</v>
      </c>
      <c r="V72" s="422">
        <v>23</v>
      </c>
      <c r="W72" s="433">
        <f t="shared" si="49"/>
        <v>134</v>
      </c>
      <c r="X72" s="53">
        <v>0.38611111111111113</v>
      </c>
      <c r="Y72" s="53">
        <v>0.3972222222222222</v>
      </c>
      <c r="Z72" s="54"/>
      <c r="AA72" s="54"/>
      <c r="AB72" s="588"/>
      <c r="AC72" s="588"/>
      <c r="AD72" s="420">
        <v>1</v>
      </c>
      <c r="AE72" s="420"/>
      <c r="AF72" s="48">
        <f>N72-K72</f>
        <v>-75.492537313432649</v>
      </c>
      <c r="AG72" s="424">
        <f>N72/K72</f>
        <v>0.94757462686567173</v>
      </c>
      <c r="AH72" s="602"/>
    </row>
    <row r="73" spans="1:34" ht="19.2" customHeight="1">
      <c r="A73" s="586"/>
      <c r="B73" s="422" t="s">
        <v>128</v>
      </c>
      <c r="C73" s="175"/>
      <c r="D73" s="176" t="s">
        <v>73</v>
      </c>
      <c r="E73" s="177"/>
      <c r="F73" s="355">
        <v>53.76</v>
      </c>
      <c r="G73" s="44">
        <v>2882</v>
      </c>
      <c r="H73" s="45">
        <f t="shared" si="50"/>
        <v>154936.32000000001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1340.4651162790694</v>
      </c>
      <c r="O73" s="47">
        <f t="shared" si="46"/>
        <v>83.77906976744184</v>
      </c>
      <c r="P73" s="48">
        <f t="shared" si="47"/>
        <v>0</v>
      </c>
      <c r="Q73" s="49">
        <f t="shared" si="48"/>
        <v>-6.2209302325581604</v>
      </c>
      <c r="R73" s="424">
        <f t="shared" si="44"/>
        <v>0.93087855297157596</v>
      </c>
      <c r="S73" s="602"/>
      <c r="T73" s="50">
        <v>0.53124999999999989</v>
      </c>
      <c r="U73" s="50">
        <v>0.62083333333333324</v>
      </c>
      <c r="V73" s="422">
        <v>5</v>
      </c>
      <c r="W73" s="433">
        <f t="shared" si="49"/>
        <v>129.00000000000003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-99.534883720930566</v>
      </c>
      <c r="AG73" s="424">
        <f>N73/K73</f>
        <v>0.93087855297157596</v>
      </c>
      <c r="AH73" s="602"/>
    </row>
    <row r="74" spans="1:34" ht="19.2" customHeight="1">
      <c r="A74" s="586"/>
      <c r="B74" s="422" t="s">
        <v>128</v>
      </c>
      <c r="C74" s="175"/>
      <c r="D74" s="176" t="s">
        <v>74</v>
      </c>
      <c r="E74" s="177"/>
      <c r="F74" s="355">
        <v>47.51</v>
      </c>
      <c r="G74" s="44">
        <v>2266</v>
      </c>
      <c r="H74" s="45">
        <f t="shared" si="50"/>
        <v>107657.65999999999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1346.1386138613868</v>
      </c>
      <c r="O74" s="47">
        <f t="shared" si="46"/>
        <v>79.184624344787466</v>
      </c>
      <c r="P74" s="48">
        <f t="shared" si="47"/>
        <v>0</v>
      </c>
      <c r="Q74" s="49">
        <f t="shared" si="48"/>
        <v>-5.5212580081537084</v>
      </c>
      <c r="R74" s="424">
        <f t="shared" si="44"/>
        <v>0.93481848184818539</v>
      </c>
      <c r="S74" s="602"/>
      <c r="T74" s="50">
        <v>0.63611111111111096</v>
      </c>
      <c r="U74" s="50">
        <v>0.70624999999999982</v>
      </c>
      <c r="V74" s="422">
        <v>22</v>
      </c>
      <c r="W74" s="433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-93.86138613861317</v>
      </c>
      <c r="AG74" s="424">
        <f t="shared" ref="AG74:AG80" si="52">N74/K74</f>
        <v>0.93481848184818528</v>
      </c>
      <c r="AH74" s="602"/>
    </row>
    <row r="75" spans="1:34" ht="19.2" customHeight="1">
      <c r="A75" s="586"/>
      <c r="B75" s="422" t="s">
        <v>128</v>
      </c>
      <c r="C75" s="66"/>
      <c r="D75" s="173" t="s">
        <v>72</v>
      </c>
      <c r="E75" s="43"/>
      <c r="F75" s="355">
        <v>53.36</v>
      </c>
      <c r="G75" s="57">
        <v>1693</v>
      </c>
      <c r="H75" s="45">
        <f t="shared" si="50"/>
        <v>90338.48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1336.5789473684201</v>
      </c>
      <c r="O75" s="47">
        <f t="shared" si="46"/>
        <v>70.346260387811583</v>
      </c>
      <c r="P75" s="48">
        <f t="shared" si="47"/>
        <v>0</v>
      </c>
      <c r="Q75" s="49">
        <f t="shared" si="48"/>
        <v>-5.4432132963989375</v>
      </c>
      <c r="R75" s="424">
        <f t="shared" si="44"/>
        <v>0.92817982456140291</v>
      </c>
      <c r="S75" s="602"/>
      <c r="T75" s="50">
        <v>0.71111111111111092</v>
      </c>
      <c r="U75" s="50">
        <v>0.76388888888888873</v>
      </c>
      <c r="V75" s="422">
        <v>7</v>
      </c>
      <c r="W75" s="433">
        <f t="shared" si="49"/>
        <v>76.000000000000057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-103.42105263157987</v>
      </c>
      <c r="AG75" s="424">
        <f t="shared" si="52"/>
        <v>0.92817982456140291</v>
      </c>
      <c r="AH75" s="602"/>
    </row>
    <row r="76" spans="1:34" ht="19.2" customHeight="1">
      <c r="A76" s="586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2" customHeight="1">
      <c r="A77" s="586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2" customHeight="1">
      <c r="A78" s="586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2" customHeight="1">
      <c r="A79" s="586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2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2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2" customHeight="1">
      <c r="A82" s="629"/>
      <c r="B82" s="168">
        <v>0</v>
      </c>
      <c r="C82" s="100" t="s">
        <v>253</v>
      </c>
      <c r="D82" s="617" t="s">
        <v>243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J82:O82" si="53">AVERAGE(M70:M81)</f>
        <v>17.166666666666668</v>
      </c>
      <c r="N82" s="101">
        <f t="shared" si="53"/>
        <v>1354.4376585010425</v>
      </c>
      <c r="O82" s="184">
        <f t="shared" si="53"/>
        <v>79.887161251005509</v>
      </c>
      <c r="P82" s="116">
        <f>M82-J82</f>
        <v>0</v>
      </c>
      <c r="Q82" s="117">
        <f>N82-K82</f>
        <v>-95.562341498957494</v>
      </c>
      <c r="R82" s="172">
        <f>O82/L82</f>
        <v>0.93357444440426984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-95.562341498957494</v>
      </c>
      <c r="AG82" s="424">
        <f>N82/K82</f>
        <v>0.93409493689727074</v>
      </c>
      <c r="AH82" s="602"/>
    </row>
    <row r="83" spans="1:34" ht="19.2" customHeight="1">
      <c r="A83" s="630" t="s">
        <v>254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2362.75</v>
      </c>
      <c r="H83" s="84">
        <f t="shared" ref="H83:H94" si="54">F83*G83</f>
        <v>119720.54250000001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1350.1428571428569</v>
      </c>
      <c r="O83" s="183">
        <f t="shared" ref="O83:O90" si="56">N83/M83</f>
        <v>75.007936507936492</v>
      </c>
      <c r="P83" s="54">
        <f t="shared" ref="P83:P90" si="57">M83-J83</f>
        <v>0</v>
      </c>
      <c r="Q83" s="88">
        <f t="shared" ref="Q83:Q90" si="58">O83-L83</f>
        <v>-8.3253968253968367</v>
      </c>
      <c r="R83" s="185">
        <f t="shared" ref="R83:R90" si="59">O83/L83</f>
        <v>0.90009523809523795</v>
      </c>
      <c r="S83" s="602">
        <f>R95</f>
        <v>0.83279837820376656</v>
      </c>
      <c r="T83" s="50">
        <v>0.33333333333333331</v>
      </c>
      <c r="U83" s="50">
        <v>0.40625</v>
      </c>
      <c r="V83" s="422">
        <v>5</v>
      </c>
      <c r="W83" s="433">
        <f t="shared" ref="W83:W93" si="60">(U83-T83)*24*60</f>
        <v>105.00000000000003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-149.85714285714312</v>
      </c>
      <c r="AG83" s="424">
        <f t="shared" ref="AG83:AG173" si="62">N83/K83</f>
        <v>0.90009523809523795</v>
      </c>
      <c r="AH83" s="602">
        <f>AG95</f>
        <v>0.84649537921595464</v>
      </c>
    </row>
    <row r="84" spans="1:34" ht="19.2" customHeight="1">
      <c r="A84" s="631"/>
      <c r="B84" s="110" t="s">
        <v>128</v>
      </c>
      <c r="C84" s="429"/>
      <c r="D84" s="186" t="s">
        <v>185</v>
      </c>
      <c r="E84" s="43"/>
      <c r="F84" s="362">
        <v>61.02</v>
      </c>
      <c r="G84" s="44">
        <v>1778.4</v>
      </c>
      <c r="H84" s="84">
        <f t="shared" si="54"/>
        <v>108517.96800000001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1333.7999999999995</v>
      </c>
      <c r="O84" s="183">
        <f t="shared" si="56"/>
        <v>78.458823529411731</v>
      </c>
      <c r="P84" s="54">
        <f t="shared" si="57"/>
        <v>0</v>
      </c>
      <c r="Q84" s="88">
        <f t="shared" si="58"/>
        <v>-6.2470588235294429</v>
      </c>
      <c r="R84" s="185">
        <f t="shared" si="59"/>
        <v>0.92624999999999968</v>
      </c>
      <c r="S84" s="602"/>
      <c r="T84" s="50">
        <v>0.41111111111111109</v>
      </c>
      <c r="U84" s="50">
        <v>0.46666666666666667</v>
      </c>
      <c r="V84" s="422">
        <v>7</v>
      </c>
      <c r="W84" s="433">
        <f t="shared" si="60"/>
        <v>80.000000000000028</v>
      </c>
      <c r="X84" s="53"/>
      <c r="Y84" s="53"/>
      <c r="Z84" s="54"/>
      <c r="AA84" s="54"/>
      <c r="AB84" s="588"/>
      <c r="AC84" s="588"/>
      <c r="AD84" s="420"/>
      <c r="AE84" s="420"/>
      <c r="AF84" s="48">
        <f t="shared" si="61"/>
        <v>-106.2000000000005</v>
      </c>
      <c r="AG84" s="424">
        <f t="shared" si="62"/>
        <v>0.92624999999999968</v>
      </c>
      <c r="AH84" s="602"/>
    </row>
    <row r="85" spans="1:34" ht="19.2" customHeight="1">
      <c r="A85" s="631"/>
      <c r="B85" s="110" t="s">
        <v>130</v>
      </c>
      <c r="C85" s="122"/>
      <c r="D85" s="186" t="s">
        <v>143</v>
      </c>
      <c r="E85" s="43"/>
      <c r="F85" s="362">
        <v>36.92</v>
      </c>
      <c r="G85" s="44">
        <v>1452.15</v>
      </c>
      <c r="H85" s="84">
        <f t="shared" si="54"/>
        <v>53613.378000000004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1476.7627118644082</v>
      </c>
      <c r="O85" s="183">
        <f t="shared" si="56"/>
        <v>123.06355932203401</v>
      </c>
      <c r="P85" s="54">
        <f t="shared" si="57"/>
        <v>0</v>
      </c>
      <c r="Q85" s="88">
        <f t="shared" si="58"/>
        <v>-43.603107344632647</v>
      </c>
      <c r="R85" s="185">
        <f t="shared" si="59"/>
        <v>0.73838135593220411</v>
      </c>
      <c r="S85" s="602"/>
      <c r="T85" s="50">
        <v>0.47222222222222221</v>
      </c>
      <c r="U85" s="50">
        <v>0.5131944444444444</v>
      </c>
      <c r="V85" s="422">
        <v>8</v>
      </c>
      <c r="W85" s="433">
        <f t="shared" si="60"/>
        <v>58.99999999999995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-523.23728813559183</v>
      </c>
      <c r="AG85" s="424">
        <f t="shared" si="62"/>
        <v>0.73838135593220411</v>
      </c>
      <c r="AH85" s="602"/>
    </row>
    <row r="86" spans="1:34" ht="19.2" customHeight="1">
      <c r="A86" s="631"/>
      <c r="B86" s="110" t="s">
        <v>132</v>
      </c>
      <c r="C86" s="97"/>
      <c r="D86" s="186" t="s">
        <v>190</v>
      </c>
      <c r="E86" s="43"/>
      <c r="F86" s="362">
        <v>54.09</v>
      </c>
      <c r="G86" s="44">
        <v>1180</v>
      </c>
      <c r="H86" s="84">
        <f t="shared" si="54"/>
        <v>63826.200000000004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1056.7164179104491</v>
      </c>
      <c r="O86" s="183">
        <f t="shared" si="56"/>
        <v>52.835820895522453</v>
      </c>
      <c r="P86" s="54">
        <f t="shared" si="57"/>
        <v>0</v>
      </c>
      <c r="Q86" s="88">
        <f t="shared" si="58"/>
        <v>-12.164179104477547</v>
      </c>
      <c r="R86" s="185">
        <f t="shared" si="59"/>
        <v>0.81285878300803771</v>
      </c>
      <c r="S86" s="602"/>
      <c r="T86" s="50">
        <v>0.55347222222222214</v>
      </c>
      <c r="U86" s="50">
        <v>0.59999999999999987</v>
      </c>
      <c r="V86" s="422">
        <v>5</v>
      </c>
      <c r="W86" s="433">
        <f t="shared" si="60"/>
        <v>66.999999999999915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-243.28358208955092</v>
      </c>
      <c r="AG86" s="424">
        <f t="shared" si="62"/>
        <v>0.81285878300803771</v>
      </c>
      <c r="AH86" s="602"/>
    </row>
    <row r="87" spans="1:34" ht="19.2" customHeight="1">
      <c r="A87" s="631"/>
      <c r="B87" s="110" t="s">
        <v>128</v>
      </c>
      <c r="C87" s="97"/>
      <c r="D87" s="186" t="s">
        <v>203</v>
      </c>
      <c r="E87" s="43"/>
      <c r="F87" s="362">
        <v>61.09</v>
      </c>
      <c r="G87" s="44">
        <v>2371</v>
      </c>
      <c r="H87" s="84">
        <f t="shared" si="54"/>
        <v>144844.39000000001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1270.1785714285704</v>
      </c>
      <c r="O87" s="183">
        <f t="shared" si="56"/>
        <v>74.716386554621792</v>
      </c>
      <c r="P87" s="54">
        <f t="shared" si="57"/>
        <v>0</v>
      </c>
      <c r="Q87" s="88">
        <f t="shared" si="58"/>
        <v>-9.9894957983193819</v>
      </c>
      <c r="R87" s="185">
        <f t="shared" si="59"/>
        <v>0.88206845238095177</v>
      </c>
      <c r="S87" s="602"/>
      <c r="T87" s="50">
        <v>0.60486111111111096</v>
      </c>
      <c r="U87" s="50">
        <v>0.6826388888888888</v>
      </c>
      <c r="V87" s="422">
        <v>7</v>
      </c>
      <c r="W87" s="433">
        <f t="shared" si="60"/>
        <v>112.00000000000009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-169.82142857142958</v>
      </c>
      <c r="AG87" s="424">
        <f t="shared" si="62"/>
        <v>0.88206845238095166</v>
      </c>
      <c r="AH87" s="602"/>
    </row>
    <row r="88" spans="1:34" ht="19.2" customHeight="1">
      <c r="A88" s="631"/>
      <c r="B88" s="110" t="s">
        <v>129</v>
      </c>
      <c r="C88" s="429"/>
      <c r="D88" s="186" t="s">
        <v>210</v>
      </c>
      <c r="E88" s="43"/>
      <c r="F88" s="362">
        <v>44.3</v>
      </c>
      <c r="G88" s="57">
        <v>1676.4</v>
      </c>
      <c r="H88" s="84">
        <f t="shared" si="54"/>
        <v>74264.52</v>
      </c>
      <c r="I88" s="422">
        <v>1</v>
      </c>
      <c r="J88" s="87">
        <v>17</v>
      </c>
      <c r="K88" s="57">
        <v>1636</v>
      </c>
      <c r="L88" s="86">
        <v>96.235294117647058</v>
      </c>
      <c r="M88" s="431">
        <v>17</v>
      </c>
      <c r="N88" s="57">
        <f t="shared" si="55"/>
        <v>1377.8630136986289</v>
      </c>
      <c r="O88" s="183">
        <f t="shared" si="56"/>
        <v>81.050765511684062</v>
      </c>
      <c r="P88" s="54">
        <f t="shared" si="57"/>
        <v>0</v>
      </c>
      <c r="Q88" s="88">
        <f t="shared" si="58"/>
        <v>-15.184528605962996</v>
      </c>
      <c r="R88" s="185">
        <f t="shared" si="59"/>
        <v>0.84221455605050677</v>
      </c>
      <c r="S88" s="602"/>
      <c r="T88" s="50">
        <v>0.69861111111111107</v>
      </c>
      <c r="U88" s="50">
        <v>0.74930555555555556</v>
      </c>
      <c r="V88" s="422">
        <v>23</v>
      </c>
      <c r="W88" s="433">
        <f t="shared" si="60"/>
        <v>73.000000000000057</v>
      </c>
      <c r="X88" s="53">
        <v>0.6875</v>
      </c>
      <c r="Y88" s="53">
        <v>0.69791666666666663</v>
      </c>
      <c r="Z88" s="54"/>
      <c r="AA88" s="54"/>
      <c r="AB88" s="588"/>
      <c r="AC88" s="588"/>
      <c r="AD88" s="420"/>
      <c r="AE88" s="420"/>
      <c r="AF88" s="48">
        <f t="shared" si="61"/>
        <v>-258.13698630137105</v>
      </c>
      <c r="AG88" s="424">
        <f t="shared" si="62"/>
        <v>0.84221455605050666</v>
      </c>
      <c r="AH88" s="602"/>
    </row>
    <row r="89" spans="1:34" ht="19.2" customHeight="1">
      <c r="A89" s="631"/>
      <c r="B89" s="110" t="s">
        <v>129</v>
      </c>
      <c r="C89" s="429"/>
      <c r="D89" s="42" t="s">
        <v>206</v>
      </c>
      <c r="E89" s="43"/>
      <c r="F89" s="362">
        <v>50.67</v>
      </c>
      <c r="G89" s="114">
        <v>1272.25</v>
      </c>
      <c r="H89" s="84">
        <f t="shared" si="54"/>
        <v>64464.907500000001</v>
      </c>
      <c r="I89" s="422">
        <v>1</v>
      </c>
      <c r="J89" s="87">
        <v>18</v>
      </c>
      <c r="K89" s="57">
        <v>1500</v>
      </c>
      <c r="L89" s="86">
        <v>83.333333333333329</v>
      </c>
      <c r="M89" s="431">
        <v>18</v>
      </c>
      <c r="N89" s="57">
        <f t="shared" si="55"/>
        <v>1339.2105263157905</v>
      </c>
      <c r="O89" s="183">
        <f t="shared" si="56"/>
        <v>74.400584795321691</v>
      </c>
      <c r="P89" s="54">
        <f t="shared" si="57"/>
        <v>0</v>
      </c>
      <c r="Q89" s="88">
        <f t="shared" si="58"/>
        <v>-8.9327485380116372</v>
      </c>
      <c r="R89" s="185">
        <f t="shared" si="59"/>
        <v>0.89280701754386038</v>
      </c>
      <c r="S89" s="602"/>
      <c r="T89" s="50">
        <v>0.75416666666666665</v>
      </c>
      <c r="U89" s="50">
        <v>0.79374999999999996</v>
      </c>
      <c r="V89" s="422">
        <v>7</v>
      </c>
      <c r="W89" s="433">
        <f t="shared" si="60"/>
        <v>56.999999999999957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-160.7894736842095</v>
      </c>
      <c r="AG89" s="424">
        <f t="shared" si="62"/>
        <v>0.89280701754386038</v>
      </c>
      <c r="AH89" s="602"/>
    </row>
    <row r="90" spans="1:34" ht="19.2" customHeight="1">
      <c r="A90" s="631"/>
      <c r="B90" s="110" t="s">
        <v>129</v>
      </c>
      <c r="C90" s="429"/>
      <c r="D90" s="42" t="s">
        <v>62</v>
      </c>
      <c r="E90" s="43"/>
      <c r="F90" s="362">
        <v>38.39</v>
      </c>
      <c r="G90" s="127">
        <v>979.65</v>
      </c>
      <c r="H90" s="84">
        <f t="shared" si="54"/>
        <v>37608.763500000001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1335.8863636363637</v>
      </c>
      <c r="O90" s="183">
        <f t="shared" si="56"/>
        <v>78.581550802139049</v>
      </c>
      <c r="P90" s="54">
        <f t="shared" si="57"/>
        <v>1</v>
      </c>
      <c r="Q90" s="88">
        <f t="shared" si="58"/>
        <v>-23.668449197860951</v>
      </c>
      <c r="R90" s="185">
        <f t="shared" si="59"/>
        <v>0.76852372422629878</v>
      </c>
      <c r="S90" s="602"/>
      <c r="T90" s="50">
        <v>0.79861111111111105</v>
      </c>
      <c r="U90" s="50">
        <v>0.82916666666666661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-300.11363636363626</v>
      </c>
      <c r="AG90" s="424">
        <f t="shared" si="62"/>
        <v>0.81655645699044244</v>
      </c>
      <c r="AH90" s="602"/>
    </row>
    <row r="91" spans="1:34" ht="19.2" customHeight="1">
      <c r="A91" s="631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2" customHeight="1">
      <c r="A92" s="631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2" customHeight="1">
      <c r="A93" s="631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2" customHeight="1">
      <c r="A94" s="631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2" customHeight="1">
      <c r="A95" s="631"/>
      <c r="B95" s="200">
        <v>0</v>
      </c>
      <c r="C95" s="100" t="s">
        <v>255</v>
      </c>
      <c r="D95" s="617" t="s">
        <v>243</v>
      </c>
      <c r="E95" s="617"/>
      <c r="F95" s="356"/>
      <c r="G95" s="70"/>
      <c r="H95" s="201"/>
      <c r="I95" s="103"/>
      <c r="J95" s="202">
        <v>16.875</v>
      </c>
      <c r="K95" s="202">
        <v>1556.5</v>
      </c>
      <c r="L95" s="203">
        <v>95.778799019607845</v>
      </c>
      <c r="M95" s="202">
        <f t="shared" ref="J95:O95" si="63">AVERAGE(M83:M94)</f>
        <v>17</v>
      </c>
      <c r="N95" s="202">
        <f t="shared" si="63"/>
        <v>1317.5700577496334</v>
      </c>
      <c r="O95" s="203">
        <f t="shared" si="63"/>
        <v>79.764428489833918</v>
      </c>
      <c r="P95" s="204">
        <f>M95-J95</f>
        <v>0.125</v>
      </c>
      <c r="Q95" s="205">
        <f t="shared" ref="Q95:Q106" si="64">O95-L95</f>
        <v>-16.014370529773927</v>
      </c>
      <c r="R95" s="206">
        <f>O95/L95</f>
        <v>0.83279837820376656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-238.92994225036659</v>
      </c>
      <c r="AG95" s="425">
        <f t="shared" si="62"/>
        <v>0.84649537921595464</v>
      </c>
      <c r="AH95" s="603"/>
    </row>
    <row r="96" spans="1:34" ht="19.2" customHeight="1">
      <c r="A96" s="633" t="s">
        <v>256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1364.3500000000001</v>
      </c>
      <c r="H96" s="45">
        <f t="shared" ref="H96:H105" si="65">F96*G96</f>
        <v>40193.751000000004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1121.3835616438359</v>
      </c>
      <c r="O96" s="47">
        <f t="shared" ref="O96:O106" si="67">N96/M96</f>
        <v>70.086472602739747</v>
      </c>
      <c r="P96" s="48">
        <f t="shared" ref="P96:P106" si="68">M96-J96</f>
        <v>0</v>
      </c>
      <c r="Q96" s="49">
        <f t="shared" si="64"/>
        <v>-19.913527397260253</v>
      </c>
      <c r="R96" s="424">
        <f t="shared" ref="R96:R106" si="69">O96/L96</f>
        <v>0.77873858447488609</v>
      </c>
      <c r="S96" s="602">
        <f>R108</f>
        <v>0.89450626218689233</v>
      </c>
      <c r="T96" s="89">
        <v>0.33333333333333331</v>
      </c>
      <c r="U96" s="89">
        <v>0.38402777777777775</v>
      </c>
      <c r="V96" s="420">
        <v>5</v>
      </c>
      <c r="W96" s="90">
        <f t="shared" ref="W96:W133" si="70">(U96-T96)*24*60</f>
        <v>72.999999999999986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-318.61643835616405</v>
      </c>
      <c r="AG96" s="421">
        <f t="shared" si="62"/>
        <v>0.77873858447488609</v>
      </c>
      <c r="AH96" s="611">
        <f>AG108</f>
        <v>0.88034166570656891</v>
      </c>
    </row>
    <row r="97" spans="1:34" s="215" customFormat="1" ht="19.2" customHeight="1">
      <c r="A97" s="633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2997.3599999999997</v>
      </c>
      <c r="H97" s="210">
        <f t="shared" si="65"/>
        <v>87262.59082568805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1332.1599999999999</v>
      </c>
      <c r="O97" s="47">
        <f t="shared" si="67"/>
        <v>66.60799999999999</v>
      </c>
      <c r="P97" s="48">
        <f t="shared" si="68"/>
        <v>0</v>
      </c>
      <c r="Q97" s="49">
        <f t="shared" si="64"/>
        <v>-8.3920000000000101</v>
      </c>
      <c r="R97" s="424">
        <f t="shared" si="69"/>
        <v>0.88810666666666649</v>
      </c>
      <c r="S97" s="602"/>
      <c r="T97" s="211">
        <v>0.39999999999999997</v>
      </c>
      <c r="U97" s="211">
        <v>0.49374999999999997</v>
      </c>
      <c r="V97" s="212">
        <v>23</v>
      </c>
      <c r="W97" s="90">
        <f t="shared" si="70"/>
        <v>135</v>
      </c>
      <c r="X97" s="53">
        <v>0.3888888888888889</v>
      </c>
      <c r="Y97" s="53">
        <v>0.39930555555555558</v>
      </c>
      <c r="Z97" s="54"/>
      <c r="AA97" s="54"/>
      <c r="AB97" s="588"/>
      <c r="AC97" s="588"/>
      <c r="AD97" s="212"/>
      <c r="AE97" s="212"/>
      <c r="AF97" s="213">
        <f t="shared" si="61"/>
        <v>-167.84000000000015</v>
      </c>
      <c r="AG97" s="214">
        <f t="shared" si="62"/>
        <v>0.8881066666666666</v>
      </c>
      <c r="AH97" s="611"/>
    </row>
    <row r="98" spans="1:34" s="218" customFormat="1" ht="19.2" customHeight="1">
      <c r="A98" s="633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472</v>
      </c>
      <c r="H98" s="210">
        <f t="shared" si="65"/>
        <v>36509.199999999997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1089.2307692307663</v>
      </c>
      <c r="O98" s="47">
        <f t="shared" si="67"/>
        <v>60.512820512820355</v>
      </c>
      <c r="P98" s="48">
        <f t="shared" si="68"/>
        <v>-1</v>
      </c>
      <c r="Q98" s="49">
        <f t="shared" si="64"/>
        <v>-15.276653171390166</v>
      </c>
      <c r="R98" s="424">
        <f t="shared" si="69"/>
        <v>0.79843304843304641</v>
      </c>
      <c r="S98" s="602"/>
      <c r="T98" s="89">
        <v>0.53402777777777766</v>
      </c>
      <c r="U98" s="89">
        <v>0.55208333333333326</v>
      </c>
      <c r="V98" s="420">
        <v>5</v>
      </c>
      <c r="W98" s="90">
        <f t="shared" si="70"/>
        <v>26.000000000000068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-350.76923076923367</v>
      </c>
      <c r="AG98" s="421">
        <f t="shared" si="62"/>
        <v>0.75641025641025439</v>
      </c>
      <c r="AH98" s="611"/>
    </row>
    <row r="99" spans="1:34" ht="19.2" customHeight="1">
      <c r="A99" s="633"/>
      <c r="B99" s="422" t="s">
        <v>128</v>
      </c>
      <c r="C99" s="81"/>
      <c r="D99" s="82" t="s">
        <v>58</v>
      </c>
      <c r="E99" s="83"/>
      <c r="F99" s="366">
        <v>77.34</v>
      </c>
      <c r="G99" s="57">
        <v>1057</v>
      </c>
      <c r="H99" s="210">
        <f t="shared" si="65"/>
        <v>81748.38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1294.2857142857147</v>
      </c>
      <c r="O99" s="47">
        <f t="shared" si="67"/>
        <v>71.904761904761926</v>
      </c>
      <c r="P99" s="48">
        <f t="shared" si="68"/>
        <v>0</v>
      </c>
      <c r="Q99" s="49">
        <f t="shared" si="64"/>
        <v>-8.0952380952380736</v>
      </c>
      <c r="R99" s="424">
        <f t="shared" si="69"/>
        <v>0.89880952380952406</v>
      </c>
      <c r="S99" s="602"/>
      <c r="T99" s="89">
        <v>0.55694444444444435</v>
      </c>
      <c r="U99" s="89">
        <v>0.59097222222222212</v>
      </c>
      <c r="V99" s="420">
        <v>7</v>
      </c>
      <c r="W99" s="90">
        <f t="shared" si="70"/>
        <v>48.999999999999986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-145.71428571428532</v>
      </c>
      <c r="AG99" s="214">
        <f t="shared" si="62"/>
        <v>0.89880952380952406</v>
      </c>
      <c r="AH99" s="611"/>
    </row>
    <row r="100" spans="1:34" s="218" customFormat="1" ht="19.2" customHeight="1">
      <c r="A100" s="633"/>
      <c r="B100" s="422" t="s">
        <v>128</v>
      </c>
      <c r="C100" s="55"/>
      <c r="D100" s="42" t="s">
        <v>57</v>
      </c>
      <c r="E100" s="83"/>
      <c r="F100" s="366">
        <v>71.55</v>
      </c>
      <c r="G100" s="57">
        <v>906</v>
      </c>
      <c r="H100" s="210">
        <f t="shared" si="65"/>
        <v>64824.299999999996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1235.4545454545455</v>
      </c>
      <c r="O100" s="47">
        <f t="shared" si="67"/>
        <v>68.63636363636364</v>
      </c>
      <c r="P100" s="48">
        <f t="shared" si="68"/>
        <v>0</v>
      </c>
      <c r="Q100" s="49">
        <f t="shared" si="64"/>
        <v>-8.3080808080808026</v>
      </c>
      <c r="R100" s="424">
        <f t="shared" si="69"/>
        <v>0.89202494256645892</v>
      </c>
      <c r="S100" s="602"/>
      <c r="T100" s="211">
        <v>0.59583333333333321</v>
      </c>
      <c r="U100" s="211">
        <v>0.62638888888888877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-149.5454545454545</v>
      </c>
      <c r="AG100" s="421">
        <f t="shared" si="62"/>
        <v>0.89202494256645881</v>
      </c>
      <c r="AH100" s="611"/>
    </row>
    <row r="101" spans="1:34" s="218" customFormat="1" ht="19.2" customHeight="1">
      <c r="A101" s="633"/>
      <c r="B101" s="422" t="s">
        <v>128</v>
      </c>
      <c r="C101" s="55"/>
      <c r="D101" s="82" t="s">
        <v>56</v>
      </c>
      <c r="E101" s="83"/>
      <c r="F101" s="366">
        <v>59.34</v>
      </c>
      <c r="G101" s="57">
        <v>797</v>
      </c>
      <c r="H101" s="210">
        <f t="shared" si="65"/>
        <v>47293.98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1292.4324324324314</v>
      </c>
      <c r="O101" s="47">
        <f t="shared" si="67"/>
        <v>76.025437201907721</v>
      </c>
      <c r="P101" s="48">
        <f t="shared" si="68"/>
        <v>0</v>
      </c>
      <c r="Q101" s="49">
        <f t="shared" si="64"/>
        <v>-8.680445151033453</v>
      </c>
      <c r="R101" s="424">
        <f t="shared" si="69"/>
        <v>0.89752252252252174</v>
      </c>
      <c r="S101" s="602"/>
      <c r="T101" s="211">
        <v>0.63055555555555542</v>
      </c>
      <c r="U101" s="89">
        <v>0.65624999999999989</v>
      </c>
      <c r="V101" s="212">
        <v>6</v>
      </c>
      <c r="W101" s="90">
        <f t="shared" si="70"/>
        <v>37.000000000000028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-147.56756756756863</v>
      </c>
      <c r="AG101" s="214">
        <f t="shared" si="62"/>
        <v>0.89752252252252174</v>
      </c>
      <c r="AH101" s="611"/>
    </row>
    <row r="102" spans="1:34" s="218" customFormat="1" ht="19.2" customHeight="1">
      <c r="A102" s="633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976</v>
      </c>
      <c r="H102" s="210">
        <f t="shared" si="65"/>
        <v>50508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1273.0434782608695</v>
      </c>
      <c r="O102" s="47">
        <f t="shared" si="67"/>
        <v>60.621118012422357</v>
      </c>
      <c r="P102" s="48">
        <f t="shared" si="68"/>
        <v>0</v>
      </c>
      <c r="Q102" s="49">
        <f t="shared" si="64"/>
        <v>-10.807453416149073</v>
      </c>
      <c r="R102" s="424">
        <f t="shared" si="69"/>
        <v>0.84869565217391296</v>
      </c>
      <c r="S102" s="602"/>
      <c r="T102" s="211">
        <v>0.67222222222222205</v>
      </c>
      <c r="U102" s="211">
        <v>0.7041666666666665</v>
      </c>
      <c r="V102" s="212">
        <v>23</v>
      </c>
      <c r="W102" s="90">
        <f t="shared" si="70"/>
        <v>46</v>
      </c>
      <c r="X102" s="220">
        <v>0.66111111111111109</v>
      </c>
      <c r="Y102" s="220">
        <v>0.67083333333333339</v>
      </c>
      <c r="Z102" s="217"/>
      <c r="AA102" s="217"/>
      <c r="AB102" s="588"/>
      <c r="AC102" s="588"/>
      <c r="AD102" s="420"/>
      <c r="AE102" s="420"/>
      <c r="AF102" s="54">
        <f t="shared" si="61"/>
        <v>-226.95652173913049</v>
      </c>
      <c r="AG102" s="421">
        <f t="shared" si="62"/>
        <v>0.84869565217391296</v>
      </c>
      <c r="AH102" s="611"/>
    </row>
    <row r="103" spans="1:34" s="218" customFormat="1" ht="19.2" customHeight="1">
      <c r="A103" s="633"/>
      <c r="B103" s="422" t="s">
        <v>129</v>
      </c>
      <c r="C103" s="221"/>
      <c r="D103" s="82" t="s">
        <v>197</v>
      </c>
      <c r="E103" s="83"/>
      <c r="F103" s="366">
        <v>62.13</v>
      </c>
      <c r="G103" s="57">
        <v>555.25</v>
      </c>
      <c r="H103" s="210">
        <f t="shared" si="65"/>
        <v>34497.682500000003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1388.1249999999957</v>
      </c>
      <c r="O103" s="47">
        <f t="shared" si="67"/>
        <v>99.15178571428541</v>
      </c>
      <c r="P103" s="48">
        <f t="shared" si="68"/>
        <v>0</v>
      </c>
      <c r="Q103" s="49">
        <f t="shared" si="64"/>
        <v>-7.991071428571729</v>
      </c>
      <c r="R103" s="424">
        <f t="shared" si="69"/>
        <v>0.92541666666666389</v>
      </c>
      <c r="S103" s="602"/>
      <c r="T103" s="211">
        <v>0.70902777777777759</v>
      </c>
      <c r="U103" s="211">
        <v>0.72569444444444431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588"/>
      <c r="AC103" s="588"/>
      <c r="AD103" s="420">
        <v>1</v>
      </c>
      <c r="AE103" s="420"/>
      <c r="AF103" s="54">
        <f t="shared" si="61"/>
        <v>-111.87500000000432</v>
      </c>
      <c r="AG103" s="421">
        <f t="shared" si="62"/>
        <v>0.92541666666666378</v>
      </c>
      <c r="AH103" s="611"/>
    </row>
    <row r="104" spans="1:34" s="218" customFormat="1" ht="19.2" customHeight="1">
      <c r="A104" s="633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1165.6400000000001</v>
      </c>
      <c r="H104" s="210">
        <f t="shared" si="65"/>
        <v>33935.451987767578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1398.7680000000005</v>
      </c>
      <c r="O104" s="47">
        <f t="shared" si="67"/>
        <v>69.93840000000003</v>
      </c>
      <c r="P104" s="48">
        <f t="shared" si="68"/>
        <v>0</v>
      </c>
      <c r="Q104" s="49">
        <f t="shared" si="64"/>
        <v>-5.0615999999999701</v>
      </c>
      <c r="R104" s="424">
        <f t="shared" si="69"/>
        <v>0.93251200000000045</v>
      </c>
      <c r="S104" s="603"/>
      <c r="T104" s="211">
        <v>0.7305555555555554</v>
      </c>
      <c r="U104" s="211">
        <v>0.76527777777777761</v>
      </c>
      <c r="V104" s="212">
        <v>7</v>
      </c>
      <c r="W104" s="90">
        <f t="shared" si="70"/>
        <v>49.999999999999986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-101.23199999999952</v>
      </c>
      <c r="AG104" s="214">
        <f t="shared" si="62"/>
        <v>0.93251200000000034</v>
      </c>
      <c r="AH104" s="611"/>
    </row>
    <row r="105" spans="1:34" s="218" customFormat="1" ht="19.2" customHeight="1">
      <c r="A105" s="633"/>
      <c r="B105" s="422" t="s">
        <v>130</v>
      </c>
      <c r="C105" s="223"/>
      <c r="D105" s="82" t="s">
        <v>387</v>
      </c>
      <c r="E105" s="83"/>
      <c r="F105" s="366">
        <v>28.47</v>
      </c>
      <c r="G105" s="209">
        <v>626.1</v>
      </c>
      <c r="H105" s="210">
        <f t="shared" si="65"/>
        <v>17825.066999999999</v>
      </c>
      <c r="I105" s="221">
        <v>1</v>
      </c>
      <c r="J105" s="46">
        <v>7</v>
      </c>
      <c r="K105" s="44">
        <v>1500</v>
      </c>
      <c r="L105" s="47">
        <v>214.28571428571428</v>
      </c>
      <c r="M105" s="87">
        <v>7</v>
      </c>
      <c r="N105" s="44">
        <f t="shared" si="66"/>
        <v>1444.8461538461499</v>
      </c>
      <c r="O105" s="47">
        <f t="shared" si="67"/>
        <v>206.40659340659286</v>
      </c>
      <c r="P105" s="48">
        <f t="shared" si="68"/>
        <v>0</v>
      </c>
      <c r="Q105" s="49">
        <f t="shared" si="64"/>
        <v>-7.879120879121416</v>
      </c>
      <c r="R105" s="424">
        <f t="shared" si="69"/>
        <v>0.96323076923076667</v>
      </c>
      <c r="S105" s="603"/>
      <c r="T105" s="211">
        <v>0.77013888888888871</v>
      </c>
      <c r="U105" s="211">
        <v>0.78819444444444431</v>
      </c>
      <c r="V105" s="212">
        <v>7</v>
      </c>
      <c r="W105" s="90">
        <f t="shared" si="70"/>
        <v>26.000000000000068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-55.153846153850054</v>
      </c>
      <c r="AG105" s="421">
        <f t="shared" si="62"/>
        <v>0.96323076923076667</v>
      </c>
      <c r="AH105" s="611"/>
    </row>
    <row r="106" spans="1:34" s="218" customFormat="1" ht="19.2" customHeight="1">
      <c r="A106" s="633"/>
      <c r="B106" s="221" t="s">
        <v>132</v>
      </c>
      <c r="C106" s="223"/>
      <c r="D106" s="82" t="s">
        <v>81</v>
      </c>
      <c r="E106" s="83"/>
      <c r="F106" s="355">
        <v>55.56</v>
      </c>
      <c r="G106" s="209">
        <v>1140</v>
      </c>
      <c r="H106" s="225">
        <f>F106*G106</f>
        <v>63338.400000000001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1290.5660377358497</v>
      </c>
      <c r="O106" s="47">
        <f t="shared" si="67"/>
        <v>80.660377358490607</v>
      </c>
      <c r="P106" s="48">
        <f t="shared" si="68"/>
        <v>0</v>
      </c>
      <c r="Q106" s="49">
        <f t="shared" si="64"/>
        <v>-9.3396226415093935</v>
      </c>
      <c r="R106" s="424">
        <f t="shared" si="69"/>
        <v>0.89622641509434009</v>
      </c>
      <c r="S106" s="632"/>
      <c r="T106" s="211">
        <v>0.79374999999999984</v>
      </c>
      <c r="U106" s="211">
        <v>0.83055555555555538</v>
      </c>
      <c r="V106" s="212">
        <v>8</v>
      </c>
      <c r="W106" s="90">
        <f t="shared" si="70"/>
        <v>52.999999999999972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-149.4339622641503</v>
      </c>
      <c r="AG106" s="421">
        <f t="shared" si="62"/>
        <v>0.89622641509434009</v>
      </c>
      <c r="AH106" s="611"/>
    </row>
    <row r="107" spans="1:34" s="218" customFormat="1" ht="19.2" customHeight="1">
      <c r="A107" s="633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2" customHeight="1">
      <c r="A108" s="633"/>
      <c r="B108" s="110">
        <v>0</v>
      </c>
      <c r="C108" s="100" t="s">
        <v>257</v>
      </c>
      <c r="D108" s="617" t="s">
        <v>243</v>
      </c>
      <c r="E108" s="617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J108:O108" si="71">AVERAGE(M96:M107)</f>
        <v>16.818181818181817</v>
      </c>
      <c r="N108" s="101">
        <f t="shared" si="71"/>
        <v>1287.2996084445601</v>
      </c>
      <c r="O108" s="104">
        <f t="shared" si="71"/>
        <v>84.595648213671325</v>
      </c>
      <c r="P108" s="54">
        <f t="shared" ref="P108:P116" si="72">M108-J108</f>
        <v>-9.0909090909093493E-2</v>
      </c>
      <c r="Q108" s="88">
        <f t="shared" ref="Q108:Q116" si="73">O108-L108</f>
        <v>-9.9768011807594803</v>
      </c>
      <c r="R108" s="105">
        <f t="shared" ref="R108:R116" si="74">O108/L108</f>
        <v>0.89450626218689233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-174.97311882816712</v>
      </c>
      <c r="AG108" s="421">
        <f t="shared" si="62"/>
        <v>0.88034166570656891</v>
      </c>
      <c r="AH108" s="611"/>
    </row>
    <row r="109" spans="1:34" ht="19.2" customHeight="1">
      <c r="A109" s="634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1146</v>
      </c>
      <c r="H109" s="45">
        <f t="shared" ref="H109:H119" si="75">F109*G109</f>
        <v>64668.78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1322.3076923076931</v>
      </c>
      <c r="O109" s="47">
        <f t="shared" ref="O109:O116" si="77">N109/M109</f>
        <v>73.46153846153851</v>
      </c>
      <c r="P109" s="48">
        <f t="shared" si="72"/>
        <v>0</v>
      </c>
      <c r="Q109" s="49">
        <f t="shared" si="73"/>
        <v>-9.871794871794819</v>
      </c>
      <c r="R109" s="424">
        <f t="shared" si="74"/>
        <v>0.88153846153846216</v>
      </c>
      <c r="S109" s="637">
        <f>R121</f>
        <v>0.90564096308235253</v>
      </c>
      <c r="T109" s="226">
        <v>0.5</v>
      </c>
      <c r="U109" s="226">
        <v>0.53611111111111109</v>
      </c>
      <c r="V109" s="227">
        <v>5</v>
      </c>
      <c r="W109" s="433">
        <f t="shared" si="70"/>
        <v>51.999999999999972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-177.69230769230694</v>
      </c>
      <c r="AG109" s="125">
        <f t="shared" si="62"/>
        <v>0.88153846153846205</v>
      </c>
      <c r="AH109" s="611">
        <f>AG121</f>
        <v>0.8999623965495972</v>
      </c>
    </row>
    <row r="110" spans="1:34" ht="19.2" customHeight="1">
      <c r="A110" s="635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1627</v>
      </c>
      <c r="H110" s="45">
        <f t="shared" si="75"/>
        <v>96871.58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1267.7922077922069</v>
      </c>
      <c r="O110" s="47">
        <f t="shared" si="77"/>
        <v>70.432900432900382</v>
      </c>
      <c r="P110" s="48">
        <f t="shared" si="72"/>
        <v>0</v>
      </c>
      <c r="Q110" s="49">
        <f t="shared" si="73"/>
        <v>-6.5115440115440606</v>
      </c>
      <c r="R110" s="424">
        <f t="shared" si="74"/>
        <v>0.91537343522903025</v>
      </c>
      <c r="S110" s="638"/>
      <c r="T110" s="226">
        <v>0.54097222222222219</v>
      </c>
      <c r="U110" s="226">
        <v>0.59444444444444444</v>
      </c>
      <c r="V110" s="227">
        <v>7</v>
      </c>
      <c r="W110" s="433">
        <f t="shared" si="70"/>
        <v>77.000000000000043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-117.20779220779309</v>
      </c>
      <c r="AG110" s="125">
        <f t="shared" si="62"/>
        <v>0.91537343522903025</v>
      </c>
      <c r="AH110" s="611"/>
    </row>
    <row r="111" spans="1:34" ht="19.2" customHeight="1">
      <c r="A111" s="635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1738</v>
      </c>
      <c r="H111" s="45">
        <f t="shared" si="75"/>
        <v>88064.46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1390.399999999999</v>
      </c>
      <c r="O111" s="47">
        <f t="shared" si="77"/>
        <v>77.244444444444383</v>
      </c>
      <c r="P111" s="48">
        <f t="shared" si="72"/>
        <v>0</v>
      </c>
      <c r="Q111" s="49">
        <f t="shared" si="73"/>
        <v>-6.0888888888889454</v>
      </c>
      <c r="R111" s="424">
        <f t="shared" si="74"/>
        <v>0.92693333333333261</v>
      </c>
      <c r="S111" s="638"/>
      <c r="T111" s="226">
        <v>0.60972222222222217</v>
      </c>
      <c r="U111" s="226">
        <v>0.66180555555555554</v>
      </c>
      <c r="V111" s="227">
        <v>22</v>
      </c>
      <c r="W111" s="433">
        <f t="shared" si="70"/>
        <v>75.000000000000057</v>
      </c>
      <c r="X111" s="53">
        <v>0.59861111111111109</v>
      </c>
      <c r="Y111" s="53">
        <v>0.60833333333333328</v>
      </c>
      <c r="Z111" s="54"/>
      <c r="AA111" s="54"/>
      <c r="AB111" s="588"/>
      <c r="AC111" s="588"/>
      <c r="AD111" s="420"/>
      <c r="AE111" s="420"/>
      <c r="AF111" s="48">
        <f t="shared" si="61"/>
        <v>-109.60000000000105</v>
      </c>
      <c r="AG111" s="125">
        <f t="shared" si="62"/>
        <v>0.92693333333333261</v>
      </c>
      <c r="AH111" s="611"/>
    </row>
    <row r="112" spans="1:34" ht="19.2" customHeight="1">
      <c r="A112" s="635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1647</v>
      </c>
      <c r="H112" s="45">
        <f t="shared" si="75"/>
        <v>47054.79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1411.7142857142874</v>
      </c>
      <c r="O112" s="47">
        <f t="shared" si="77"/>
        <v>117.64285714285728</v>
      </c>
      <c r="P112" s="48">
        <f t="shared" si="72"/>
        <v>0</v>
      </c>
      <c r="Q112" s="49">
        <f t="shared" si="73"/>
        <v>-7.3571428571427191</v>
      </c>
      <c r="R112" s="424">
        <f t="shared" si="74"/>
        <v>0.94114285714285828</v>
      </c>
      <c r="S112" s="638"/>
      <c r="T112" s="226">
        <v>0.70833333333333337</v>
      </c>
      <c r="U112" s="226">
        <v>0.75694444444444442</v>
      </c>
      <c r="V112" s="227">
        <v>5</v>
      </c>
      <c r="W112" s="433">
        <f t="shared" si="70"/>
        <v>69.999999999999915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-88.285714285712629</v>
      </c>
      <c r="AG112" s="125">
        <f t="shared" si="62"/>
        <v>0.94114285714285828</v>
      </c>
      <c r="AH112" s="611"/>
    </row>
    <row r="113" spans="1:34" s="218" customFormat="1" ht="19.2" customHeight="1">
      <c r="A113" s="635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1397.1428571428514</v>
      </c>
      <c r="O113" s="47">
        <f t="shared" si="77"/>
        <v>116.42857142857095</v>
      </c>
      <c r="P113" s="48">
        <f t="shared" si="72"/>
        <v>0</v>
      </c>
      <c r="Q113" s="49">
        <f t="shared" si="73"/>
        <v>-8.5714285714290526</v>
      </c>
      <c r="R113" s="424">
        <f t="shared" si="74"/>
        <v>0.93142857142856761</v>
      </c>
      <c r="S113" s="638"/>
      <c r="T113" s="226">
        <v>0.76041666666666663</v>
      </c>
      <c r="U113" s="226">
        <v>0.77500000000000002</v>
      </c>
      <c r="V113" s="227">
        <v>5</v>
      </c>
      <c r="W113" s="433">
        <f t="shared" si="70"/>
        <v>21.000000000000085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-102.85714285714857</v>
      </c>
      <c r="AG113" s="125">
        <f t="shared" si="62"/>
        <v>0.93142857142856761</v>
      </c>
      <c r="AH113" s="611"/>
    </row>
    <row r="114" spans="1:34" s="218" customFormat="1" ht="19.2" customHeight="1">
      <c r="A114" s="635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1147</v>
      </c>
      <c r="H114" s="45">
        <f t="shared" si="75"/>
        <v>51592.06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1274.444444444445</v>
      </c>
      <c r="O114" s="47">
        <f t="shared" si="77"/>
        <v>67.076023391812896</v>
      </c>
      <c r="P114" s="48">
        <f t="shared" si="72"/>
        <v>0</v>
      </c>
      <c r="Q114" s="49">
        <f t="shared" si="73"/>
        <v>-11.871345029239734</v>
      </c>
      <c r="R114" s="424">
        <f t="shared" si="74"/>
        <v>0.84962962962963007</v>
      </c>
      <c r="S114" s="638"/>
      <c r="T114" s="226">
        <v>0.77916666666666667</v>
      </c>
      <c r="U114" s="226">
        <v>0.81666666666666665</v>
      </c>
      <c r="V114" s="227">
        <v>6</v>
      </c>
      <c r="W114" s="433">
        <f t="shared" si="70"/>
        <v>53.999999999999972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-225.55555555555497</v>
      </c>
      <c r="AG114" s="125">
        <f t="shared" si="62"/>
        <v>0.84962962962963007</v>
      </c>
      <c r="AH114" s="611"/>
    </row>
    <row r="115" spans="1:34" s="218" customFormat="1" ht="19.2" customHeight="1">
      <c r="A115" s="635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957</v>
      </c>
      <c r="H115" s="45">
        <f t="shared" si="75"/>
        <v>51371.76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1221.7021276595747</v>
      </c>
      <c r="O115" s="47">
        <f t="shared" si="77"/>
        <v>61.085106382978736</v>
      </c>
      <c r="P115" s="48">
        <f t="shared" si="72"/>
        <v>0</v>
      </c>
      <c r="Q115" s="49">
        <f t="shared" si="73"/>
        <v>-13.914893617021264</v>
      </c>
      <c r="R115" s="424">
        <f t="shared" si="74"/>
        <v>0.81446808510638313</v>
      </c>
      <c r="S115" s="638"/>
      <c r="T115" s="226">
        <v>0.8208333333333333</v>
      </c>
      <c r="U115" s="226">
        <v>0.85347222222222219</v>
      </c>
      <c r="V115" s="227">
        <v>6</v>
      </c>
      <c r="W115" s="433">
        <f t="shared" si="70"/>
        <v>46.999999999999993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-278.29787234042533</v>
      </c>
      <c r="AG115" s="125">
        <f t="shared" si="62"/>
        <v>0.81446808510638313</v>
      </c>
      <c r="AH115" s="611"/>
    </row>
    <row r="116" spans="1:34" s="218" customFormat="1" ht="19.2" customHeight="1">
      <c r="A116" s="635"/>
      <c r="B116" s="422">
        <v>0</v>
      </c>
      <c r="C116" s="55"/>
      <c r="D116" s="82" t="s">
        <v>814</v>
      </c>
      <c r="E116" s="83"/>
      <c r="F116" s="355" t="s">
        <v>133</v>
      </c>
      <c r="G116" s="229">
        <v>3934</v>
      </c>
      <c r="H116" s="45">
        <f t="shared" si="75"/>
        <v>0</v>
      </c>
      <c r="I116" s="420"/>
      <c r="J116" s="46">
        <v>17</v>
      </c>
      <c r="K116" s="44">
        <v>1440</v>
      </c>
      <c r="L116" s="47">
        <v>84.705882352941174</v>
      </c>
      <c r="M116" s="431">
        <v>17</v>
      </c>
      <c r="N116" s="44">
        <f t="shared" si="76"/>
        <v>1356.5517241379296</v>
      </c>
      <c r="O116" s="47">
        <f t="shared" si="77"/>
        <v>79.797160243407617</v>
      </c>
      <c r="P116" s="48">
        <f t="shared" si="72"/>
        <v>0</v>
      </c>
      <c r="Q116" s="49">
        <f t="shared" si="73"/>
        <v>-4.9087221095335565</v>
      </c>
      <c r="R116" s="424">
        <f t="shared" si="74"/>
        <v>0.94204980842911779</v>
      </c>
      <c r="S116" s="638"/>
      <c r="T116" s="226">
        <v>0.86874999999999991</v>
      </c>
      <c r="U116" s="226">
        <v>0.98958333333333337</v>
      </c>
      <c r="V116" s="227">
        <v>22</v>
      </c>
      <c r="W116" s="433">
        <f t="shared" si="70"/>
        <v>174.00000000000017</v>
      </c>
      <c r="X116" s="216">
        <v>0.85763888888888884</v>
      </c>
      <c r="Y116" s="216">
        <v>0.86805555555555547</v>
      </c>
      <c r="Z116" s="217"/>
      <c r="AA116" s="217"/>
      <c r="AB116" s="588"/>
      <c r="AC116" s="588"/>
      <c r="AD116" s="221">
        <v>1</v>
      </c>
      <c r="AE116" s="221">
        <v>1</v>
      </c>
      <c r="AF116" s="48">
        <f t="shared" si="61"/>
        <v>-83.448275862070432</v>
      </c>
      <c r="AG116" s="125">
        <f t="shared" si="62"/>
        <v>0.94204980842911779</v>
      </c>
      <c r="AH116" s="611"/>
    </row>
    <row r="117" spans="1:34" s="218" customFormat="1" ht="19.2" customHeight="1">
      <c r="A117" s="635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2" customHeight="1">
      <c r="A118" s="635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2" customHeight="1">
      <c r="A119" s="635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2" customHeight="1">
      <c r="A120" s="635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2" customHeight="1">
      <c r="A121" s="636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16.75</v>
      </c>
      <c r="K121" s="202">
        <v>1478.125</v>
      </c>
      <c r="L121" s="203">
        <v>91.533045235638113</v>
      </c>
      <c r="M121" s="202">
        <f t="shared" ref="J121:O121" si="78">AVERAGE(M109:M120)</f>
        <v>16.75</v>
      </c>
      <c r="N121" s="202">
        <f t="shared" si="78"/>
        <v>1330.2569173998734</v>
      </c>
      <c r="O121" s="203">
        <f t="shared" si="78"/>
        <v>82.896075241063841</v>
      </c>
      <c r="P121" s="48">
        <f t="shared" ref="P121:P128" si="79">M121-J121</f>
        <v>0</v>
      </c>
      <c r="Q121" s="49">
        <f t="shared" ref="Q121:Q128" si="80">O121-L121</f>
        <v>-8.6369699945742724</v>
      </c>
      <c r="R121" s="172">
        <f t="shared" ref="R121:R128" si="81">O121/L121</f>
        <v>0.90564096308235253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1</v>
      </c>
      <c r="AF121" s="48">
        <f>N121-K121</f>
        <v>-147.86808260012663</v>
      </c>
      <c r="AG121" s="125">
        <f>N121/K121</f>
        <v>0.8999623965495972</v>
      </c>
      <c r="AH121" s="611"/>
    </row>
    <row r="122" spans="1:34" ht="19.2" customHeight="1">
      <c r="A122" s="639" t="s">
        <v>260</v>
      </c>
      <c r="B122" s="130" t="s">
        <v>128</v>
      </c>
      <c r="C122" s="163"/>
      <c r="D122" s="176" t="s">
        <v>72</v>
      </c>
      <c r="E122" s="43"/>
      <c r="F122" s="355">
        <v>53.36</v>
      </c>
      <c r="G122" s="44">
        <v>2031.6</v>
      </c>
      <c r="H122" s="45">
        <f t="shared" ref="H122:H132" si="82">F122*G122</f>
        <v>108406.17599999999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1296.7659574468087</v>
      </c>
      <c r="O122" s="237">
        <f t="shared" ref="O122:O128" si="84">N122/M122</f>
        <v>68.250839865621515</v>
      </c>
      <c r="P122" s="108">
        <f t="shared" si="79"/>
        <v>0</v>
      </c>
      <c r="Q122" s="182">
        <f t="shared" si="80"/>
        <v>-7.5386338185890054</v>
      </c>
      <c r="R122" s="109">
        <f t="shared" si="81"/>
        <v>0.90053191489361728</v>
      </c>
      <c r="S122" s="602">
        <f>R134</f>
        <v>0.88054635974502771</v>
      </c>
      <c r="T122" s="50">
        <v>0.5</v>
      </c>
      <c r="U122" s="50">
        <v>0.56527777777777777</v>
      </c>
      <c r="V122" s="227">
        <v>5</v>
      </c>
      <c r="W122" s="433">
        <f t="shared" si="70"/>
        <v>93.999999999999986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-143.23404255319133</v>
      </c>
      <c r="AG122" s="424">
        <f t="shared" si="62"/>
        <v>0.90053191489361717</v>
      </c>
      <c r="AH122" s="616">
        <f>AG134</f>
        <v>0.88125511614214269</v>
      </c>
    </row>
    <row r="123" spans="1:34" ht="19.2" customHeight="1">
      <c r="A123" s="639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1911</v>
      </c>
      <c r="H123" s="45">
        <f t="shared" si="82"/>
        <v>112118.37000000001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1302.9545454545455</v>
      </c>
      <c r="O123" s="86">
        <f t="shared" si="84"/>
        <v>68.576555023923447</v>
      </c>
      <c r="P123" s="54">
        <f t="shared" si="79"/>
        <v>0</v>
      </c>
      <c r="Q123" s="88">
        <f t="shared" si="80"/>
        <v>-7.2129186602870732</v>
      </c>
      <c r="R123" s="421">
        <f t="shared" si="81"/>
        <v>0.90482954545454553</v>
      </c>
      <c r="S123" s="602"/>
      <c r="T123" s="50">
        <v>0.56944444444444442</v>
      </c>
      <c r="U123" s="50">
        <v>0.63055555555555554</v>
      </c>
      <c r="V123" s="227">
        <v>6</v>
      </c>
      <c r="W123" s="433">
        <f t="shared" si="70"/>
        <v>88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-137.0454545454545</v>
      </c>
      <c r="AG123" s="424">
        <f t="shared" si="62"/>
        <v>0.90482954545454553</v>
      </c>
      <c r="AH123" s="602"/>
    </row>
    <row r="124" spans="1:34" ht="19.2" customHeight="1">
      <c r="A124" s="639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2456</v>
      </c>
      <c r="H124" s="45">
        <f t="shared" si="82"/>
        <v>146181.12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1248.8135593220334</v>
      </c>
      <c r="O124" s="237">
        <f t="shared" si="84"/>
        <v>59.467312348668258</v>
      </c>
      <c r="P124" s="108">
        <f t="shared" si="79"/>
        <v>0</v>
      </c>
      <c r="Q124" s="182">
        <f t="shared" si="80"/>
        <v>-6.4850686037126906</v>
      </c>
      <c r="R124" s="109">
        <f t="shared" si="81"/>
        <v>0.90167043994370644</v>
      </c>
      <c r="S124" s="640"/>
      <c r="T124" s="50">
        <v>0.63611111111111107</v>
      </c>
      <c r="U124" s="50">
        <v>0.71805555555555556</v>
      </c>
      <c r="V124" s="227">
        <v>8</v>
      </c>
      <c r="W124" s="433">
        <f t="shared" si="70"/>
        <v>118.00000000000006</v>
      </c>
      <c r="X124" s="188"/>
      <c r="Y124" s="188"/>
      <c r="Z124" s="54"/>
      <c r="AA124" s="54"/>
      <c r="AB124" s="588"/>
      <c r="AC124" s="588"/>
      <c r="AD124" s="420"/>
      <c r="AE124" s="420"/>
      <c r="AF124" s="108">
        <f t="shared" si="61"/>
        <v>-136.18644067796663</v>
      </c>
      <c r="AG124" s="109">
        <f t="shared" si="62"/>
        <v>0.90167043994370644</v>
      </c>
      <c r="AH124" s="602"/>
    </row>
    <row r="125" spans="1:34" ht="19.2" customHeight="1">
      <c r="A125" s="639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1594</v>
      </c>
      <c r="H125" s="45">
        <f t="shared" si="82"/>
        <v>90523.26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1406.4705882352923</v>
      </c>
      <c r="O125" s="237">
        <f t="shared" si="84"/>
        <v>78.137254901960688</v>
      </c>
      <c r="P125" s="108">
        <f t="shared" si="79"/>
        <v>0</v>
      </c>
      <c r="Q125" s="182">
        <f t="shared" si="80"/>
        <v>-12.751633986928198</v>
      </c>
      <c r="R125" s="109">
        <f t="shared" si="81"/>
        <v>0.85970084855457973</v>
      </c>
      <c r="S125" s="640"/>
      <c r="T125" s="50">
        <v>0.7583333333333333</v>
      </c>
      <c r="U125" s="50">
        <v>0.80555555555555558</v>
      </c>
      <c r="V125" s="227">
        <v>5</v>
      </c>
      <c r="W125" s="433">
        <f t="shared" si="70"/>
        <v>68.000000000000085</v>
      </c>
      <c r="X125" s="64"/>
      <c r="Y125" s="64"/>
      <c r="Z125" s="54"/>
      <c r="AA125" s="54"/>
      <c r="AB125" s="588"/>
      <c r="AC125" s="588"/>
      <c r="AD125" s="420">
        <v>1</v>
      </c>
      <c r="AE125" s="420"/>
      <c r="AF125" s="48">
        <f t="shared" si="61"/>
        <v>-229.52941176470767</v>
      </c>
      <c r="AG125" s="424">
        <f t="shared" si="62"/>
        <v>0.85970084855457962</v>
      </c>
      <c r="AH125" s="603"/>
    </row>
    <row r="126" spans="1:34" ht="19.2" customHeight="1">
      <c r="A126" s="639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1232</v>
      </c>
      <c r="H126" s="45">
        <f t="shared" si="82"/>
        <v>70063.839999999997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1394.7169811320762</v>
      </c>
      <c r="O126" s="86">
        <f t="shared" si="84"/>
        <v>77.484276729559781</v>
      </c>
      <c r="P126" s="54">
        <f t="shared" si="79"/>
        <v>0</v>
      </c>
      <c r="Q126" s="88">
        <f t="shared" si="80"/>
        <v>-13.404612159329105</v>
      </c>
      <c r="R126" s="421">
        <f t="shared" si="81"/>
        <v>0.85251649213452085</v>
      </c>
      <c r="S126" s="640"/>
      <c r="T126" s="50">
        <v>0.81041666666666667</v>
      </c>
      <c r="U126" s="50">
        <v>0.84722222222222221</v>
      </c>
      <c r="V126" s="227">
        <v>7</v>
      </c>
      <c r="W126" s="433">
        <f t="shared" si="70"/>
        <v>52.999999999999972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-241.28301886792383</v>
      </c>
      <c r="AG126" s="109">
        <f t="shared" si="62"/>
        <v>0.85251649213452085</v>
      </c>
      <c r="AH126" s="603"/>
    </row>
    <row r="127" spans="1:34" ht="19.2" customHeight="1">
      <c r="A127" s="639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1498</v>
      </c>
      <c r="H127" s="45">
        <f t="shared" si="82"/>
        <v>71304.800000000003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1265.9154929577453</v>
      </c>
      <c r="O127" s="86">
        <f t="shared" si="84"/>
        <v>66.627131208302387</v>
      </c>
      <c r="P127" s="54">
        <f t="shared" si="79"/>
        <v>0</v>
      </c>
      <c r="Q127" s="88">
        <f t="shared" si="80"/>
        <v>-9.1623424759081331</v>
      </c>
      <c r="R127" s="421">
        <f t="shared" si="81"/>
        <v>0.87910798122065659</v>
      </c>
      <c r="S127" s="640"/>
      <c r="T127" s="50">
        <v>0.86249999999999993</v>
      </c>
      <c r="U127" s="50">
        <v>0.91180555555555554</v>
      </c>
      <c r="V127" s="422">
        <v>22</v>
      </c>
      <c r="W127" s="433">
        <f t="shared" si="70"/>
        <v>71.000000000000071</v>
      </c>
      <c r="X127" s="64">
        <v>0.85138888888888886</v>
      </c>
      <c r="Y127" s="64">
        <v>0.86111111111111116</v>
      </c>
      <c r="Z127" s="54"/>
      <c r="AA127" s="54"/>
      <c r="AB127" s="588"/>
      <c r="AC127" s="588"/>
      <c r="AD127" s="420"/>
      <c r="AE127" s="420"/>
      <c r="AF127" s="108">
        <f t="shared" si="61"/>
        <v>-174.0845070422547</v>
      </c>
      <c r="AG127" s="109">
        <f t="shared" si="62"/>
        <v>0.87910798122065648</v>
      </c>
      <c r="AH127" s="603"/>
    </row>
    <row r="128" spans="1:34" ht="19.2" customHeight="1">
      <c r="A128" s="639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1449</v>
      </c>
      <c r="H128" s="45">
        <f t="shared" si="82"/>
        <v>73420.83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1317.2727272727286</v>
      </c>
      <c r="O128" s="86">
        <f t="shared" si="84"/>
        <v>73.181818181818258</v>
      </c>
      <c r="P128" s="54">
        <f t="shared" si="79"/>
        <v>0</v>
      </c>
      <c r="Q128" s="88">
        <f t="shared" si="80"/>
        <v>-10.151515151515071</v>
      </c>
      <c r="R128" s="421">
        <f t="shared" si="81"/>
        <v>0.87818181818181917</v>
      </c>
      <c r="S128" s="640"/>
      <c r="T128" s="50">
        <v>0.91666666666666663</v>
      </c>
      <c r="U128" s="50">
        <v>0.96249999999999991</v>
      </c>
      <c r="V128" s="422">
        <v>7</v>
      </c>
      <c r="W128" s="433">
        <f t="shared" si="70"/>
        <v>65.999999999999929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-182.72727272727138</v>
      </c>
      <c r="AG128" s="424">
        <f t="shared" si="62"/>
        <v>0.87818181818181906</v>
      </c>
      <c r="AH128" s="603"/>
    </row>
    <row r="129" spans="1:34" ht="19.2" customHeight="1">
      <c r="A129" s="639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2" customHeight="1">
      <c r="A130" s="639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2" customHeight="1">
      <c r="A131" s="639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2" customHeight="1">
      <c r="A132" s="639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2" customHeight="1">
      <c r="A133" s="639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2" customHeight="1">
      <c r="A134" s="639"/>
      <c r="B134" s="168">
        <v>0</v>
      </c>
      <c r="C134" s="100" t="s">
        <v>261</v>
      </c>
      <c r="D134" s="617" t="s">
        <v>243</v>
      </c>
      <c r="E134" s="617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J134:O134" si="85">AVERAGE(M122:M133)</f>
        <v>18.857142857142858</v>
      </c>
      <c r="N134" s="242">
        <f t="shared" si="85"/>
        <v>1318.987121688747</v>
      </c>
      <c r="O134" s="243">
        <f t="shared" si="85"/>
        <v>70.246455465693472</v>
      </c>
      <c r="P134" s="51">
        <f t="shared" ref="P134:P143" si="86">M134-J134</f>
        <v>0</v>
      </c>
      <c r="Q134" s="139">
        <f t="shared" ref="Q134:Q143" si="87">O134-L134</f>
        <v>-9.5295321223241984</v>
      </c>
      <c r="R134" s="244">
        <f t="shared" ref="R134:R143" si="88">O134/L134</f>
        <v>0.88054635974502771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-177.72716402553874</v>
      </c>
      <c r="AG134" s="424">
        <f t="shared" si="62"/>
        <v>0.88125511614214269</v>
      </c>
      <c r="AH134" s="603"/>
    </row>
    <row r="135" spans="1:34" ht="19.2" customHeight="1">
      <c r="A135" s="641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2539.2000000000003</v>
      </c>
      <c r="H135" s="245">
        <f t="shared" ref="H135:H146" si="89">F135*G135</f>
        <v>137345.32800000004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995.76470588235281</v>
      </c>
      <c r="O135" s="115">
        <f t="shared" ref="O135:O143" si="91">N135/M135</f>
        <v>55.320261437908492</v>
      </c>
      <c r="P135" s="54">
        <f t="shared" si="86"/>
        <v>0</v>
      </c>
      <c r="Q135" s="88">
        <f t="shared" si="87"/>
        <v>-28.013071895424837</v>
      </c>
      <c r="R135" s="421">
        <f t="shared" si="88"/>
        <v>0.66384313725490196</v>
      </c>
      <c r="S135" s="638">
        <f>R147</f>
        <v>0.89106253121663137</v>
      </c>
      <c r="T135" s="246">
        <v>0.45833333333333331</v>
      </c>
      <c r="U135" s="50">
        <v>0.56458333333333333</v>
      </c>
      <c r="V135" s="142">
        <v>5</v>
      </c>
      <c r="W135" s="247">
        <f t="shared" ref="W135:W147" si="92">(U135-T135)*24*60</f>
        <v>153.00000000000003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-504.23529411764719</v>
      </c>
      <c r="AG135" s="120">
        <f t="shared" si="62"/>
        <v>0.66384313725490185</v>
      </c>
      <c r="AH135" s="611">
        <f>AG147</f>
        <v>0.89839832193898173</v>
      </c>
    </row>
    <row r="136" spans="1:34" ht="19.2" customHeight="1">
      <c r="A136" s="642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1976</v>
      </c>
      <c r="H136" s="84">
        <f t="shared" si="89"/>
        <v>114084.36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1394.8235294117644</v>
      </c>
      <c r="O136" s="86">
        <f t="shared" si="91"/>
        <v>87.176470588235276</v>
      </c>
      <c r="P136" s="54">
        <f t="shared" si="86"/>
        <v>0</v>
      </c>
      <c r="Q136" s="88">
        <f t="shared" si="87"/>
        <v>-10.636029411764724</v>
      </c>
      <c r="R136" s="421">
        <f t="shared" si="88"/>
        <v>0.8912610411576769</v>
      </c>
      <c r="S136" s="638"/>
      <c r="T136" s="246">
        <v>0.57986111111111105</v>
      </c>
      <c r="U136" s="50">
        <v>0.63888888888888884</v>
      </c>
      <c r="V136" s="142">
        <v>22</v>
      </c>
      <c r="W136" s="247">
        <f t="shared" si="92"/>
        <v>85.000000000000014</v>
      </c>
      <c r="X136" s="53">
        <v>0.56944444444444442</v>
      </c>
      <c r="Y136" s="53">
        <v>0.57916666666666672</v>
      </c>
      <c r="Z136" s="54"/>
      <c r="AA136" s="54"/>
      <c r="AB136" s="588"/>
      <c r="AC136" s="588"/>
      <c r="AD136" s="420"/>
      <c r="AE136" s="420"/>
      <c r="AF136" s="48">
        <f t="shared" si="61"/>
        <v>-170.17647058823559</v>
      </c>
      <c r="AG136" s="125">
        <f t="shared" si="62"/>
        <v>0.8912610411576769</v>
      </c>
      <c r="AH136" s="611"/>
    </row>
    <row r="137" spans="1:34" ht="19.2" customHeight="1">
      <c r="A137" s="642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1796</v>
      </c>
      <c r="H137" s="84">
        <f t="shared" si="89"/>
        <v>95672.920000000013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1346.9999999999995</v>
      </c>
      <c r="O137" s="86">
        <f t="shared" si="91"/>
        <v>84.187499999999972</v>
      </c>
      <c r="P137" s="54">
        <f t="shared" si="86"/>
        <v>0</v>
      </c>
      <c r="Q137" s="88">
        <f t="shared" si="87"/>
        <v>-9.5625000000000284</v>
      </c>
      <c r="R137" s="421">
        <f t="shared" si="88"/>
        <v>0.89799999999999969</v>
      </c>
      <c r="S137" s="638"/>
      <c r="T137" s="50">
        <v>0.64374999999999993</v>
      </c>
      <c r="U137" s="50">
        <v>0.69930555555555551</v>
      </c>
      <c r="V137" s="249">
        <v>7</v>
      </c>
      <c r="W137" s="247">
        <f t="shared" si="92"/>
        <v>80.000000000000028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-153.00000000000045</v>
      </c>
      <c r="AG137" s="125">
        <f t="shared" si="62"/>
        <v>0.89799999999999969</v>
      </c>
      <c r="AH137" s="611"/>
    </row>
    <row r="138" spans="1:34" ht="19.2" customHeight="1">
      <c r="A138" s="642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1738</v>
      </c>
      <c r="H138" s="84">
        <f t="shared" si="89"/>
        <v>88603.239999999991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1354.2857142857135</v>
      </c>
      <c r="O138" s="86">
        <f t="shared" si="91"/>
        <v>67.71428571428568</v>
      </c>
      <c r="P138" s="54">
        <f t="shared" si="86"/>
        <v>0</v>
      </c>
      <c r="Q138" s="88">
        <f t="shared" si="87"/>
        <v>-4.2857142857143202</v>
      </c>
      <c r="R138" s="426">
        <f t="shared" si="88"/>
        <v>0.94047619047619002</v>
      </c>
      <c r="S138" s="638"/>
      <c r="T138" s="50">
        <v>0.73958333333333326</v>
      </c>
      <c r="U138" s="50">
        <v>0.79305555555555551</v>
      </c>
      <c r="V138" s="249">
        <v>5</v>
      </c>
      <c r="W138" s="247">
        <f t="shared" si="92"/>
        <v>77.000000000000043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-85.714285714286461</v>
      </c>
      <c r="AG138" s="125">
        <f t="shared" si="62"/>
        <v>0.94047619047618991</v>
      </c>
      <c r="AH138" s="611"/>
    </row>
    <row r="139" spans="1:34" ht="19.2" customHeight="1">
      <c r="A139" s="642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1045</v>
      </c>
      <c r="H139" s="84">
        <f t="shared" si="89"/>
        <v>52950.15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1425</v>
      </c>
      <c r="O139" s="86">
        <f t="shared" si="91"/>
        <v>83.82352941176471</v>
      </c>
      <c r="P139" s="54">
        <f t="shared" si="86"/>
        <v>0</v>
      </c>
      <c r="Q139" s="88">
        <f t="shared" si="87"/>
        <v>-4.4117647058823479</v>
      </c>
      <c r="R139" s="421">
        <f t="shared" si="88"/>
        <v>0.95000000000000007</v>
      </c>
      <c r="S139" s="638"/>
      <c r="T139" s="50">
        <v>0.79861111111111105</v>
      </c>
      <c r="U139" s="50">
        <v>0.82916666666666661</v>
      </c>
      <c r="V139" s="250">
        <v>8</v>
      </c>
      <c r="W139" s="247">
        <f t="shared" si="92"/>
        <v>44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-75</v>
      </c>
      <c r="AG139" s="125">
        <f t="shared" si="62"/>
        <v>0.95</v>
      </c>
      <c r="AH139" s="611"/>
    </row>
    <row r="140" spans="1:34" ht="19.2" customHeight="1">
      <c r="A140" s="643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2043</v>
      </c>
      <c r="H140" s="84">
        <f t="shared" si="89"/>
        <v>104029.56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1362</v>
      </c>
      <c r="O140" s="86">
        <f t="shared" si="91"/>
        <v>71.684210526315795</v>
      </c>
      <c r="P140" s="54">
        <f t="shared" si="86"/>
        <v>0</v>
      </c>
      <c r="Q140" s="88">
        <f t="shared" si="87"/>
        <v>-4.1052631578947256</v>
      </c>
      <c r="R140" s="421">
        <f t="shared" si="88"/>
        <v>0.94583333333333353</v>
      </c>
      <c r="S140" s="645"/>
      <c r="T140" s="63">
        <v>0.84513888888888888</v>
      </c>
      <c r="U140" s="252">
        <v>0.90763888888888888</v>
      </c>
      <c r="V140" s="253">
        <v>23</v>
      </c>
      <c r="W140" s="247">
        <f t="shared" si="92"/>
        <v>90</v>
      </c>
      <c r="X140" s="53">
        <v>0.83333333333333337</v>
      </c>
      <c r="Y140" s="53">
        <v>0.84375</v>
      </c>
      <c r="Z140" s="54"/>
      <c r="AA140" s="54"/>
      <c r="AB140" s="588"/>
      <c r="AC140" s="588"/>
      <c r="AD140" s="420"/>
      <c r="AE140" s="420">
        <v>1</v>
      </c>
      <c r="AF140" s="48">
        <f t="shared" si="61"/>
        <v>-78</v>
      </c>
      <c r="AG140" s="125">
        <f t="shared" si="62"/>
        <v>0.9458333333333333</v>
      </c>
      <c r="AH140" s="611"/>
    </row>
    <row r="141" spans="1:34" ht="19.2" customHeight="1">
      <c r="A141" s="643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917</v>
      </c>
      <c r="H141" s="84">
        <f t="shared" si="89"/>
        <v>48472.62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1341.9512195121945</v>
      </c>
      <c r="O141" s="86">
        <f t="shared" si="91"/>
        <v>74.552845528455251</v>
      </c>
      <c r="P141" s="54">
        <f t="shared" si="86"/>
        <v>0</v>
      </c>
      <c r="Q141" s="88">
        <f t="shared" si="87"/>
        <v>-5.4471544715447493</v>
      </c>
      <c r="R141" s="421">
        <f t="shared" si="88"/>
        <v>0.93191056910569059</v>
      </c>
      <c r="S141" s="645"/>
      <c r="T141" s="63">
        <v>0.91319444444444442</v>
      </c>
      <c r="U141" s="252">
        <v>0.94166666666666665</v>
      </c>
      <c r="V141" s="55">
        <v>8</v>
      </c>
      <c r="W141" s="247">
        <f t="shared" si="92"/>
        <v>41.000000000000014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-98.048780487805516</v>
      </c>
      <c r="AG141" s="125">
        <f t="shared" si="62"/>
        <v>0.93191056910569059</v>
      </c>
      <c r="AH141" s="611"/>
    </row>
    <row r="142" spans="1:34" ht="19.2" customHeight="1">
      <c r="A142" s="643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941</v>
      </c>
      <c r="H142" s="84">
        <f t="shared" si="89"/>
        <v>47680.47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1344.2857142857138</v>
      </c>
      <c r="O142" s="86">
        <f t="shared" si="91"/>
        <v>79.075630252100808</v>
      </c>
      <c r="P142" s="54">
        <f t="shared" si="86"/>
        <v>0</v>
      </c>
      <c r="Q142" s="88">
        <f t="shared" si="87"/>
        <v>-5.6302521008403659</v>
      </c>
      <c r="R142" s="421">
        <f t="shared" si="88"/>
        <v>0.93353174603174571</v>
      </c>
      <c r="S142" s="645"/>
      <c r="T142" s="63">
        <v>0.94652777777777775</v>
      </c>
      <c r="U142" s="252">
        <v>0.97569444444444442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-95.714285714286234</v>
      </c>
      <c r="AG142" s="125">
        <f t="shared" si="62"/>
        <v>0.93353174603174571</v>
      </c>
      <c r="AH142" s="611"/>
    </row>
    <row r="143" spans="1:34" ht="19.2" customHeight="1">
      <c r="A143" s="643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1262</v>
      </c>
      <c r="H143" s="84">
        <f t="shared" si="89"/>
        <v>63718.380000000005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1352.1428571428544</v>
      </c>
      <c r="O143" s="86">
        <f t="shared" si="91"/>
        <v>90.142857142856954</v>
      </c>
      <c r="P143" s="54">
        <f t="shared" si="86"/>
        <v>1</v>
      </c>
      <c r="Q143" s="88">
        <f t="shared" si="87"/>
        <v>-12.714285714285907</v>
      </c>
      <c r="R143" s="421">
        <f t="shared" si="88"/>
        <v>0.876388888888887</v>
      </c>
      <c r="S143" s="645"/>
      <c r="T143" s="63">
        <v>0.98124999999999996</v>
      </c>
      <c r="U143" s="252">
        <v>1.0201388888888889</v>
      </c>
      <c r="V143" s="55">
        <v>8</v>
      </c>
      <c r="W143" s="247">
        <f t="shared" si="92"/>
        <v>56.000000000000121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-87.857142857145618</v>
      </c>
      <c r="AG143" s="125">
        <f t="shared" si="62"/>
        <v>0.93898809523809335</v>
      </c>
      <c r="AH143" s="611"/>
    </row>
    <row r="144" spans="1:34" ht="19.2" customHeight="1">
      <c r="A144" s="643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2" customHeight="1">
      <c r="A145" s="643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2" customHeight="1">
      <c r="A146" s="643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2" customHeight="1">
      <c r="A147" s="644"/>
      <c r="B147" s="257">
        <v>0</v>
      </c>
      <c r="C147" s="100" t="s">
        <v>263</v>
      </c>
      <c r="D147" s="617" t="s">
        <v>243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J147:O147" si="93">AVERAGE(M135:M146)</f>
        <v>17.333333333333332</v>
      </c>
      <c r="N147" s="242">
        <f t="shared" si="93"/>
        <v>1324.139304502288</v>
      </c>
      <c r="O147" s="243">
        <f t="shared" si="93"/>
        <v>77.075287844658121</v>
      </c>
      <c r="P147" s="51">
        <f t="shared" ref="P147:P153" si="94">M147-J147</f>
        <v>0.11111111111111072</v>
      </c>
      <c r="Q147" s="139">
        <f t="shared" ref="Q147:Q153" si="95">O147-L147</f>
        <v>-9.4228928603724427</v>
      </c>
      <c r="R147" s="258">
        <f t="shared" ref="R147:R153" si="96">O147/L147</f>
        <v>0.89106253121663137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4">
        <f t="shared" si="61"/>
        <v>-149.74958438660087</v>
      </c>
      <c r="AG147" s="259">
        <f t="shared" si="62"/>
        <v>0.89839832193898173</v>
      </c>
      <c r="AH147" s="611"/>
    </row>
    <row r="148" spans="1:34" ht="19.2" customHeight="1">
      <c r="A148" s="648" t="s">
        <v>264</v>
      </c>
      <c r="B148" s="420" t="s">
        <v>130</v>
      </c>
      <c r="C148" s="121"/>
      <c r="D148" s="173" t="s">
        <v>143</v>
      </c>
      <c r="E148" s="43"/>
      <c r="F148" s="362">
        <v>36.92</v>
      </c>
      <c r="G148" s="57">
        <v>1774.8500000000001</v>
      </c>
      <c r="H148" s="84">
        <f t="shared" ref="H148:H172" si="97">F148*G148</f>
        <v>65527.462000000007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1499.8732394366184</v>
      </c>
      <c r="O148" s="47">
        <f t="shared" ref="O148:O153" si="99">N148/M148</f>
        <v>124.98943661971821</v>
      </c>
      <c r="P148" s="48">
        <f t="shared" si="94"/>
        <v>0</v>
      </c>
      <c r="Q148" s="49">
        <f t="shared" si="95"/>
        <v>-41.677230046948452</v>
      </c>
      <c r="R148" s="424">
        <f t="shared" si="96"/>
        <v>0.74993661971830927</v>
      </c>
      <c r="S148" s="649">
        <f>R160</f>
        <v>0.86108651071473741</v>
      </c>
      <c r="T148" s="246">
        <v>0.58333333333333337</v>
      </c>
      <c r="U148" s="50">
        <v>0.63263888888888897</v>
      </c>
      <c r="V148" s="422">
        <v>5</v>
      </c>
      <c r="W148" s="433">
        <f>(U148-T148)*24*60</f>
        <v>71.000000000000071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-500.12676056338159</v>
      </c>
      <c r="AG148" s="125">
        <f t="shared" si="62"/>
        <v>0.74993661971830916</v>
      </c>
      <c r="AH148" s="611">
        <f>AG160</f>
        <v>0.85773806465892077</v>
      </c>
    </row>
    <row r="149" spans="1:34" ht="19.2" customHeight="1">
      <c r="A149" s="648"/>
      <c r="B149" s="420" t="s">
        <v>130</v>
      </c>
      <c r="C149" s="221"/>
      <c r="D149" s="251" t="s">
        <v>211</v>
      </c>
      <c r="E149" s="60"/>
      <c r="F149" s="362">
        <v>29.46</v>
      </c>
      <c r="G149" s="57">
        <v>734.65</v>
      </c>
      <c r="H149" s="84">
        <f t="shared" si="97"/>
        <v>21642.789000000001</v>
      </c>
      <c r="I149" s="260">
        <v>1</v>
      </c>
      <c r="J149" s="87">
        <v>16</v>
      </c>
      <c r="K149" s="57">
        <v>1440</v>
      </c>
      <c r="L149" s="86">
        <v>90</v>
      </c>
      <c r="M149" s="228">
        <v>16</v>
      </c>
      <c r="N149" s="44">
        <f t="shared" si="98"/>
        <v>1101.9749999999997</v>
      </c>
      <c r="O149" s="47">
        <f t="shared" si="99"/>
        <v>68.87343749999998</v>
      </c>
      <c r="P149" s="48">
        <f t="shared" si="94"/>
        <v>0</v>
      </c>
      <c r="Q149" s="49">
        <f t="shared" si="95"/>
        <v>-21.12656250000002</v>
      </c>
      <c r="R149" s="424">
        <f t="shared" si="96"/>
        <v>0.76526041666666644</v>
      </c>
      <c r="S149" s="650"/>
      <c r="T149" s="246">
        <v>0.63750000000000007</v>
      </c>
      <c r="U149" s="50">
        <v>0.66527777777777786</v>
      </c>
      <c r="V149" s="422">
        <v>7</v>
      </c>
      <c r="W149" s="433">
        <f t="shared" ref="W149:W159" si="100">(U149-T149)*24*60</f>
        <v>40.000000000000014</v>
      </c>
      <c r="X149" s="53"/>
      <c r="Y149" s="53"/>
      <c r="Z149" s="54"/>
      <c r="AA149" s="54"/>
      <c r="AB149" s="588"/>
      <c r="AC149" s="588"/>
      <c r="AD149" s="420"/>
      <c r="AE149" s="420">
        <v>1</v>
      </c>
      <c r="AF149" s="48">
        <f t="shared" si="61"/>
        <v>-338.02500000000032</v>
      </c>
      <c r="AG149" s="125">
        <f t="shared" si="62"/>
        <v>0.76526041666666644</v>
      </c>
      <c r="AH149" s="652"/>
    </row>
    <row r="150" spans="1:34" ht="19.2" customHeight="1">
      <c r="A150" s="648"/>
      <c r="B150" s="420" t="s">
        <v>129</v>
      </c>
      <c r="C150" s="221"/>
      <c r="D150" s="176" t="s">
        <v>179</v>
      </c>
      <c r="E150" s="60"/>
      <c r="F150" s="362">
        <v>49.91</v>
      </c>
      <c r="G150" s="57">
        <v>1706.25</v>
      </c>
      <c r="H150" s="84">
        <f t="shared" si="97"/>
        <v>85158.9375</v>
      </c>
      <c r="I150" s="260">
        <v>1</v>
      </c>
      <c r="J150" s="87">
        <v>15</v>
      </c>
      <c r="K150" s="57">
        <v>1500</v>
      </c>
      <c r="L150" s="86">
        <v>100</v>
      </c>
      <c r="M150" s="228">
        <v>15</v>
      </c>
      <c r="N150" s="44">
        <f t="shared" si="98"/>
        <v>1364.9999999999989</v>
      </c>
      <c r="O150" s="47">
        <f t="shared" si="99"/>
        <v>90.999999999999929</v>
      </c>
      <c r="P150" s="48">
        <f t="shared" si="94"/>
        <v>0</v>
      </c>
      <c r="Q150" s="49">
        <f t="shared" si="95"/>
        <v>-9.0000000000000711</v>
      </c>
      <c r="R150" s="424">
        <f t="shared" si="96"/>
        <v>0.90999999999999925</v>
      </c>
      <c r="S150" s="650"/>
      <c r="T150" s="246">
        <v>0.68125000000000013</v>
      </c>
      <c r="U150" s="50">
        <v>0.7333333333333335</v>
      </c>
      <c r="V150" s="422">
        <v>23</v>
      </c>
      <c r="W150" s="433">
        <f t="shared" si="100"/>
        <v>75.000000000000057</v>
      </c>
      <c r="X150" s="216">
        <v>0.6694444444444444</v>
      </c>
      <c r="Y150" s="216">
        <v>0.68055555555555547</v>
      </c>
      <c r="Z150" s="217"/>
      <c r="AA150" s="217"/>
      <c r="AB150" s="588"/>
      <c r="AC150" s="588"/>
      <c r="AD150" s="420"/>
      <c r="AE150" s="420"/>
      <c r="AF150" s="48">
        <f t="shared" si="61"/>
        <v>-135.00000000000114</v>
      </c>
      <c r="AG150" s="125">
        <f t="shared" si="62"/>
        <v>0.90999999999999925</v>
      </c>
      <c r="AH150" s="652"/>
    </row>
    <row r="151" spans="1:34" s="218" customFormat="1" ht="19.2" customHeight="1">
      <c r="A151" s="648"/>
      <c r="B151" s="420" t="s">
        <v>132</v>
      </c>
      <c r="C151" s="221"/>
      <c r="D151" s="59" t="s">
        <v>208</v>
      </c>
      <c r="E151" s="60"/>
      <c r="F151" s="362">
        <v>56.43</v>
      </c>
      <c r="G151" s="57">
        <v>1541</v>
      </c>
      <c r="H151" s="84">
        <f t="shared" si="97"/>
        <v>86958.63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1339.9999999999986</v>
      </c>
      <c r="O151" s="47">
        <f t="shared" si="99"/>
        <v>78.823529411764625</v>
      </c>
      <c r="P151" s="48">
        <f t="shared" si="94"/>
        <v>1</v>
      </c>
      <c r="Q151" s="49">
        <f t="shared" si="95"/>
        <v>-11.176470588235375</v>
      </c>
      <c r="R151" s="424">
        <f t="shared" si="96"/>
        <v>0.8758169934640514</v>
      </c>
      <c r="S151" s="650"/>
      <c r="T151" s="246">
        <v>0.77361111111111125</v>
      </c>
      <c r="U151" s="50">
        <v>0.82152777777777797</v>
      </c>
      <c r="V151" s="422">
        <v>5</v>
      </c>
      <c r="W151" s="433">
        <f t="shared" si="100"/>
        <v>69.000000000000071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-100.00000000000136</v>
      </c>
      <c r="AG151" s="125">
        <f t="shared" si="62"/>
        <v>0.93055555555555458</v>
      </c>
      <c r="AH151" s="652"/>
    </row>
    <row r="152" spans="1:34" s="218" customFormat="1" ht="19.2" customHeight="1">
      <c r="A152" s="648"/>
      <c r="B152" s="420" t="s">
        <v>132</v>
      </c>
      <c r="C152" s="221"/>
      <c r="D152" s="59" t="s">
        <v>199</v>
      </c>
      <c r="E152" s="60"/>
      <c r="F152" s="362">
        <v>58.17</v>
      </c>
      <c r="G152" s="57">
        <v>1636</v>
      </c>
      <c r="H152" s="84">
        <f t="shared" si="97"/>
        <v>95166.12000000001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1382.5352112676044</v>
      </c>
      <c r="O152" s="47">
        <f t="shared" si="99"/>
        <v>86.408450704225274</v>
      </c>
      <c r="P152" s="48">
        <f t="shared" si="94"/>
        <v>0</v>
      </c>
      <c r="Q152" s="49">
        <f t="shared" si="95"/>
        <v>-3.5915492957747261</v>
      </c>
      <c r="R152" s="424">
        <f t="shared" si="96"/>
        <v>0.96009389671361411</v>
      </c>
      <c r="S152" s="650"/>
      <c r="T152" s="261">
        <v>0.82638888888888906</v>
      </c>
      <c r="U152" s="63">
        <v>0.87569444444444466</v>
      </c>
      <c r="V152" s="435">
        <v>7</v>
      </c>
      <c r="W152" s="433">
        <f t="shared" si="100"/>
        <v>71.000000000000071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-57.464788732395618</v>
      </c>
      <c r="AG152" s="125">
        <f t="shared" si="62"/>
        <v>0.96009389671361411</v>
      </c>
      <c r="AH152" s="652"/>
    </row>
    <row r="153" spans="1:34" s="218" customFormat="1" ht="19.2" customHeight="1">
      <c r="A153" s="648"/>
      <c r="B153" s="420" t="s">
        <v>132</v>
      </c>
      <c r="C153" s="221"/>
      <c r="D153" s="251" t="s">
        <v>204</v>
      </c>
      <c r="E153" s="60"/>
      <c r="F153" s="362">
        <v>51.06</v>
      </c>
      <c r="G153" s="57">
        <v>2235</v>
      </c>
      <c r="H153" s="84">
        <f t="shared" si="97"/>
        <v>114119.1</v>
      </c>
      <c r="I153" s="260"/>
      <c r="J153" s="87">
        <v>16</v>
      </c>
      <c r="K153" s="57">
        <v>1440</v>
      </c>
      <c r="L153" s="86">
        <v>90</v>
      </c>
      <c r="M153" s="199">
        <v>14</v>
      </c>
      <c r="N153" s="44">
        <f t="shared" si="98"/>
        <v>1253.2710280373838</v>
      </c>
      <c r="O153" s="47">
        <f t="shared" si="99"/>
        <v>89.519359145527417</v>
      </c>
      <c r="P153" s="48">
        <f t="shared" si="94"/>
        <v>-2</v>
      </c>
      <c r="Q153" s="49">
        <f t="shared" si="95"/>
        <v>-0.48064085447258265</v>
      </c>
      <c r="R153" s="424">
        <f t="shared" si="96"/>
        <v>0.99465954606141571</v>
      </c>
      <c r="S153" s="650"/>
      <c r="T153" s="261">
        <v>0.89097222222222239</v>
      </c>
      <c r="U153" s="63">
        <v>0.9652777777777779</v>
      </c>
      <c r="V153" s="435">
        <v>22</v>
      </c>
      <c r="W153" s="433">
        <f t="shared" si="100"/>
        <v>106.99999999999994</v>
      </c>
      <c r="X153" s="219">
        <v>0.88055555555555554</v>
      </c>
      <c r="Y153" s="219">
        <v>0.89027777777777783</v>
      </c>
      <c r="Z153" s="217"/>
      <c r="AA153" s="217"/>
      <c r="AB153" s="588"/>
      <c r="AC153" s="588"/>
      <c r="AD153" s="221"/>
      <c r="AE153" s="221"/>
      <c r="AF153" s="48">
        <f t="shared" si="61"/>
        <v>-186.72897196261624</v>
      </c>
      <c r="AG153" s="125">
        <f t="shared" si="62"/>
        <v>0.87032710280373871</v>
      </c>
      <c r="AH153" s="652"/>
    </row>
    <row r="154" spans="1:34" s="218" customFormat="1" ht="19.2" customHeight="1">
      <c r="A154" s="648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2" customHeight="1">
      <c r="A155" s="648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2" customHeight="1">
      <c r="A156" s="648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2" customHeight="1">
      <c r="A157" s="648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2" customHeight="1">
      <c r="A158" s="648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2" customHeight="1">
      <c r="A159" s="648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2" customHeight="1">
      <c r="A160" s="648"/>
      <c r="B160" s="267">
        <v>0</v>
      </c>
      <c r="C160" s="268" t="s">
        <v>265</v>
      </c>
      <c r="D160" s="647" t="s">
        <v>243</v>
      </c>
      <c r="E160" s="608"/>
      <c r="F160" s="356"/>
      <c r="G160" s="202"/>
      <c r="H160" s="201"/>
      <c r="I160" s="72"/>
      <c r="J160" s="269">
        <v>15.166666666666666</v>
      </c>
      <c r="K160" s="269">
        <v>1543.3333333333333</v>
      </c>
      <c r="L160" s="270">
        <v>104.44444444444444</v>
      </c>
      <c r="M160" s="269">
        <f t="shared" ref="J160:O160" si="101">AVERAGE(M148:M159)</f>
        <v>15</v>
      </c>
      <c r="N160" s="269">
        <f t="shared" si="101"/>
        <v>1323.7757464569343</v>
      </c>
      <c r="O160" s="270">
        <f t="shared" si="101"/>
        <v>89.935702230205905</v>
      </c>
      <c r="P160" s="65">
        <f t="shared" ref="P160:P163" si="102">M160-J160</f>
        <v>-0.16666666666666607</v>
      </c>
      <c r="Q160" s="74">
        <f t="shared" ref="Q160:Q163" si="103">O160-L160</f>
        <v>-14.508742214238538</v>
      </c>
      <c r="R160" s="271">
        <f>O160/L160</f>
        <v>0.86108651071473741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-219.557586876399</v>
      </c>
      <c r="AG160" s="129">
        <f t="shared" si="62"/>
        <v>0.85773806465892077</v>
      </c>
      <c r="AH160" s="652"/>
    </row>
    <row r="161" spans="1:36" ht="19.2" customHeight="1">
      <c r="A161" s="610" t="s">
        <v>266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3940</v>
      </c>
      <c r="H161" s="84">
        <f t="shared" ref="H161:H170" si="104">F161*G161</f>
        <v>134866.19999999998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2149.090909090909</v>
      </c>
      <c r="O161" s="86">
        <f t="shared" ref="O161:O166" si="106">N161/M161</f>
        <v>165.31468531468531</v>
      </c>
      <c r="P161" s="54">
        <f t="shared" si="102"/>
        <v>0</v>
      </c>
      <c r="Q161" s="88">
        <f t="shared" si="103"/>
        <v>-7.7622377622377599</v>
      </c>
      <c r="R161" s="421">
        <f t="shared" ref="R161:R163" si="107">O161/L161</f>
        <v>0.9551515151515152</v>
      </c>
      <c r="S161" s="611">
        <f>R173</f>
        <v>0.92018177183337502</v>
      </c>
      <c r="T161" s="89">
        <v>0.16666666666666666</v>
      </c>
      <c r="U161" s="89">
        <v>0.24305555555555555</v>
      </c>
      <c r="V161" s="420">
        <v>5</v>
      </c>
      <c r="W161" s="90">
        <f t="shared" ref="W161:W172" si="108">(U161-T161)*24*60</f>
        <v>110.00000000000001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-100.90909090909099</v>
      </c>
      <c r="AG161" s="421">
        <f t="shared" si="62"/>
        <v>0.95515151515151508</v>
      </c>
      <c r="AH161" s="611">
        <f>AG173</f>
        <v>0.92341657886134365</v>
      </c>
    </row>
    <row r="162" spans="1:36" ht="19.2" customHeight="1">
      <c r="A162" s="610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3965</v>
      </c>
      <c r="H162" s="84">
        <f t="shared" si="104"/>
        <v>135721.94999999998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2143.2432432432433</v>
      </c>
      <c r="O162" s="86">
        <f t="shared" si="106"/>
        <v>164.86486486486487</v>
      </c>
      <c r="P162" s="54">
        <f t="shared" si="102"/>
        <v>0</v>
      </c>
      <c r="Q162" s="88">
        <f t="shared" si="103"/>
        <v>-8.2120582120581957</v>
      </c>
      <c r="R162" s="421">
        <f t="shared" si="107"/>
        <v>0.95255255255255267</v>
      </c>
      <c r="S162" s="611"/>
      <c r="T162" s="89">
        <v>0.24791666666666667</v>
      </c>
      <c r="U162" s="89">
        <v>0.32500000000000001</v>
      </c>
      <c r="V162" s="420">
        <v>7</v>
      </c>
      <c r="W162" s="90">
        <f t="shared" si="108"/>
        <v>111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-106.75675675675666</v>
      </c>
      <c r="AG162" s="421">
        <f t="shared" si="62"/>
        <v>0.95255255255255256</v>
      </c>
      <c r="AH162" s="611"/>
    </row>
    <row r="163" spans="1:36" ht="19.2" customHeight="1">
      <c r="A163" s="610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4041.7999999999997</v>
      </c>
      <c r="H163" s="84">
        <f t="shared" si="104"/>
        <v>144817.69399999999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2108.7652173913048</v>
      </c>
      <c r="O163" s="86">
        <f t="shared" si="106"/>
        <v>191.70592885375498</v>
      </c>
      <c r="P163" s="54">
        <f t="shared" si="102"/>
        <v>0</v>
      </c>
      <c r="Q163" s="88">
        <f t="shared" si="103"/>
        <v>-12.839525691699549</v>
      </c>
      <c r="R163" s="421">
        <f t="shared" si="107"/>
        <v>0.93722898550724665</v>
      </c>
      <c r="S163" s="611"/>
      <c r="T163" s="89">
        <v>0.34791666666666665</v>
      </c>
      <c r="U163" s="89">
        <v>0.42777777777777776</v>
      </c>
      <c r="V163" s="420">
        <v>33</v>
      </c>
      <c r="W163" s="90">
        <f t="shared" si="108"/>
        <v>114.99999999999999</v>
      </c>
      <c r="X163" s="96">
        <v>0.3298611111111111</v>
      </c>
      <c r="Y163" s="96">
        <v>0.34722222222222227</v>
      </c>
      <c r="Z163" s="54"/>
      <c r="AA163" s="54"/>
      <c r="AB163" s="588"/>
      <c r="AC163" s="588"/>
      <c r="AD163" s="420"/>
      <c r="AE163" s="420"/>
      <c r="AF163" s="54">
        <f t="shared" si="61"/>
        <v>-141.23478260869524</v>
      </c>
      <c r="AG163" s="421">
        <f t="shared" si="62"/>
        <v>0.93722898550724654</v>
      </c>
      <c r="AH163" s="611"/>
    </row>
    <row r="164" spans="1:36" ht="19.2" customHeight="1">
      <c r="A164" s="610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8301</v>
      </c>
      <c r="H164" s="84">
        <f t="shared" si="104"/>
        <v>302239.40999999997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2360.4739336492894</v>
      </c>
      <c r="O164" s="86">
        <f t="shared" si="106"/>
        <v>236.04739336492895</v>
      </c>
      <c r="P164" s="54">
        <f>M164-J164</f>
        <v>0</v>
      </c>
      <c r="Q164" s="88">
        <f>O164-L164</f>
        <v>-40.852606635071027</v>
      </c>
      <c r="R164" s="421">
        <f>O164/L164</f>
        <v>0.85246440362921261</v>
      </c>
      <c r="S164" s="611"/>
      <c r="T164" s="89">
        <v>0.4680555555555555</v>
      </c>
      <c r="U164" s="89">
        <v>0.61458333333333326</v>
      </c>
      <c r="V164" s="420">
        <v>5</v>
      </c>
      <c r="W164" s="90">
        <f t="shared" si="108"/>
        <v>210.99999999999997</v>
      </c>
      <c r="X164" s="96"/>
      <c r="Y164" s="96"/>
      <c r="Z164" s="54"/>
      <c r="AA164" s="54"/>
      <c r="AB164" s="588"/>
      <c r="AC164" s="588"/>
      <c r="AD164" s="420">
        <v>2</v>
      </c>
      <c r="AE164" s="420"/>
      <c r="AF164" s="54">
        <f>N164-K164</f>
        <v>-408.52606635071061</v>
      </c>
      <c r="AG164" s="421">
        <f>N164/K164</f>
        <v>0.8524644036292125</v>
      </c>
      <c r="AH164" s="611"/>
    </row>
    <row r="165" spans="1:36" ht="19.2" customHeight="1">
      <c r="A165" s="610"/>
      <c r="B165" s="121" t="s">
        <v>131</v>
      </c>
      <c r="C165" s="81"/>
      <c r="D165" s="82" t="s">
        <v>95</v>
      </c>
      <c r="E165" s="83"/>
      <c r="F165" s="358">
        <v>35.83</v>
      </c>
      <c r="G165" s="57">
        <v>1732.2</v>
      </c>
      <c r="H165" s="84">
        <f t="shared" si="104"/>
        <v>62064.725999999995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2078.6400000000008</v>
      </c>
      <c r="O165" s="86">
        <f t="shared" si="106"/>
        <v>188.96727272727279</v>
      </c>
      <c r="P165" s="54">
        <f>M165-J165</f>
        <v>0</v>
      </c>
      <c r="Q165" s="88">
        <f>O165-L165</f>
        <v>-15.578181818181747</v>
      </c>
      <c r="R165" s="421">
        <f>O165/L165</f>
        <v>0.92384000000000033</v>
      </c>
      <c r="S165" s="611"/>
      <c r="T165" s="89">
        <v>0.63055555555555554</v>
      </c>
      <c r="U165" s="89">
        <v>0.66527777777777775</v>
      </c>
      <c r="V165" s="420">
        <v>23</v>
      </c>
      <c r="W165" s="90">
        <f t="shared" si="108"/>
        <v>49.999999999999986</v>
      </c>
      <c r="X165" s="96">
        <v>0.61944444444444446</v>
      </c>
      <c r="Y165" s="96">
        <v>0.62916666666666665</v>
      </c>
      <c r="Z165" s="54"/>
      <c r="AA165" s="54"/>
      <c r="AB165" s="588"/>
      <c r="AC165" s="588"/>
      <c r="AD165" s="420"/>
      <c r="AE165" s="420"/>
      <c r="AF165" s="54">
        <f>N165-K165</f>
        <v>-171.35999999999922</v>
      </c>
      <c r="AG165" s="421">
        <f>N165/K165</f>
        <v>0.92384000000000033</v>
      </c>
      <c r="AH165" s="611"/>
    </row>
    <row r="166" spans="1:36" ht="19.2" customHeight="1">
      <c r="A166" s="610"/>
      <c r="B166" s="121" t="s">
        <v>131</v>
      </c>
      <c r="C166" s="121"/>
      <c r="D166" s="82" t="s">
        <v>63</v>
      </c>
      <c r="E166" s="83"/>
      <c r="F166" s="361">
        <v>35.33</v>
      </c>
      <c r="G166" s="57">
        <v>727.19999999999993</v>
      </c>
      <c r="H166" s="84">
        <f t="shared" si="104"/>
        <v>25691.975999999995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1983.2727272727341</v>
      </c>
      <c r="O166" s="86">
        <f t="shared" si="106"/>
        <v>165.27272727272785</v>
      </c>
      <c r="P166" s="54">
        <f>M166-J166</f>
        <v>0</v>
      </c>
      <c r="Q166" s="88">
        <f>O166-L166</f>
        <v>-11.227272727272151</v>
      </c>
      <c r="R166" s="421">
        <f>O166/L166</f>
        <v>0.93638938964718332</v>
      </c>
      <c r="S166" s="611"/>
      <c r="T166" s="89">
        <v>0.67013888888888884</v>
      </c>
      <c r="U166" s="89">
        <v>0.68541666666666656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-134.72727272726593</v>
      </c>
      <c r="AG166" s="421">
        <f>N166/K166</f>
        <v>0.93638938964718321</v>
      </c>
      <c r="AH166" s="611"/>
    </row>
    <row r="167" spans="1:36" ht="19.2" customHeight="1">
      <c r="A167" s="610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2" customHeight="1">
      <c r="A168" s="610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2" customHeight="1">
      <c r="A169" s="610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2" customHeight="1">
      <c r="A170" s="610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2" customHeight="1">
      <c r="A171" s="610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2" customHeight="1">
      <c r="A172" s="610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2" customHeight="1">
      <c r="A173" s="610"/>
      <c r="B173" s="121">
        <v>0</v>
      </c>
      <c r="C173" s="100" t="s">
        <v>267</v>
      </c>
      <c r="D173" s="617" t="s">
        <v>243</v>
      </c>
      <c r="E173" s="617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J173:O173" si="109">AVERAGE(M161:M172)</f>
        <v>11.666666666666666</v>
      </c>
      <c r="N173" s="101">
        <f t="shared" si="109"/>
        <v>2137.2476717745799</v>
      </c>
      <c r="O173" s="104">
        <f t="shared" si="109"/>
        <v>185.36214539970581</v>
      </c>
      <c r="P173" s="54">
        <f>M173-J173</f>
        <v>0</v>
      </c>
      <c r="Q173" s="88">
        <f>O173-L173</f>
        <v>-16.078647141086748</v>
      </c>
      <c r="R173" s="105">
        <f>O173/L173</f>
        <v>0.92018177183337502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2</v>
      </c>
      <c r="AE173" s="107">
        <f>SUM(AE161:AE172)</f>
        <v>0</v>
      </c>
      <c r="AF173" s="54">
        <f t="shared" si="61"/>
        <v>-177.25232822542011</v>
      </c>
      <c r="AG173" s="421">
        <f t="shared" si="62"/>
        <v>0.92341657886134365</v>
      </c>
      <c r="AH173" s="611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 xr:uid="{C5AA7CDB-312D-404F-9C99-7D59374DAE01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0601</vt:lpstr>
      <vt:lpstr>晉欣18度C0601</vt:lpstr>
      <vt:lpstr>晉欣4度C0601</vt:lpstr>
      <vt:lpstr>0602</vt:lpstr>
      <vt:lpstr>晉欣18度C0602</vt:lpstr>
      <vt:lpstr>晉欣4度C0602</vt:lpstr>
      <vt:lpstr>0603</vt:lpstr>
      <vt:lpstr>晉欣18度C0603</vt:lpstr>
      <vt:lpstr>晉欣4度C0603</vt:lpstr>
      <vt:lpstr>0604</vt:lpstr>
      <vt:lpstr>晉欣18度C0604</vt:lpstr>
      <vt:lpstr>晉欣4度C0604</vt:lpstr>
      <vt:lpstr>0605</vt:lpstr>
      <vt:lpstr>晉欣18度C0605</vt:lpstr>
      <vt:lpstr>晉欣4度C0605</vt:lpstr>
      <vt:lpstr>0606</vt:lpstr>
      <vt:lpstr>晉欣18度C0606</vt:lpstr>
      <vt:lpstr>晉欣4度C0606</vt:lpstr>
      <vt:lpstr>0607</vt:lpstr>
      <vt:lpstr>晉欣18度C0607</vt:lpstr>
      <vt:lpstr>晉欣4度C0607</vt:lpstr>
      <vt:lpstr>0608</vt:lpstr>
      <vt:lpstr>晉欣18度C0608</vt:lpstr>
      <vt:lpstr>晉欣4度C0608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Vicky Hung</cp:lastModifiedBy>
  <dcterms:created xsi:type="dcterms:W3CDTF">2026-02-11T07:15:57Z</dcterms:created>
  <dcterms:modified xsi:type="dcterms:W3CDTF">2026-06-10T06:26:24Z</dcterms:modified>
</cp:coreProperties>
</file>