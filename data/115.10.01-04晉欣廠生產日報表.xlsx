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1508" yWindow="-12" windowWidth="11544" windowHeight="9540" tabRatio="881" activeTab="10"/>
  </bookViews>
  <sheets>
    <sheet name="1001" sheetId="680" r:id="rId1"/>
    <sheet name="晉欣18度C1001" sheetId="687" r:id="rId2"/>
    <sheet name="晉欣4度C1001" sheetId="689" r:id="rId3"/>
    <sheet name="1002" sheetId="684" r:id="rId4"/>
    <sheet name="晉欣18度C1002" sheetId="688" r:id="rId5"/>
    <sheet name="晉欣4度C1002" sheetId="690" r:id="rId6"/>
    <sheet name="1003" sheetId="691" r:id="rId7"/>
    <sheet name="晉欣18度C1003" sheetId="693" r:id="rId8"/>
    <sheet name="晉欣4度C1003" sheetId="695" r:id="rId9"/>
    <sheet name="1004" sheetId="692" r:id="rId10"/>
    <sheet name="晉欣18度C1004" sheetId="694" r:id="rId11"/>
    <sheet name="晉欣4度C1004" sheetId="696" r:id="rId12"/>
  </sheets>
  <definedNames>
    <definedName name="_xlnm._FilterDatabase" localSheetId="0" hidden="1">'1001'!$B$10:$Q$25</definedName>
    <definedName name="_xlnm._FilterDatabase" localSheetId="3" hidden="1">'1002'!$B$10:$Q$25</definedName>
    <definedName name="_xlnm._FilterDatabase" localSheetId="6" hidden="1">'1003'!$B$10:$Q$25</definedName>
    <definedName name="_xlnm._FilterDatabase" localSheetId="9" hidden="1">'1004'!$B$10:$Q$25</definedName>
    <definedName name="_xlnm._FilterDatabase" localSheetId="1" hidden="1">晉欣18度C1001!$A$4:$R$124</definedName>
    <definedName name="_xlnm._FilterDatabase" localSheetId="4" hidden="1">晉欣18度C1002!$A$4:$R$124</definedName>
    <definedName name="_xlnm._FilterDatabase" localSheetId="7" hidden="1">晉欣18度C1003!$A$4:$R$124</definedName>
    <definedName name="_xlnm._FilterDatabase" localSheetId="10" hidden="1">晉欣18度C1004!$A$4:$R$124</definedName>
    <definedName name="_xlnm._FilterDatabase" localSheetId="2" hidden="1">晉欣4度C1001!$A$4:$AI$173</definedName>
    <definedName name="_xlnm._FilterDatabase" localSheetId="5" hidden="1">晉欣4度C1002!$A$4:$AI$173</definedName>
    <definedName name="_xlnm._FilterDatabase" localSheetId="8" hidden="1">晉欣4度C1003!$A$4:$AI$173</definedName>
    <definedName name="_xlnm._FilterDatabase" localSheetId="11" hidden="1">晉欣4度C1004!$A$4:$AI$173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173" i="696" l="1"/>
  <c r="AD173" i="696"/>
  <c r="AA173" i="696"/>
  <c r="Z173" i="696"/>
  <c r="M173" i="696"/>
  <c r="W172" i="696"/>
  <c r="H172" i="696"/>
  <c r="W171" i="696"/>
  <c r="H171" i="696"/>
  <c r="AG170" i="696"/>
  <c r="AF170" i="696"/>
  <c r="W170" i="696"/>
  <c r="H170" i="696"/>
  <c r="AG169" i="696"/>
  <c r="AF169" i="696"/>
  <c r="W169" i="696"/>
  <c r="H169" i="696"/>
  <c r="AG168" i="696"/>
  <c r="AF168" i="696"/>
  <c r="W168" i="696"/>
  <c r="H168" i="696"/>
  <c r="AG167" i="696"/>
  <c r="AF167" i="696"/>
  <c r="W167" i="696"/>
  <c r="H167" i="696"/>
  <c r="W166" i="696"/>
  <c r="N166" i="696"/>
  <c r="AG166" i="696" s="1"/>
  <c r="P166" i="696"/>
  <c r="H166" i="696"/>
  <c r="W165" i="696"/>
  <c r="P165" i="696"/>
  <c r="N165" i="696"/>
  <c r="O165" i="696" s="1"/>
  <c r="H165" i="696"/>
  <c r="W164" i="696"/>
  <c r="N164" i="696"/>
  <c r="AG164" i="696" s="1"/>
  <c r="P164" i="696"/>
  <c r="H164" i="696"/>
  <c r="W163" i="696"/>
  <c r="P163" i="696"/>
  <c r="N163" i="696"/>
  <c r="O163" i="696" s="1"/>
  <c r="H163" i="696"/>
  <c r="W162" i="696"/>
  <c r="N162" i="696"/>
  <c r="AG162" i="696" s="1"/>
  <c r="P162" i="696"/>
  <c r="H162" i="696"/>
  <c r="W161" i="696"/>
  <c r="N161" i="696"/>
  <c r="AF161" i="696" s="1"/>
  <c r="P161" i="696"/>
  <c r="H161" i="696"/>
  <c r="AE160" i="696"/>
  <c r="AD160" i="696"/>
  <c r="AA160" i="696"/>
  <c r="Z160" i="696"/>
  <c r="M160" i="696"/>
  <c r="P160" i="696" s="1"/>
  <c r="W159" i="696"/>
  <c r="H159" i="696"/>
  <c r="W158" i="696"/>
  <c r="H158" i="696"/>
  <c r="W157" i="696"/>
  <c r="H157" i="696"/>
  <c r="W156" i="696"/>
  <c r="H156" i="696"/>
  <c r="AG155" i="696"/>
  <c r="AF155" i="696"/>
  <c r="W155" i="696"/>
  <c r="H155" i="696"/>
  <c r="W154" i="696"/>
  <c r="N154" i="696" s="1"/>
  <c r="P154" i="696"/>
  <c r="H154" i="696"/>
  <c r="W153" i="696"/>
  <c r="N153" i="696"/>
  <c r="O153" i="696" s="1"/>
  <c r="P153" i="696"/>
  <c r="H153" i="696"/>
  <c r="W152" i="696"/>
  <c r="P152" i="696"/>
  <c r="N152" i="696"/>
  <c r="AG152" i="696" s="1"/>
  <c r="H152" i="696"/>
  <c r="W151" i="696"/>
  <c r="P151" i="696"/>
  <c r="N151" i="696"/>
  <c r="O151" i="696" s="1"/>
  <c r="H151" i="696"/>
  <c r="W150" i="696"/>
  <c r="P150" i="696"/>
  <c r="N150" i="696"/>
  <c r="AG150" i="696" s="1"/>
  <c r="H150" i="696"/>
  <c r="W149" i="696"/>
  <c r="P149" i="696"/>
  <c r="N149" i="696"/>
  <c r="O149" i="696" s="1"/>
  <c r="H149" i="696"/>
  <c r="W148" i="696"/>
  <c r="P148" i="696"/>
  <c r="N148" i="696"/>
  <c r="N160" i="696" s="1"/>
  <c r="H148" i="696"/>
  <c r="AE147" i="696"/>
  <c r="AD147" i="696"/>
  <c r="AA147" i="696"/>
  <c r="Z147" i="696"/>
  <c r="W147" i="696"/>
  <c r="M147" i="696"/>
  <c r="AK146" i="696"/>
  <c r="AJ146" i="696"/>
  <c r="W146" i="696"/>
  <c r="H146" i="696"/>
  <c r="AK145" i="696"/>
  <c r="AJ145" i="696"/>
  <c r="AG145" i="696"/>
  <c r="AF145" i="696"/>
  <c r="W145" i="696"/>
  <c r="H145" i="696"/>
  <c r="AK144" i="696"/>
  <c r="AJ144" i="696"/>
  <c r="AG144" i="696"/>
  <c r="AF144" i="696"/>
  <c r="W144" i="696"/>
  <c r="H144" i="696"/>
  <c r="AK143" i="696"/>
  <c r="AJ143" i="696"/>
  <c r="W143" i="696"/>
  <c r="N143" i="696" s="1"/>
  <c r="P143" i="696"/>
  <c r="H143" i="696"/>
  <c r="AK142" i="696"/>
  <c r="AJ142" i="696"/>
  <c r="W142" i="696"/>
  <c r="N142" i="696" s="1"/>
  <c r="P142" i="696"/>
  <c r="H142" i="696"/>
  <c r="AK141" i="696"/>
  <c r="AJ141" i="696"/>
  <c r="W141" i="696"/>
  <c r="N141" i="696" s="1"/>
  <c r="P141" i="696"/>
  <c r="H141" i="696"/>
  <c r="AK140" i="696"/>
  <c r="AJ140" i="696"/>
  <c r="W140" i="696"/>
  <c r="N140" i="696" s="1"/>
  <c r="P140" i="696"/>
  <c r="H140" i="696"/>
  <c r="AK139" i="696"/>
  <c r="AJ139" i="696"/>
  <c r="W139" i="696"/>
  <c r="N139" i="696" s="1"/>
  <c r="P139" i="696"/>
  <c r="H139" i="696"/>
  <c r="AK138" i="696"/>
  <c r="AJ138" i="696"/>
  <c r="W138" i="696"/>
  <c r="N138" i="696" s="1"/>
  <c r="P138" i="696"/>
  <c r="H138" i="696"/>
  <c r="AK137" i="696"/>
  <c r="AJ137" i="696"/>
  <c r="W137" i="696"/>
  <c r="N137" i="696" s="1"/>
  <c r="P137" i="696"/>
  <c r="H137" i="696"/>
  <c r="AK136" i="696"/>
  <c r="AJ136" i="696"/>
  <c r="W136" i="696"/>
  <c r="N136" i="696" s="1"/>
  <c r="P136" i="696"/>
  <c r="H136" i="696"/>
  <c r="AK135" i="696"/>
  <c r="AJ135" i="696"/>
  <c r="W135" i="696"/>
  <c r="N135" i="696"/>
  <c r="O135" i="696" s="1"/>
  <c r="P135" i="696"/>
  <c r="H135" i="696"/>
  <c r="AE134" i="696"/>
  <c r="AD134" i="696"/>
  <c r="AA134" i="696"/>
  <c r="Z134" i="696"/>
  <c r="M134" i="696"/>
  <c r="AJ133" i="696"/>
  <c r="AK133" i="696" s="1"/>
  <c r="W133" i="696"/>
  <c r="H133" i="696"/>
  <c r="AK132" i="696"/>
  <c r="AJ132" i="696"/>
  <c r="W132" i="696"/>
  <c r="H132" i="696"/>
  <c r="AJ131" i="696"/>
  <c r="AK131" i="696" s="1"/>
  <c r="AG131" i="696"/>
  <c r="AF131" i="696"/>
  <c r="W131" i="696"/>
  <c r="H131" i="696"/>
  <c r="AJ130" i="696"/>
  <c r="AK130" i="696" s="1"/>
  <c r="AG130" i="696"/>
  <c r="AF130" i="696"/>
  <c r="W130" i="696"/>
  <c r="H130" i="696"/>
  <c r="AJ129" i="696"/>
  <c r="AK129" i="696" s="1"/>
  <c r="W129" i="696"/>
  <c r="N129" i="696"/>
  <c r="AF129" i="696" s="1"/>
  <c r="P129" i="696"/>
  <c r="H129" i="696"/>
  <c r="AJ128" i="696"/>
  <c r="AK128" i="696" s="1"/>
  <c r="W128" i="696"/>
  <c r="N128" i="696"/>
  <c r="AF128" i="696" s="1"/>
  <c r="P128" i="696"/>
  <c r="H128" i="696"/>
  <c r="AJ127" i="696"/>
  <c r="AK127" i="696" s="1"/>
  <c r="W127" i="696"/>
  <c r="P127" i="696"/>
  <c r="N127" i="696"/>
  <c r="AF127" i="696" s="1"/>
  <c r="H127" i="696"/>
  <c r="AJ126" i="696"/>
  <c r="AK126" i="696" s="1"/>
  <c r="W126" i="696"/>
  <c r="P126" i="696"/>
  <c r="N126" i="696"/>
  <c r="AF126" i="696" s="1"/>
  <c r="H126" i="696"/>
  <c r="AJ125" i="696"/>
  <c r="AK125" i="696" s="1"/>
  <c r="W125" i="696"/>
  <c r="P125" i="696"/>
  <c r="N125" i="696"/>
  <c r="AF125" i="696" s="1"/>
  <c r="H125" i="696"/>
  <c r="AJ124" i="696"/>
  <c r="AK124" i="696" s="1"/>
  <c r="W124" i="696"/>
  <c r="P124" i="696"/>
  <c r="N124" i="696"/>
  <c r="O124" i="696" s="1"/>
  <c r="AF124" i="696"/>
  <c r="H124" i="696"/>
  <c r="AJ123" i="696"/>
  <c r="AK123" i="696" s="1"/>
  <c r="W123" i="696"/>
  <c r="P123" i="696"/>
  <c r="N123" i="696"/>
  <c r="O123" i="696" s="1"/>
  <c r="AF123" i="696"/>
  <c r="H123" i="696"/>
  <c r="AJ122" i="696"/>
  <c r="AG122" i="696"/>
  <c r="W122" i="696"/>
  <c r="N122" i="696"/>
  <c r="P122" i="696"/>
  <c r="H122" i="696"/>
  <c r="AE121" i="696"/>
  <c r="AD121" i="696"/>
  <c r="AA121" i="696"/>
  <c r="Z121" i="696"/>
  <c r="W121" i="696"/>
  <c r="M121" i="696"/>
  <c r="AK120" i="696"/>
  <c r="AJ120" i="696"/>
  <c r="AG120" i="696"/>
  <c r="AF120" i="696"/>
  <c r="W120" i="696"/>
  <c r="H120" i="696"/>
  <c r="AK119" i="696"/>
  <c r="AJ119" i="696"/>
  <c r="AG119" i="696"/>
  <c r="AF119" i="696"/>
  <c r="W119" i="696"/>
  <c r="H119" i="696"/>
  <c r="AK118" i="696"/>
  <c r="AJ118" i="696"/>
  <c r="W118" i="696"/>
  <c r="N118" i="696" s="1"/>
  <c r="P118" i="696"/>
  <c r="H118" i="696"/>
  <c r="AK117" i="696"/>
  <c r="AJ117" i="696"/>
  <c r="W117" i="696"/>
  <c r="N117" i="696" s="1"/>
  <c r="P117" i="696"/>
  <c r="H117" i="696"/>
  <c r="AK116" i="696"/>
  <c r="AJ116" i="696"/>
  <c r="W116" i="696"/>
  <c r="N116" i="696" s="1"/>
  <c r="P116" i="696"/>
  <c r="H116" i="696"/>
  <c r="AK115" i="696"/>
  <c r="AJ115" i="696"/>
  <c r="W115" i="696"/>
  <c r="N115" i="696" s="1"/>
  <c r="P115" i="696"/>
  <c r="H115" i="696"/>
  <c r="AK114" i="696"/>
  <c r="AJ114" i="696"/>
  <c r="W114" i="696"/>
  <c r="N114" i="696" s="1"/>
  <c r="P114" i="696"/>
  <c r="H114" i="696"/>
  <c r="AK113" i="696"/>
  <c r="AJ113" i="696"/>
  <c r="W113" i="696"/>
  <c r="N113" i="696" s="1"/>
  <c r="P113" i="696"/>
  <c r="H113" i="696"/>
  <c r="AK112" i="696"/>
  <c r="AJ112" i="696"/>
  <c r="W112" i="696"/>
  <c r="N112" i="696" s="1"/>
  <c r="P112" i="696"/>
  <c r="H112" i="696"/>
  <c r="AK111" i="696"/>
  <c r="AJ111" i="696"/>
  <c r="W111" i="696"/>
  <c r="N111" i="696" s="1"/>
  <c r="P111" i="696"/>
  <c r="H111" i="696"/>
  <c r="AK110" i="696"/>
  <c r="AJ110" i="696"/>
  <c r="W110" i="696"/>
  <c r="N110" i="696" s="1"/>
  <c r="P110" i="696"/>
  <c r="H110" i="696"/>
  <c r="AK109" i="696"/>
  <c r="AJ109" i="696"/>
  <c r="W109" i="696"/>
  <c r="N109" i="696"/>
  <c r="AF109" i="696" s="1"/>
  <c r="P121" i="696"/>
  <c r="H109" i="696"/>
  <c r="AE108" i="696"/>
  <c r="AD108" i="696"/>
  <c r="AA108" i="696"/>
  <c r="Z108" i="696"/>
  <c r="W108" i="696"/>
  <c r="M108" i="696"/>
  <c r="W107" i="696"/>
  <c r="H107" i="696"/>
  <c r="AG106" i="696"/>
  <c r="AF106" i="696"/>
  <c r="W106" i="696"/>
  <c r="H106" i="696"/>
  <c r="AG105" i="696"/>
  <c r="AF105" i="696"/>
  <c r="W105" i="696"/>
  <c r="H105" i="696"/>
  <c r="AG104" i="696"/>
  <c r="AF104" i="696"/>
  <c r="W104" i="696"/>
  <c r="H104" i="696"/>
  <c r="AG103" i="696"/>
  <c r="AF103" i="696"/>
  <c r="W103" i="696"/>
  <c r="H103" i="696"/>
  <c r="AG102" i="696"/>
  <c r="W102" i="696"/>
  <c r="P102" i="696"/>
  <c r="N102" i="696"/>
  <c r="O102" i="696" s="1"/>
  <c r="H102" i="696"/>
  <c r="W101" i="696"/>
  <c r="N101" i="696" s="1"/>
  <c r="P101" i="696"/>
  <c r="H101" i="696"/>
  <c r="AG100" i="696"/>
  <c r="W100" i="696"/>
  <c r="P100" i="696"/>
  <c r="N100" i="696"/>
  <c r="O100" i="696" s="1"/>
  <c r="H100" i="696"/>
  <c r="W99" i="696"/>
  <c r="N99" i="696" s="1"/>
  <c r="P99" i="696"/>
  <c r="H99" i="696"/>
  <c r="AG98" i="696"/>
  <c r="W98" i="696"/>
  <c r="P98" i="696"/>
  <c r="N98" i="696"/>
  <c r="O98" i="696" s="1"/>
  <c r="H98" i="696"/>
  <c r="W97" i="696"/>
  <c r="N97" i="696" s="1"/>
  <c r="P97" i="696"/>
  <c r="H97" i="696"/>
  <c r="W96" i="696"/>
  <c r="N96" i="696" s="1"/>
  <c r="P108" i="696"/>
  <c r="H96" i="696"/>
  <c r="AE95" i="696"/>
  <c r="AD95" i="696"/>
  <c r="AA95" i="696"/>
  <c r="Z95" i="696"/>
  <c r="M95" i="696"/>
  <c r="AK94" i="696"/>
  <c r="AJ94" i="696"/>
  <c r="AG94" i="696"/>
  <c r="AF94" i="696"/>
  <c r="W94" i="696"/>
  <c r="H94" i="696"/>
  <c r="AK93" i="696"/>
  <c r="AJ93" i="696"/>
  <c r="AG93" i="696"/>
  <c r="AF93" i="696"/>
  <c r="W93" i="696"/>
  <c r="H93" i="696"/>
  <c r="AK92" i="696"/>
  <c r="AJ92" i="696"/>
  <c r="AG92" i="696"/>
  <c r="AF92" i="696"/>
  <c r="W92" i="696"/>
  <c r="H92" i="696"/>
  <c r="AK91" i="696"/>
  <c r="AJ91" i="696"/>
  <c r="AG91" i="696"/>
  <c r="AF91" i="696"/>
  <c r="W91" i="696"/>
  <c r="H91" i="696"/>
  <c r="AK90" i="696"/>
  <c r="AJ90" i="696"/>
  <c r="AG90" i="696"/>
  <c r="AF90" i="696"/>
  <c r="W90" i="696"/>
  <c r="H90" i="696"/>
  <c r="AK89" i="696"/>
  <c r="AJ89" i="696"/>
  <c r="W89" i="696"/>
  <c r="N89" i="696" s="1"/>
  <c r="P89" i="696"/>
  <c r="H89" i="696"/>
  <c r="AK88" i="696"/>
  <c r="AJ88" i="696"/>
  <c r="W88" i="696"/>
  <c r="N88" i="696" s="1"/>
  <c r="P88" i="696"/>
  <c r="H88" i="696"/>
  <c r="AK87" i="696"/>
  <c r="AJ87" i="696"/>
  <c r="W87" i="696"/>
  <c r="N87" i="696" s="1"/>
  <c r="AF87" i="696" s="1"/>
  <c r="P87" i="696"/>
  <c r="H87" i="696"/>
  <c r="AK86" i="696"/>
  <c r="AJ86" i="696"/>
  <c r="W86" i="696"/>
  <c r="N86" i="696" s="1"/>
  <c r="AG86" i="696" s="1"/>
  <c r="P86" i="696"/>
  <c r="H86" i="696"/>
  <c r="AK85" i="696"/>
  <c r="AJ85" i="696"/>
  <c r="W85" i="696"/>
  <c r="N85" i="696" s="1"/>
  <c r="P85" i="696"/>
  <c r="O85" i="696"/>
  <c r="H85" i="696"/>
  <c r="AK84" i="696"/>
  <c r="AK83" i="696" s="1"/>
  <c r="AJ84" i="696"/>
  <c r="W84" i="696"/>
  <c r="N84" i="696" s="1"/>
  <c r="AG84" i="696" s="1"/>
  <c r="P84" i="696"/>
  <c r="H84" i="696"/>
  <c r="AJ83" i="696"/>
  <c r="AG83" i="696"/>
  <c r="W83" i="696"/>
  <c r="N83" i="696"/>
  <c r="H83" i="696"/>
  <c r="AE82" i="696"/>
  <c r="AD82" i="696"/>
  <c r="AA82" i="696"/>
  <c r="Z82" i="696"/>
  <c r="M82" i="696"/>
  <c r="AJ81" i="696"/>
  <c r="AK81" i="696" s="1"/>
  <c r="W81" i="696"/>
  <c r="AK80" i="696"/>
  <c r="AJ80" i="696"/>
  <c r="AG80" i="696"/>
  <c r="AF80" i="696"/>
  <c r="W80" i="696"/>
  <c r="AJ79" i="696"/>
  <c r="AK79" i="696" s="1"/>
  <c r="AG79" i="696"/>
  <c r="AF79" i="696"/>
  <c r="W79" i="696"/>
  <c r="AK78" i="696"/>
  <c r="AJ78" i="696"/>
  <c r="AG78" i="696"/>
  <c r="AF78" i="696"/>
  <c r="W78" i="696"/>
  <c r="AK77" i="696"/>
  <c r="AJ77" i="696"/>
  <c r="AG77" i="696"/>
  <c r="AF77" i="696"/>
  <c r="W77" i="696"/>
  <c r="AK76" i="696"/>
  <c r="AJ76" i="696"/>
  <c r="AG76" i="696"/>
  <c r="AF76" i="696"/>
  <c r="W76" i="696"/>
  <c r="H76" i="696"/>
  <c r="AK75" i="696"/>
  <c r="AJ75" i="696"/>
  <c r="W75" i="696"/>
  <c r="O75" i="696"/>
  <c r="N75" i="696"/>
  <c r="P75" i="696"/>
  <c r="H75" i="696"/>
  <c r="AJ74" i="696"/>
  <c r="AK74" i="696" s="1"/>
  <c r="W74" i="696"/>
  <c r="N74" i="696"/>
  <c r="P74" i="696"/>
  <c r="H74" i="696"/>
  <c r="AJ73" i="696"/>
  <c r="AK73" i="696" s="1"/>
  <c r="W73" i="696"/>
  <c r="P73" i="696"/>
  <c r="N73" i="696"/>
  <c r="O73" i="696" s="1"/>
  <c r="AG73" i="696"/>
  <c r="H73" i="696"/>
  <c r="AJ72" i="696"/>
  <c r="AK72" i="696" s="1"/>
  <c r="W72" i="696"/>
  <c r="P72" i="696"/>
  <c r="N72" i="696"/>
  <c r="O72" i="696" s="1"/>
  <c r="AG72" i="696"/>
  <c r="H72" i="696"/>
  <c r="AJ71" i="696"/>
  <c r="AK71" i="696" s="1"/>
  <c r="AK70" i="696" s="1"/>
  <c r="W71" i="696"/>
  <c r="P71" i="696"/>
  <c r="N71" i="696"/>
  <c r="O71" i="696" s="1"/>
  <c r="AG71" i="696"/>
  <c r="H71" i="696"/>
  <c r="AJ70" i="696"/>
  <c r="W70" i="696"/>
  <c r="N70" i="696"/>
  <c r="N82" i="696" s="1"/>
  <c r="P82" i="696"/>
  <c r="H70" i="696"/>
  <c r="AE69" i="696"/>
  <c r="AD69" i="696"/>
  <c r="AA69" i="696"/>
  <c r="Z69" i="696"/>
  <c r="W69" i="696"/>
  <c r="M69" i="696"/>
  <c r="W68" i="696"/>
  <c r="H68" i="696"/>
  <c r="AG67" i="696"/>
  <c r="AF67" i="696"/>
  <c r="W67" i="696"/>
  <c r="H67" i="696"/>
  <c r="AG66" i="696"/>
  <c r="AF66" i="696"/>
  <c r="W66" i="696"/>
  <c r="H66" i="696"/>
  <c r="AG65" i="696"/>
  <c r="AF65" i="696"/>
  <c r="W65" i="696"/>
  <c r="H65" i="696"/>
  <c r="AG64" i="696"/>
  <c r="AF64" i="696"/>
  <c r="W64" i="696"/>
  <c r="H64" i="696"/>
  <c r="AG63" i="696"/>
  <c r="AF63" i="696"/>
  <c r="W63" i="696"/>
  <c r="H63" i="696"/>
  <c r="AG62" i="696"/>
  <c r="AF62" i="696"/>
  <c r="W62" i="696"/>
  <c r="H62" i="696"/>
  <c r="AG61" i="696"/>
  <c r="AF61" i="696"/>
  <c r="W61" i="696"/>
  <c r="H61" i="696"/>
  <c r="W60" i="696"/>
  <c r="N60" i="696" s="1"/>
  <c r="P60" i="696"/>
  <c r="H60" i="696"/>
  <c r="W59" i="696"/>
  <c r="N59" i="696"/>
  <c r="O59" i="696" s="1"/>
  <c r="P59" i="696"/>
  <c r="H59" i="696"/>
  <c r="W58" i="696"/>
  <c r="N58" i="696" s="1"/>
  <c r="P58" i="696"/>
  <c r="H58" i="696"/>
  <c r="W57" i="696"/>
  <c r="N57" i="696" s="1"/>
  <c r="P57" i="696"/>
  <c r="P69" i="696"/>
  <c r="H57" i="696"/>
  <c r="AE56" i="696"/>
  <c r="AD56" i="696"/>
  <c r="AA56" i="696"/>
  <c r="Z56" i="696"/>
  <c r="W56" i="696"/>
  <c r="M56" i="696"/>
  <c r="P56" i="696" s="1"/>
  <c r="W55" i="696"/>
  <c r="H55" i="696"/>
  <c r="AG54" i="696"/>
  <c r="AF54" i="696"/>
  <c r="W54" i="696"/>
  <c r="H54" i="696"/>
  <c r="AG53" i="696"/>
  <c r="AF53" i="696"/>
  <c r="W53" i="696"/>
  <c r="H53" i="696"/>
  <c r="AG52" i="696"/>
  <c r="AF52" i="696"/>
  <c r="W52" i="696"/>
  <c r="H52" i="696"/>
  <c r="AG51" i="696"/>
  <c r="AF51" i="696"/>
  <c r="W51" i="696"/>
  <c r="H51" i="696"/>
  <c r="W50" i="696"/>
  <c r="N50" i="696" s="1"/>
  <c r="P50" i="696"/>
  <c r="H50" i="696"/>
  <c r="AG49" i="696"/>
  <c r="W49" i="696"/>
  <c r="P49" i="696"/>
  <c r="N49" i="696"/>
  <c r="O49" i="696" s="1"/>
  <c r="AF49" i="696"/>
  <c r="H49" i="696"/>
  <c r="W48" i="696"/>
  <c r="N48" i="696" s="1"/>
  <c r="P48" i="696"/>
  <c r="H48" i="696"/>
  <c r="AG47" i="696"/>
  <c r="W47" i="696"/>
  <c r="P47" i="696"/>
  <c r="N47" i="696"/>
  <c r="O47" i="696" s="1"/>
  <c r="AF47" i="696"/>
  <c r="H47" i="696"/>
  <c r="W46" i="696"/>
  <c r="N46" i="696" s="1"/>
  <c r="P46" i="696"/>
  <c r="H46" i="696"/>
  <c r="AG45" i="696"/>
  <c r="W45" i="696"/>
  <c r="P45" i="696"/>
  <c r="N45" i="696"/>
  <c r="O45" i="696" s="1"/>
  <c r="AF45" i="696"/>
  <c r="H45" i="696"/>
  <c r="W44" i="696"/>
  <c r="N44" i="696" s="1"/>
  <c r="P44" i="696"/>
  <c r="H44" i="696"/>
  <c r="AE43" i="696"/>
  <c r="AD43" i="696"/>
  <c r="AA43" i="696"/>
  <c r="Z43" i="696"/>
  <c r="M43" i="696"/>
  <c r="AJ42" i="696"/>
  <c r="AK42" i="696" s="1"/>
  <c r="W42" i="696"/>
  <c r="H42" i="696"/>
  <c r="AJ41" i="696"/>
  <c r="AK41" i="696" s="1"/>
  <c r="W41" i="696"/>
  <c r="H41" i="696"/>
  <c r="AJ40" i="696"/>
  <c r="AK40" i="696" s="1"/>
  <c r="AG40" i="696"/>
  <c r="AF40" i="696"/>
  <c r="W40" i="696"/>
  <c r="H40" i="696"/>
  <c r="AJ39" i="696"/>
  <c r="AK39" i="696" s="1"/>
  <c r="AG39" i="696"/>
  <c r="AF39" i="696"/>
  <c r="W39" i="696"/>
  <c r="P39" i="696"/>
  <c r="H39" i="696"/>
  <c r="AJ38" i="696"/>
  <c r="AK38" i="696" s="1"/>
  <c r="AG38" i="696"/>
  <c r="AF38" i="696"/>
  <c r="W38" i="696"/>
  <c r="P38" i="696"/>
  <c r="H38" i="696"/>
  <c r="AJ37" i="696"/>
  <c r="AK37" i="696" s="1"/>
  <c r="AG37" i="696"/>
  <c r="AF37" i="696"/>
  <c r="W37" i="696"/>
  <c r="P37" i="696"/>
  <c r="H37" i="696"/>
  <c r="AK36" i="696"/>
  <c r="AJ36" i="696"/>
  <c r="W36" i="696"/>
  <c r="N36" i="696" s="1"/>
  <c r="P36" i="696"/>
  <c r="H36" i="696"/>
  <c r="AK35" i="696"/>
  <c r="AJ35" i="696"/>
  <c r="W35" i="696"/>
  <c r="N35" i="696" s="1"/>
  <c r="P35" i="696"/>
  <c r="H35" i="696"/>
  <c r="AK34" i="696"/>
  <c r="AJ34" i="696"/>
  <c r="W34" i="696"/>
  <c r="N34" i="696" s="1"/>
  <c r="P34" i="696"/>
  <c r="H34" i="696"/>
  <c r="AK33" i="696"/>
  <c r="AJ33" i="696"/>
  <c r="AF33" i="696"/>
  <c r="W33" i="696"/>
  <c r="N33" i="696" s="1"/>
  <c r="P33" i="696"/>
  <c r="H33" i="696"/>
  <c r="AK32" i="696"/>
  <c r="AJ32" i="696"/>
  <c r="W32" i="696"/>
  <c r="N32" i="696" s="1"/>
  <c r="AG32" i="696" s="1"/>
  <c r="P32" i="696"/>
  <c r="H32" i="696"/>
  <c r="AK31" i="696"/>
  <c r="AJ31" i="696"/>
  <c r="W31" i="696"/>
  <c r="N31" i="696"/>
  <c r="AG31" i="696" s="1"/>
  <c r="H31" i="696"/>
  <c r="AE30" i="696"/>
  <c r="AD30" i="696"/>
  <c r="AA30" i="696"/>
  <c r="Z30" i="696"/>
  <c r="M30" i="696"/>
  <c r="AJ29" i="696"/>
  <c r="AK29" i="696" s="1"/>
  <c r="AF29" i="696"/>
  <c r="W29" i="696"/>
  <c r="H29" i="696"/>
  <c r="AK28" i="696"/>
  <c r="AJ28" i="696"/>
  <c r="AG28" i="696"/>
  <c r="AF28" i="696"/>
  <c r="W28" i="696"/>
  <c r="H28" i="696"/>
  <c r="AK27" i="696"/>
  <c r="AJ27" i="696"/>
  <c r="AG27" i="696"/>
  <c r="AF27" i="696"/>
  <c r="W27" i="696"/>
  <c r="H27" i="696"/>
  <c r="AK26" i="696"/>
  <c r="AJ26" i="696"/>
  <c r="AG26" i="696"/>
  <c r="AF26" i="696"/>
  <c r="W26" i="696"/>
  <c r="H26" i="696"/>
  <c r="AK25" i="696"/>
  <c r="AJ25" i="696"/>
  <c r="W25" i="696"/>
  <c r="N25" i="696" s="1"/>
  <c r="O25" i="696" s="1"/>
  <c r="P25" i="696"/>
  <c r="H25" i="696"/>
  <c r="AK24" i="696"/>
  <c r="AJ24" i="696"/>
  <c r="W24" i="696"/>
  <c r="N24" i="696" s="1"/>
  <c r="AF24" i="696" s="1"/>
  <c r="P24" i="696"/>
  <c r="H24" i="696"/>
  <c r="AK23" i="696"/>
  <c r="AJ23" i="696"/>
  <c r="AG23" i="696"/>
  <c r="AF23" i="696"/>
  <c r="W23" i="696"/>
  <c r="N23" i="696" s="1"/>
  <c r="O23" i="696"/>
  <c r="P23" i="696"/>
  <c r="H23" i="696"/>
  <c r="AK22" i="696"/>
  <c r="AJ22" i="696"/>
  <c r="AG22" i="696"/>
  <c r="W22" i="696"/>
  <c r="N22" i="696" s="1"/>
  <c r="O22" i="696"/>
  <c r="AF22" i="696"/>
  <c r="P22" i="696"/>
  <c r="H22" i="696"/>
  <c r="AK21" i="696"/>
  <c r="AJ21" i="696"/>
  <c r="W21" i="696"/>
  <c r="N21" i="696" s="1"/>
  <c r="AG21" i="696" s="1"/>
  <c r="P21" i="696"/>
  <c r="H21" i="696"/>
  <c r="AK20" i="696"/>
  <c r="AJ20" i="696"/>
  <c r="W20" i="696"/>
  <c r="N20" i="696"/>
  <c r="AF20" i="696" s="1"/>
  <c r="H20" i="696"/>
  <c r="AJ19" i="696"/>
  <c r="AK19" i="696" s="1"/>
  <c r="AK18" i="696" s="1"/>
  <c r="W19" i="696"/>
  <c r="N19" i="696"/>
  <c r="O19" i="696" s="1"/>
  <c r="H19" i="696"/>
  <c r="AJ18" i="696"/>
  <c r="W18" i="696"/>
  <c r="O18" i="696"/>
  <c r="N18" i="696"/>
  <c r="AF18" i="696" s="1"/>
  <c r="P30" i="696"/>
  <c r="H18" i="696"/>
  <c r="AE17" i="696"/>
  <c r="AD17" i="696"/>
  <c r="AA17" i="696"/>
  <c r="Z17" i="696"/>
  <c r="W17" i="696"/>
  <c r="M17" i="696"/>
  <c r="AJ16" i="696"/>
  <c r="AK16" i="696" s="1"/>
  <c r="AG16" i="696"/>
  <c r="AF16" i="696"/>
  <c r="W16" i="696"/>
  <c r="H16" i="696"/>
  <c r="AJ15" i="696"/>
  <c r="AK15" i="696" s="1"/>
  <c r="AG15" i="696"/>
  <c r="AF15" i="696"/>
  <c r="W15" i="696"/>
  <c r="H15" i="696"/>
  <c r="AJ14" i="696"/>
  <c r="AK14" i="696" s="1"/>
  <c r="AG14" i="696"/>
  <c r="AF14" i="696"/>
  <c r="W14" i="696"/>
  <c r="H14" i="696"/>
  <c r="AJ13" i="696"/>
  <c r="AK13" i="696" s="1"/>
  <c r="W13" i="696"/>
  <c r="P13" i="696"/>
  <c r="N13" i="696"/>
  <c r="O13" i="696" s="1"/>
  <c r="AG13" i="696"/>
  <c r="H13" i="696"/>
  <c r="AJ12" i="696"/>
  <c r="AK12" i="696" s="1"/>
  <c r="W12" i="696"/>
  <c r="P12" i="696"/>
  <c r="N12" i="696"/>
  <c r="O12" i="696" s="1"/>
  <c r="AG12" i="696"/>
  <c r="H12" i="696"/>
  <c r="AJ11" i="696"/>
  <c r="AK11" i="696" s="1"/>
  <c r="W11" i="696"/>
  <c r="P11" i="696"/>
  <c r="N11" i="696"/>
  <c r="O11" i="696" s="1"/>
  <c r="AG11" i="696"/>
  <c r="H11" i="696"/>
  <c r="AJ10" i="696"/>
  <c r="AK10" i="696" s="1"/>
  <c r="W10" i="696"/>
  <c r="P10" i="696"/>
  <c r="N10" i="696"/>
  <c r="O10" i="696" s="1"/>
  <c r="AG10" i="696"/>
  <c r="H10" i="696"/>
  <c r="AJ9" i="696"/>
  <c r="AK9" i="696" s="1"/>
  <c r="AK5" i="696" s="1"/>
  <c r="W9" i="696"/>
  <c r="P9" i="696"/>
  <c r="N9" i="696"/>
  <c r="O9" i="696" s="1"/>
  <c r="AG9" i="696"/>
  <c r="H9" i="696"/>
  <c r="AK8" i="696"/>
  <c r="AJ8" i="696"/>
  <c r="W8" i="696"/>
  <c r="N8" i="696" s="1"/>
  <c r="P8" i="696"/>
  <c r="H8" i="696"/>
  <c r="AK7" i="696"/>
  <c r="AJ7" i="696"/>
  <c r="W7" i="696"/>
  <c r="P7" i="696"/>
  <c r="N7" i="696"/>
  <c r="O7" i="696" s="1"/>
  <c r="AG7" i="696"/>
  <c r="H7" i="696"/>
  <c r="AK6" i="696"/>
  <c r="AJ6" i="696"/>
  <c r="W6" i="696"/>
  <c r="N6" i="696" s="1"/>
  <c r="P6" i="696"/>
  <c r="H6" i="696"/>
  <c r="AJ5" i="696"/>
  <c r="W5" i="696"/>
  <c r="N5" i="696"/>
  <c r="N17" i="696" s="1"/>
  <c r="P5" i="696"/>
  <c r="H5" i="696"/>
  <c r="AE2" i="696"/>
  <c r="AD2" i="696"/>
  <c r="AA2" i="696"/>
  <c r="Z2" i="696"/>
  <c r="I2" i="696"/>
  <c r="I1" i="696"/>
  <c r="E1" i="696"/>
  <c r="AE173" i="695"/>
  <c r="AD173" i="695"/>
  <c r="AA173" i="695"/>
  <c r="Z173" i="695"/>
  <c r="M173" i="695"/>
  <c r="W172" i="695"/>
  <c r="H172" i="695"/>
  <c r="W171" i="695"/>
  <c r="H171" i="695"/>
  <c r="AG170" i="695"/>
  <c r="AF170" i="695"/>
  <c r="W170" i="695"/>
  <c r="H170" i="695"/>
  <c r="AG169" i="695"/>
  <c r="AF169" i="695"/>
  <c r="W169" i="695"/>
  <c r="H169" i="695"/>
  <c r="AG168" i="695"/>
  <c r="AF168" i="695"/>
  <c r="W168" i="695"/>
  <c r="H168" i="695"/>
  <c r="AG167" i="695"/>
  <c r="AF167" i="695"/>
  <c r="W167" i="695"/>
  <c r="H167" i="695"/>
  <c r="W166" i="695"/>
  <c r="N166" i="695" s="1"/>
  <c r="P166" i="695"/>
  <c r="H166" i="695"/>
  <c r="AG165" i="695"/>
  <c r="W165" i="695"/>
  <c r="P165" i="695"/>
  <c r="N165" i="695"/>
  <c r="O165" i="695" s="1"/>
  <c r="H165" i="695"/>
  <c r="W164" i="695"/>
  <c r="N164" i="695" s="1"/>
  <c r="P164" i="695"/>
  <c r="H164" i="695"/>
  <c r="AG163" i="695"/>
  <c r="W163" i="695"/>
  <c r="P163" i="695"/>
  <c r="N163" i="695"/>
  <c r="O163" i="695" s="1"/>
  <c r="H163" i="695"/>
  <c r="W162" i="695"/>
  <c r="N162" i="695" s="1"/>
  <c r="P162" i="695"/>
  <c r="H162" i="695"/>
  <c r="W161" i="695"/>
  <c r="N161" i="695" s="1"/>
  <c r="P161" i="695"/>
  <c r="H161" i="695"/>
  <c r="AE160" i="695"/>
  <c r="AD160" i="695"/>
  <c r="AA160" i="695"/>
  <c r="Z160" i="695"/>
  <c r="M160" i="695"/>
  <c r="W159" i="695"/>
  <c r="H159" i="695"/>
  <c r="W158" i="695"/>
  <c r="H158" i="695"/>
  <c r="W157" i="695"/>
  <c r="H157" i="695"/>
  <c r="W156" i="695"/>
  <c r="H156" i="695"/>
  <c r="AG155" i="695"/>
  <c r="AF155" i="695"/>
  <c r="W155" i="695"/>
  <c r="H155" i="695"/>
  <c r="AG154" i="695"/>
  <c r="AF154" i="695"/>
  <c r="W154" i="695"/>
  <c r="H154" i="695"/>
  <c r="AG153" i="695"/>
  <c r="AF153" i="695"/>
  <c r="W153" i="695"/>
  <c r="H153" i="695"/>
  <c r="AG152" i="695"/>
  <c r="AF152" i="695"/>
  <c r="W152" i="695"/>
  <c r="H152" i="695"/>
  <c r="AG151" i="695"/>
  <c r="AF151" i="695"/>
  <c r="W151" i="695"/>
  <c r="H151" i="695"/>
  <c r="W150" i="695"/>
  <c r="N150" i="695" s="1"/>
  <c r="P150" i="695"/>
  <c r="H150" i="695"/>
  <c r="W149" i="695"/>
  <c r="N149" i="695"/>
  <c r="O149" i="695" s="1"/>
  <c r="P149" i="695"/>
  <c r="H149" i="695"/>
  <c r="W148" i="695"/>
  <c r="N148" i="695"/>
  <c r="P160" i="695"/>
  <c r="H148" i="695"/>
  <c r="AE147" i="695"/>
  <c r="AD147" i="695"/>
  <c r="AA147" i="695"/>
  <c r="Z147" i="695"/>
  <c r="W147" i="695"/>
  <c r="M147" i="695"/>
  <c r="AK146" i="695"/>
  <c r="AJ146" i="695"/>
  <c r="W146" i="695"/>
  <c r="H146" i="695"/>
  <c r="AJ145" i="695"/>
  <c r="AK145" i="695" s="1"/>
  <c r="AG145" i="695"/>
  <c r="AF145" i="695"/>
  <c r="W145" i="695"/>
  <c r="H145" i="695"/>
  <c r="AJ144" i="695"/>
  <c r="AK144" i="695" s="1"/>
  <c r="AG144" i="695"/>
  <c r="AF144" i="695"/>
  <c r="W144" i="695"/>
  <c r="H144" i="695"/>
  <c r="AJ143" i="695"/>
  <c r="AK143" i="695" s="1"/>
  <c r="AG143" i="695"/>
  <c r="AF143" i="695"/>
  <c r="W143" i="695"/>
  <c r="H143" i="695"/>
  <c r="AJ142" i="695"/>
  <c r="AK142" i="695" s="1"/>
  <c r="AG142" i="695"/>
  <c r="W142" i="695"/>
  <c r="P142" i="695"/>
  <c r="N142" i="695"/>
  <c r="O142" i="695" s="1"/>
  <c r="AF142" i="695"/>
  <c r="H142" i="695"/>
  <c r="AJ141" i="695"/>
  <c r="AK141" i="695" s="1"/>
  <c r="W141" i="695"/>
  <c r="P141" i="695"/>
  <c r="N141" i="695"/>
  <c r="O141" i="695" s="1"/>
  <c r="AG141" i="695"/>
  <c r="H141" i="695"/>
  <c r="AJ140" i="695"/>
  <c r="AK140" i="695" s="1"/>
  <c r="W140" i="695"/>
  <c r="P140" i="695"/>
  <c r="N140" i="695"/>
  <c r="O140" i="695" s="1"/>
  <c r="AG140" i="695"/>
  <c r="H140" i="695"/>
  <c r="AK139" i="695"/>
  <c r="AJ139" i="695"/>
  <c r="W139" i="695"/>
  <c r="N139" i="695" s="1"/>
  <c r="P139" i="695"/>
  <c r="H139" i="695"/>
  <c r="AK138" i="695"/>
  <c r="AJ138" i="695"/>
  <c r="W138" i="695"/>
  <c r="N138" i="695" s="1"/>
  <c r="P138" i="695"/>
  <c r="H138" i="695"/>
  <c r="AK137" i="695"/>
  <c r="AJ137" i="695"/>
  <c r="W137" i="695"/>
  <c r="N137" i="695" s="1"/>
  <c r="P137" i="695"/>
  <c r="H137" i="695"/>
  <c r="AK136" i="695"/>
  <c r="AJ136" i="695"/>
  <c r="W136" i="695"/>
  <c r="N136" i="695" s="1"/>
  <c r="P136" i="695"/>
  <c r="H136" i="695"/>
  <c r="AJ135" i="695"/>
  <c r="W135" i="695"/>
  <c r="N135" i="695"/>
  <c r="O135" i="695" s="1"/>
  <c r="P135" i="695"/>
  <c r="H135" i="695"/>
  <c r="AE134" i="695"/>
  <c r="AD134" i="695"/>
  <c r="AA134" i="695"/>
  <c r="Z134" i="695"/>
  <c r="M134" i="695"/>
  <c r="AJ133" i="695"/>
  <c r="AK133" i="695" s="1"/>
  <c r="W133" i="695"/>
  <c r="H133" i="695"/>
  <c r="AJ132" i="695"/>
  <c r="AK132" i="695" s="1"/>
  <c r="W132" i="695"/>
  <c r="H132" i="695"/>
  <c r="AJ131" i="695"/>
  <c r="AK131" i="695" s="1"/>
  <c r="AG131" i="695"/>
  <c r="AF131" i="695"/>
  <c r="W131" i="695"/>
  <c r="H131" i="695"/>
  <c r="AJ130" i="695"/>
  <c r="AK130" i="695" s="1"/>
  <c r="AG130" i="695"/>
  <c r="AF130" i="695"/>
  <c r="W130" i="695"/>
  <c r="H130" i="695"/>
  <c r="AJ129" i="695"/>
  <c r="AK129" i="695" s="1"/>
  <c r="W129" i="695"/>
  <c r="N129" i="695"/>
  <c r="AF129" i="695" s="1"/>
  <c r="P129" i="695"/>
  <c r="H129" i="695"/>
  <c r="AJ128" i="695"/>
  <c r="AK128" i="695" s="1"/>
  <c r="W128" i="695"/>
  <c r="N128" i="695"/>
  <c r="AF128" i="695" s="1"/>
  <c r="P128" i="695"/>
  <c r="H128" i="695"/>
  <c r="AJ127" i="695"/>
  <c r="AK127" i="695" s="1"/>
  <c r="W127" i="695"/>
  <c r="N127" i="695"/>
  <c r="AF127" i="695" s="1"/>
  <c r="P127" i="695"/>
  <c r="H127" i="695"/>
  <c r="AJ126" i="695"/>
  <c r="AK126" i="695" s="1"/>
  <c r="W126" i="695"/>
  <c r="N126" i="695"/>
  <c r="AF126" i="695" s="1"/>
  <c r="P126" i="695"/>
  <c r="H126" i="695"/>
  <c r="AJ125" i="695"/>
  <c r="AK125" i="695" s="1"/>
  <c r="W125" i="695"/>
  <c r="N125" i="695"/>
  <c r="AF125" i="695" s="1"/>
  <c r="P125" i="695"/>
  <c r="H125" i="695"/>
  <c r="AJ124" i="695"/>
  <c r="AK124" i="695" s="1"/>
  <c r="W124" i="695"/>
  <c r="N124" i="695"/>
  <c r="AF124" i="695" s="1"/>
  <c r="P124" i="695"/>
  <c r="H124" i="695"/>
  <c r="AJ123" i="695"/>
  <c r="AK123" i="695" s="1"/>
  <c r="W123" i="695"/>
  <c r="N123" i="695"/>
  <c r="AF123" i="695" s="1"/>
  <c r="P123" i="695"/>
  <c r="H123" i="695"/>
  <c r="AJ122" i="695"/>
  <c r="W122" i="695"/>
  <c r="N122" i="695" s="1"/>
  <c r="P122" i="695"/>
  <c r="P134" i="695"/>
  <c r="H122" i="695"/>
  <c r="AE121" i="695"/>
  <c r="AD121" i="695"/>
  <c r="AA121" i="695"/>
  <c r="Z121" i="695"/>
  <c r="W121" i="695"/>
  <c r="M121" i="695"/>
  <c r="AJ120" i="695"/>
  <c r="AK120" i="695" s="1"/>
  <c r="AG120" i="695"/>
  <c r="AF120" i="695"/>
  <c r="W120" i="695"/>
  <c r="H120" i="695"/>
  <c r="AJ119" i="695"/>
  <c r="AK119" i="695" s="1"/>
  <c r="AG119" i="695"/>
  <c r="AF119" i="695"/>
  <c r="W119" i="695"/>
  <c r="H119" i="695"/>
  <c r="AJ118" i="695"/>
  <c r="AK118" i="695" s="1"/>
  <c r="AG118" i="695"/>
  <c r="AF118" i="695"/>
  <c r="W118" i="695"/>
  <c r="H118" i="695"/>
  <c r="AJ117" i="695"/>
  <c r="AK117" i="695" s="1"/>
  <c r="AG117" i="695"/>
  <c r="AF117" i="695"/>
  <c r="W117" i="695"/>
  <c r="H117" i="695"/>
  <c r="AJ116" i="695"/>
  <c r="AK116" i="695" s="1"/>
  <c r="W116" i="695"/>
  <c r="N116" i="695"/>
  <c r="O116" i="695" s="1"/>
  <c r="P116" i="695"/>
  <c r="H116" i="695"/>
  <c r="AJ115" i="695"/>
  <c r="AK115" i="695" s="1"/>
  <c r="AG115" i="695"/>
  <c r="W115" i="695"/>
  <c r="N115" i="695"/>
  <c r="O115" i="695" s="1"/>
  <c r="P115" i="695"/>
  <c r="H115" i="695"/>
  <c r="AJ114" i="695"/>
  <c r="AK114" i="695" s="1"/>
  <c r="AG114" i="695"/>
  <c r="W114" i="695"/>
  <c r="N114" i="695"/>
  <c r="O114" i="695" s="1"/>
  <c r="P114" i="695"/>
  <c r="H114" i="695"/>
  <c r="AJ113" i="695"/>
  <c r="AK113" i="695" s="1"/>
  <c r="AG113" i="695"/>
  <c r="W113" i="695"/>
  <c r="P113" i="695"/>
  <c r="N113" i="695"/>
  <c r="O113" i="695" s="1"/>
  <c r="H113" i="695"/>
  <c r="AJ112" i="695"/>
  <c r="AK112" i="695" s="1"/>
  <c r="AG112" i="695"/>
  <c r="W112" i="695"/>
  <c r="P112" i="695"/>
  <c r="N112" i="695"/>
  <c r="O112" i="695" s="1"/>
  <c r="AF112" i="695"/>
  <c r="H112" i="695"/>
  <c r="AJ111" i="695"/>
  <c r="AK111" i="695" s="1"/>
  <c r="AG111" i="695"/>
  <c r="W111" i="695"/>
  <c r="P111" i="695"/>
  <c r="N111" i="695"/>
  <c r="O111" i="695" s="1"/>
  <c r="R111" i="695" s="1"/>
  <c r="AF111" i="695"/>
  <c r="H111" i="695"/>
  <c r="AJ110" i="695"/>
  <c r="AK110" i="695" s="1"/>
  <c r="AG110" i="695"/>
  <c r="W110" i="695"/>
  <c r="P110" i="695"/>
  <c r="N110" i="695"/>
  <c r="O110" i="695" s="1"/>
  <c r="Q110" i="695"/>
  <c r="AF110" i="695"/>
  <c r="H110" i="695"/>
  <c r="AJ109" i="695"/>
  <c r="W109" i="695"/>
  <c r="N109" i="695"/>
  <c r="H109" i="695"/>
  <c r="AE108" i="695"/>
  <c r="AD108" i="695"/>
  <c r="AA108" i="695"/>
  <c r="Z108" i="695"/>
  <c r="W108" i="695"/>
  <c r="M108" i="695"/>
  <c r="P108" i="695" s="1"/>
  <c r="W107" i="695"/>
  <c r="H107" i="695"/>
  <c r="AG106" i="695"/>
  <c r="AF106" i="695"/>
  <c r="W106" i="695"/>
  <c r="H106" i="695"/>
  <c r="AG105" i="695"/>
  <c r="AF105" i="695"/>
  <c r="W105" i="695"/>
  <c r="H105" i="695"/>
  <c r="AG104" i="695"/>
  <c r="AF104" i="695"/>
  <c r="W104" i="695"/>
  <c r="H104" i="695"/>
  <c r="AG103" i="695"/>
  <c r="AF103" i="695"/>
  <c r="W103" i="695"/>
  <c r="H103" i="695"/>
  <c r="AG102" i="695"/>
  <c r="AF102" i="695"/>
  <c r="W102" i="695"/>
  <c r="H102" i="695"/>
  <c r="W101" i="695"/>
  <c r="N101" i="695" s="1"/>
  <c r="O101" i="695"/>
  <c r="P101" i="695"/>
  <c r="H101" i="695"/>
  <c r="W100" i="695"/>
  <c r="N100" i="695"/>
  <c r="P100" i="695"/>
  <c r="H100" i="695"/>
  <c r="W99" i="695"/>
  <c r="N99" i="695" s="1"/>
  <c r="P99" i="695"/>
  <c r="H99" i="695"/>
  <c r="W98" i="695"/>
  <c r="N98" i="695"/>
  <c r="P98" i="695"/>
  <c r="H98" i="695"/>
  <c r="W97" i="695"/>
  <c r="N97" i="695" s="1"/>
  <c r="AG97" i="695" s="1"/>
  <c r="P97" i="695"/>
  <c r="H97" i="695"/>
  <c r="W96" i="695"/>
  <c r="N96" i="695" s="1"/>
  <c r="O96" i="695"/>
  <c r="Q96" i="695" s="1"/>
  <c r="H96" i="695"/>
  <c r="AE95" i="695"/>
  <c r="AD95" i="695"/>
  <c r="AA95" i="695"/>
  <c r="Z95" i="695"/>
  <c r="M95" i="695"/>
  <c r="AK94" i="695"/>
  <c r="AJ94" i="695"/>
  <c r="AG94" i="695"/>
  <c r="AF94" i="695"/>
  <c r="W94" i="695"/>
  <c r="H94" i="695"/>
  <c r="AK93" i="695"/>
  <c r="AJ93" i="695"/>
  <c r="AG93" i="695"/>
  <c r="AF93" i="695"/>
  <c r="W93" i="695"/>
  <c r="H93" i="695"/>
  <c r="AK92" i="695"/>
  <c r="AJ92" i="695"/>
  <c r="AG92" i="695"/>
  <c r="AF92" i="695"/>
  <c r="W92" i="695"/>
  <c r="H92" i="695"/>
  <c r="AK91" i="695"/>
  <c r="AJ91" i="695"/>
  <c r="AG91" i="695"/>
  <c r="AF91" i="695"/>
  <c r="W91" i="695"/>
  <c r="H91" i="695"/>
  <c r="AK90" i="695"/>
  <c r="AJ90" i="695"/>
  <c r="W90" i="695"/>
  <c r="N90" i="695" s="1"/>
  <c r="P90" i="695"/>
  <c r="H90" i="695"/>
  <c r="AK89" i="695"/>
  <c r="AJ89" i="695"/>
  <c r="W89" i="695"/>
  <c r="N89" i="695" s="1"/>
  <c r="P89" i="695"/>
  <c r="H89" i="695"/>
  <c r="AK88" i="695"/>
  <c r="AJ88" i="695"/>
  <c r="W88" i="695"/>
  <c r="N88" i="695" s="1"/>
  <c r="P88" i="695"/>
  <c r="H88" i="695"/>
  <c r="AK87" i="695"/>
  <c r="AJ87" i="695"/>
  <c r="W87" i="695"/>
  <c r="N87" i="695" s="1"/>
  <c r="P87" i="695"/>
  <c r="H87" i="695"/>
  <c r="AK86" i="695"/>
  <c r="AJ86" i="695"/>
  <c r="W86" i="695"/>
  <c r="N86" i="695" s="1"/>
  <c r="P86" i="695"/>
  <c r="H86" i="695"/>
  <c r="AK85" i="695"/>
  <c r="AJ85" i="695"/>
  <c r="W85" i="695"/>
  <c r="N85" i="695" s="1"/>
  <c r="P85" i="695"/>
  <c r="H85" i="695"/>
  <c r="AK84" i="695"/>
  <c r="AJ84" i="695"/>
  <c r="W84" i="695"/>
  <c r="N84" i="695" s="1"/>
  <c r="P84" i="695"/>
  <c r="H84" i="695"/>
  <c r="AK83" i="695"/>
  <c r="AJ83" i="695"/>
  <c r="W83" i="695"/>
  <c r="N83" i="695"/>
  <c r="O83" i="695" s="1"/>
  <c r="P83" i="695"/>
  <c r="H83" i="695"/>
  <c r="AE82" i="695"/>
  <c r="AD82" i="695"/>
  <c r="AA82" i="695"/>
  <c r="Z82" i="695"/>
  <c r="M82" i="695"/>
  <c r="AJ81" i="695"/>
  <c r="AK81" i="695" s="1"/>
  <c r="W81" i="695"/>
  <c r="AJ80" i="695"/>
  <c r="AK80" i="695" s="1"/>
  <c r="AG80" i="695"/>
  <c r="AF80" i="695"/>
  <c r="W80" i="695"/>
  <c r="AJ79" i="695"/>
  <c r="AK79" i="695" s="1"/>
  <c r="AG79" i="695"/>
  <c r="AF79" i="695"/>
  <c r="W79" i="695"/>
  <c r="AJ78" i="695"/>
  <c r="AK78" i="695" s="1"/>
  <c r="AG78" i="695"/>
  <c r="AF78" i="695"/>
  <c r="W78" i="695"/>
  <c r="AK77" i="695"/>
  <c r="AJ77" i="695"/>
  <c r="AG77" i="695"/>
  <c r="AF77" i="695"/>
  <c r="W77" i="695"/>
  <c r="AJ76" i="695"/>
  <c r="AK76" i="695" s="1"/>
  <c r="AG76" i="695"/>
  <c r="AF76" i="695"/>
  <c r="W76" i="695"/>
  <c r="H76" i="695"/>
  <c r="AJ75" i="695"/>
  <c r="AK75" i="695" s="1"/>
  <c r="AK70" i="695" s="1"/>
  <c r="W75" i="695"/>
  <c r="N75" i="695"/>
  <c r="AF75" i="695" s="1"/>
  <c r="P75" i="695"/>
  <c r="H75" i="695"/>
  <c r="AK74" i="695"/>
  <c r="AJ74" i="695"/>
  <c r="W74" i="695"/>
  <c r="N74" i="695" s="1"/>
  <c r="P74" i="695"/>
  <c r="H74" i="695"/>
  <c r="AK73" i="695"/>
  <c r="AJ73" i="695"/>
  <c r="W73" i="695"/>
  <c r="N73" i="695" s="1"/>
  <c r="P73" i="695"/>
  <c r="H73" i="695"/>
  <c r="AK72" i="695"/>
  <c r="AJ72" i="695"/>
  <c r="W72" i="695"/>
  <c r="N72" i="695" s="1"/>
  <c r="P72" i="695"/>
  <c r="H72" i="695"/>
  <c r="AK71" i="695"/>
  <c r="AJ71" i="695"/>
  <c r="W71" i="695"/>
  <c r="N71" i="695" s="1"/>
  <c r="P71" i="695"/>
  <c r="H71" i="695"/>
  <c r="AJ70" i="695"/>
  <c r="W70" i="695"/>
  <c r="N70" i="695" s="1"/>
  <c r="P70" i="695"/>
  <c r="H70" i="695"/>
  <c r="AE69" i="695"/>
  <c r="AD69" i="695"/>
  <c r="AA69" i="695"/>
  <c r="Z69" i="695"/>
  <c r="W69" i="695"/>
  <c r="M69" i="695"/>
  <c r="W68" i="695"/>
  <c r="H68" i="695"/>
  <c r="AG67" i="695"/>
  <c r="AF67" i="695"/>
  <c r="W67" i="695"/>
  <c r="H67" i="695"/>
  <c r="AG66" i="695"/>
  <c r="AF66" i="695"/>
  <c r="W66" i="695"/>
  <c r="H66" i="695"/>
  <c r="AG65" i="695"/>
  <c r="AF65" i="695"/>
  <c r="W65" i="695"/>
  <c r="H65" i="695"/>
  <c r="AG64" i="695"/>
  <c r="AF64" i="695"/>
  <c r="W64" i="695"/>
  <c r="H64" i="695"/>
  <c r="AG63" i="695"/>
  <c r="AF63" i="695"/>
  <c r="W63" i="695"/>
  <c r="H63" i="695"/>
  <c r="AG62" i="695"/>
  <c r="AF62" i="695"/>
  <c r="W62" i="695"/>
  <c r="H62" i="695"/>
  <c r="AG61" i="695"/>
  <c r="AF61" i="695"/>
  <c r="W61" i="695"/>
  <c r="H61" i="695"/>
  <c r="W60" i="695"/>
  <c r="N60" i="695"/>
  <c r="O60" i="695" s="1"/>
  <c r="P60" i="695"/>
  <c r="H60" i="695"/>
  <c r="W59" i="695"/>
  <c r="N59" i="695" s="1"/>
  <c r="P59" i="695"/>
  <c r="H59" i="695"/>
  <c r="W58" i="695"/>
  <c r="N58" i="695"/>
  <c r="O58" i="695" s="1"/>
  <c r="P58" i="695"/>
  <c r="H58" i="695"/>
  <c r="W57" i="695"/>
  <c r="N57" i="695"/>
  <c r="O57" i="695" s="1"/>
  <c r="P69" i="695"/>
  <c r="H57" i="695"/>
  <c r="AE56" i="695"/>
  <c r="AD56" i="695"/>
  <c r="AA56" i="695"/>
  <c r="Z56" i="695"/>
  <c r="W56" i="695"/>
  <c r="M56" i="695"/>
  <c r="W55" i="695"/>
  <c r="H55" i="695"/>
  <c r="AG54" i="695"/>
  <c r="AF54" i="695"/>
  <c r="W54" i="695"/>
  <c r="H54" i="695"/>
  <c r="AG53" i="695"/>
  <c r="AF53" i="695"/>
  <c r="W53" i="695"/>
  <c r="H53" i="695"/>
  <c r="AG52" i="695"/>
  <c r="AF52" i="695"/>
  <c r="W52" i="695"/>
  <c r="H52" i="695"/>
  <c r="AG51" i="695"/>
  <c r="AF51" i="695"/>
  <c r="W51" i="695"/>
  <c r="H51" i="695"/>
  <c r="W50" i="695"/>
  <c r="P50" i="695"/>
  <c r="N50" i="695"/>
  <c r="O50" i="695" s="1"/>
  <c r="AG50" i="695"/>
  <c r="H50" i="695"/>
  <c r="W49" i="695"/>
  <c r="N49" i="695"/>
  <c r="AF49" i="695" s="1"/>
  <c r="P49" i="695"/>
  <c r="H49" i="695"/>
  <c r="W48" i="695"/>
  <c r="P48" i="695"/>
  <c r="N48" i="695"/>
  <c r="O48" i="695" s="1"/>
  <c r="AG48" i="695"/>
  <c r="H48" i="695"/>
  <c r="W47" i="695"/>
  <c r="N47" i="695"/>
  <c r="AF47" i="695" s="1"/>
  <c r="P47" i="695"/>
  <c r="H47" i="695"/>
  <c r="W46" i="695"/>
  <c r="P46" i="695"/>
  <c r="N46" i="695"/>
  <c r="O46" i="695" s="1"/>
  <c r="AG46" i="695"/>
  <c r="H46" i="695"/>
  <c r="W45" i="695"/>
  <c r="N45" i="695"/>
  <c r="AF45" i="695" s="1"/>
  <c r="P45" i="695"/>
  <c r="H45" i="695"/>
  <c r="W44" i="695"/>
  <c r="O44" i="695"/>
  <c r="N44" i="695"/>
  <c r="AG44" i="695" s="1"/>
  <c r="P44" i="695"/>
  <c r="H44" i="695"/>
  <c r="AE43" i="695"/>
  <c r="AD43" i="695"/>
  <c r="AA43" i="695"/>
  <c r="Z43" i="695"/>
  <c r="M43" i="695"/>
  <c r="AK42" i="695"/>
  <c r="AJ42" i="695"/>
  <c r="W42" i="695"/>
  <c r="H42" i="695"/>
  <c r="AJ41" i="695"/>
  <c r="AK41" i="695" s="1"/>
  <c r="AK31" i="695" s="1"/>
  <c r="W41" i="695"/>
  <c r="H41" i="695"/>
  <c r="AK40" i="695"/>
  <c r="AJ40" i="695"/>
  <c r="AG40" i="695"/>
  <c r="AF40" i="695"/>
  <c r="W40" i="695"/>
  <c r="H40" i="695"/>
  <c r="AK39" i="695"/>
  <c r="AJ39" i="695"/>
  <c r="AG39" i="695"/>
  <c r="AF39" i="695"/>
  <c r="W39" i="695"/>
  <c r="H39" i="695"/>
  <c r="AK38" i="695"/>
  <c r="AJ38" i="695"/>
  <c r="AG38" i="695"/>
  <c r="AF38" i="695"/>
  <c r="W38" i="695"/>
  <c r="H38" i="695"/>
  <c r="AK37" i="695"/>
  <c r="AJ37" i="695"/>
  <c r="AG37" i="695"/>
  <c r="AF37" i="695"/>
  <c r="W37" i="695"/>
  <c r="H37" i="695"/>
  <c r="AK36" i="695"/>
  <c r="AJ36" i="695"/>
  <c r="W36" i="695"/>
  <c r="N36" i="695" s="1"/>
  <c r="P36" i="695"/>
  <c r="H36" i="695"/>
  <c r="AK35" i="695"/>
  <c r="AJ35" i="695"/>
  <c r="W35" i="695"/>
  <c r="N35" i="695" s="1"/>
  <c r="P35" i="695"/>
  <c r="H35" i="695"/>
  <c r="AK34" i="695"/>
  <c r="AJ34" i="695"/>
  <c r="W34" i="695"/>
  <c r="N34" i="695" s="1"/>
  <c r="P34" i="695"/>
  <c r="H34" i="695"/>
  <c r="AK33" i="695"/>
  <c r="AJ33" i="695"/>
  <c r="W33" i="695"/>
  <c r="N33" i="695" s="1"/>
  <c r="P33" i="695"/>
  <c r="H33" i="695"/>
  <c r="AK32" i="695"/>
  <c r="AJ32" i="695"/>
  <c r="W32" i="695"/>
  <c r="N32" i="695" s="1"/>
  <c r="P32" i="695"/>
  <c r="H32" i="695"/>
  <c r="AJ31" i="695"/>
  <c r="W31" i="695"/>
  <c r="P31" i="695"/>
  <c r="N31" i="695"/>
  <c r="AG31" i="695" s="1"/>
  <c r="P43" i="695"/>
  <c r="H31" i="695"/>
  <c r="AE30" i="695"/>
  <c r="AD30" i="695"/>
  <c r="AA30" i="695"/>
  <c r="Z30" i="695"/>
  <c r="M30" i="695"/>
  <c r="AJ29" i="695"/>
  <c r="AK29" i="695" s="1"/>
  <c r="AK18" i="695" s="1"/>
  <c r="AF29" i="695"/>
  <c r="W29" i="695"/>
  <c r="H29" i="695"/>
  <c r="AK28" i="695"/>
  <c r="AJ28" i="695"/>
  <c r="AG28" i="695"/>
  <c r="AF28" i="695"/>
  <c r="W28" i="695"/>
  <c r="H28" i="695"/>
  <c r="AK27" i="695"/>
  <c r="AJ27" i="695"/>
  <c r="AG27" i="695"/>
  <c r="AF27" i="695"/>
  <c r="W27" i="695"/>
  <c r="H27" i="695"/>
  <c r="AK26" i="695"/>
  <c r="AJ26" i="695"/>
  <c r="AG26" i="695"/>
  <c r="AF26" i="695"/>
  <c r="W26" i="695"/>
  <c r="H26" i="695"/>
  <c r="AK25" i="695"/>
  <c r="AJ25" i="695"/>
  <c r="W25" i="695"/>
  <c r="N25" i="695" s="1"/>
  <c r="P25" i="695"/>
  <c r="H25" i="695"/>
  <c r="AK24" i="695"/>
  <c r="AJ24" i="695"/>
  <c r="W24" i="695"/>
  <c r="N24" i="695" s="1"/>
  <c r="P24" i="695"/>
  <c r="H24" i="695"/>
  <c r="AK23" i="695"/>
  <c r="AJ23" i="695"/>
  <c r="AF23" i="695"/>
  <c r="W23" i="695"/>
  <c r="N23" i="695" s="1"/>
  <c r="O23" i="695" s="1"/>
  <c r="Q23" i="695" s="1"/>
  <c r="P23" i="695"/>
  <c r="H23" i="695"/>
  <c r="AK22" i="695"/>
  <c r="AJ22" i="695"/>
  <c r="AF22" i="695"/>
  <c r="W22" i="695"/>
  <c r="N22" i="695" s="1"/>
  <c r="O22" i="695" s="1"/>
  <c r="Q22" i="695" s="1"/>
  <c r="P22" i="695"/>
  <c r="AG22" i="695"/>
  <c r="H22" i="695"/>
  <c r="AK21" i="695"/>
  <c r="AJ21" i="695"/>
  <c r="AG21" i="695"/>
  <c r="AF21" i="695"/>
  <c r="W21" i="695"/>
  <c r="N21" i="695" s="1"/>
  <c r="O21" i="695" s="1"/>
  <c r="Q21" i="695" s="1"/>
  <c r="P21" i="695"/>
  <c r="H21" i="695"/>
  <c r="AK20" i="695"/>
  <c r="AJ20" i="695"/>
  <c r="AG20" i="695"/>
  <c r="AF20" i="695"/>
  <c r="W20" i="695"/>
  <c r="N20" i="695" s="1"/>
  <c r="O20" i="695" s="1"/>
  <c r="Q20" i="695" s="1"/>
  <c r="P20" i="695"/>
  <c r="H20" i="695"/>
  <c r="AK19" i="695"/>
  <c r="AJ19" i="695"/>
  <c r="AG19" i="695"/>
  <c r="AF19" i="695"/>
  <c r="W19" i="695"/>
  <c r="N19" i="695" s="1"/>
  <c r="O19" i="695" s="1"/>
  <c r="Q19" i="695" s="1"/>
  <c r="P19" i="695"/>
  <c r="H19" i="695"/>
  <c r="AJ18" i="695"/>
  <c r="W18" i="695"/>
  <c r="N18" i="695"/>
  <c r="H18" i="695"/>
  <c r="AE17" i="695"/>
  <c r="AE2" i="695" s="1"/>
  <c r="AD17" i="695"/>
  <c r="AA17" i="695"/>
  <c r="Z17" i="695"/>
  <c r="W17" i="695"/>
  <c r="M17" i="695"/>
  <c r="I1" i="695" s="1"/>
  <c r="AK16" i="695"/>
  <c r="AJ16" i="695"/>
  <c r="AG16" i="695"/>
  <c r="AF16" i="695"/>
  <c r="W16" i="695"/>
  <c r="H16" i="695"/>
  <c r="AK15" i="695"/>
  <c r="AJ15" i="695"/>
  <c r="AG15" i="695"/>
  <c r="AF15" i="695"/>
  <c r="W15" i="695"/>
  <c r="H15" i="695"/>
  <c r="AK14" i="695"/>
  <c r="AJ14" i="695"/>
  <c r="AG14" i="695"/>
  <c r="AF14" i="695"/>
  <c r="W14" i="695"/>
  <c r="H14" i="695"/>
  <c r="AK13" i="695"/>
  <c r="AJ13" i="695"/>
  <c r="AG13" i="695"/>
  <c r="AF13" i="695"/>
  <c r="W13" i="695"/>
  <c r="H13" i="695"/>
  <c r="AK12" i="695"/>
  <c r="AJ12" i="695"/>
  <c r="W12" i="695"/>
  <c r="N12" i="695"/>
  <c r="P12" i="695"/>
  <c r="H12" i="695"/>
  <c r="AK11" i="695"/>
  <c r="AJ11" i="695"/>
  <c r="W11" i="695"/>
  <c r="N11" i="695" s="1"/>
  <c r="P11" i="695"/>
  <c r="H11" i="695"/>
  <c r="AJ10" i="695"/>
  <c r="AK10" i="695" s="1"/>
  <c r="AF10" i="695"/>
  <c r="W10" i="695"/>
  <c r="O10" i="695"/>
  <c r="N10" i="695"/>
  <c r="AG10" i="695" s="1"/>
  <c r="P10" i="695"/>
  <c r="H10" i="695"/>
  <c r="AJ9" i="695"/>
  <c r="AK9" i="695" s="1"/>
  <c r="W9" i="695"/>
  <c r="O9" i="695"/>
  <c r="N9" i="695"/>
  <c r="P9" i="695"/>
  <c r="H9" i="695"/>
  <c r="AK8" i="695"/>
  <c r="AJ8" i="695"/>
  <c r="W8" i="695"/>
  <c r="N8" i="695"/>
  <c r="P8" i="695"/>
  <c r="H8" i="695"/>
  <c r="AK7" i="695"/>
  <c r="AJ7" i="695"/>
  <c r="W7" i="695"/>
  <c r="N7" i="695"/>
  <c r="AG7" i="695" s="1"/>
  <c r="P7" i="695"/>
  <c r="H7" i="695"/>
  <c r="AJ6" i="695"/>
  <c r="AK6" i="695" s="1"/>
  <c r="AF6" i="695"/>
  <c r="W6" i="695"/>
  <c r="O6" i="695"/>
  <c r="N6" i="695"/>
  <c r="AG6" i="695" s="1"/>
  <c r="P6" i="695"/>
  <c r="H6" i="695"/>
  <c r="AJ5" i="695"/>
  <c r="W5" i="695"/>
  <c r="N5" i="695" s="1"/>
  <c r="P5" i="695"/>
  <c r="H5" i="695"/>
  <c r="AD2" i="695"/>
  <c r="AA2" i="695"/>
  <c r="Z2" i="695"/>
  <c r="I2" i="695"/>
  <c r="E1" i="695"/>
  <c r="J124" i="694"/>
  <c r="H123" i="694"/>
  <c r="H122" i="694"/>
  <c r="H121" i="694"/>
  <c r="H120" i="694"/>
  <c r="H119" i="694"/>
  <c r="H118" i="694"/>
  <c r="P117" i="694"/>
  <c r="L117" i="694"/>
  <c r="K117" i="694"/>
  <c r="H117" i="694"/>
  <c r="P116" i="694"/>
  <c r="L116" i="694"/>
  <c r="K116" i="694"/>
  <c r="H116" i="694"/>
  <c r="P115" i="694"/>
  <c r="L115" i="694"/>
  <c r="K115" i="694"/>
  <c r="H115" i="694"/>
  <c r="P114" i="694"/>
  <c r="L114" i="694"/>
  <c r="K114" i="694"/>
  <c r="H114" i="694"/>
  <c r="P113" i="694"/>
  <c r="L113" i="694"/>
  <c r="K113" i="694"/>
  <c r="H113" i="694"/>
  <c r="P112" i="694"/>
  <c r="L112" i="694"/>
  <c r="L124" i="694" s="1"/>
  <c r="K112" i="694"/>
  <c r="K124" i="694" s="1"/>
  <c r="H112" i="694"/>
  <c r="J111" i="694"/>
  <c r="H110" i="694"/>
  <c r="H109" i="694"/>
  <c r="H108" i="694"/>
  <c r="H107" i="694"/>
  <c r="H106" i="694"/>
  <c r="P105" i="694"/>
  <c r="K105" i="694" s="1"/>
  <c r="L105" i="694" s="1"/>
  <c r="H105" i="694"/>
  <c r="P104" i="694"/>
  <c r="K104" i="694"/>
  <c r="L104" i="694" s="1"/>
  <c r="H104" i="694"/>
  <c r="P103" i="694"/>
  <c r="K103" i="694" s="1"/>
  <c r="L103" i="694" s="1"/>
  <c r="H103" i="694"/>
  <c r="P102" i="694"/>
  <c r="K102" i="694"/>
  <c r="L102" i="694" s="1"/>
  <c r="H102" i="694"/>
  <c r="P101" i="694"/>
  <c r="K101" i="694" s="1"/>
  <c r="H101" i="694"/>
  <c r="J100" i="694"/>
  <c r="H99" i="694"/>
  <c r="H98" i="694"/>
  <c r="H97" i="694"/>
  <c r="H96" i="694"/>
  <c r="H95" i="694"/>
  <c r="H94" i="694"/>
  <c r="P93" i="694"/>
  <c r="K93" i="694" s="1"/>
  <c r="L93" i="694" s="1"/>
  <c r="H93" i="694"/>
  <c r="P92" i="694"/>
  <c r="K92" i="694"/>
  <c r="K100" i="694" s="1"/>
  <c r="H92" i="694"/>
  <c r="J91" i="694"/>
  <c r="H90" i="694"/>
  <c r="H89" i="694"/>
  <c r="H88" i="694"/>
  <c r="H87" i="694"/>
  <c r="H86" i="694"/>
  <c r="H85" i="694"/>
  <c r="H84" i="694"/>
  <c r="P83" i="694"/>
  <c r="K83" i="694"/>
  <c r="L83" i="694" s="1"/>
  <c r="H83" i="694"/>
  <c r="P82" i="694"/>
  <c r="K82" i="694" s="1"/>
  <c r="H82" i="694"/>
  <c r="L81" i="694"/>
  <c r="K81" i="694"/>
  <c r="J81" i="694"/>
  <c r="H80" i="694"/>
  <c r="H79" i="694"/>
  <c r="H78" i="694"/>
  <c r="H77" i="694"/>
  <c r="H76" i="694"/>
  <c r="J75" i="694"/>
  <c r="H74" i="694"/>
  <c r="H73" i="694"/>
  <c r="H72" i="694"/>
  <c r="P71" i="694"/>
  <c r="K71" i="694"/>
  <c r="L71" i="694" s="1"/>
  <c r="H71" i="694"/>
  <c r="P70" i="694"/>
  <c r="K70" i="694" s="1"/>
  <c r="L70" i="694" s="1"/>
  <c r="H70" i="694"/>
  <c r="P69" i="694"/>
  <c r="K69" i="694"/>
  <c r="L69" i="694" s="1"/>
  <c r="H69" i="694"/>
  <c r="P68" i="694"/>
  <c r="K68" i="694" s="1"/>
  <c r="L68" i="694" s="1"/>
  <c r="H68" i="694"/>
  <c r="P67" i="694"/>
  <c r="K67" i="694"/>
  <c r="L67" i="694" s="1"/>
  <c r="H67" i="694"/>
  <c r="P66" i="694"/>
  <c r="K66" i="694" s="1"/>
  <c r="L66" i="694" s="1"/>
  <c r="H66" i="694"/>
  <c r="P65" i="694"/>
  <c r="K65" i="694"/>
  <c r="K75" i="694" s="1"/>
  <c r="H65" i="694"/>
  <c r="J64" i="694"/>
  <c r="H63" i="694"/>
  <c r="H62" i="694"/>
  <c r="H61" i="694"/>
  <c r="H60" i="694"/>
  <c r="H59" i="694"/>
  <c r="H58" i="694"/>
  <c r="P57" i="694"/>
  <c r="K57" i="694"/>
  <c r="L57" i="694" s="1"/>
  <c r="H57" i="694"/>
  <c r="P56" i="694"/>
  <c r="K56" i="694" s="1"/>
  <c r="L56" i="694" s="1"/>
  <c r="H56" i="694"/>
  <c r="P55" i="694"/>
  <c r="K55" i="694"/>
  <c r="L55" i="694" s="1"/>
  <c r="H55" i="694"/>
  <c r="P54" i="694"/>
  <c r="K54" i="694" s="1"/>
  <c r="L54" i="694" s="1"/>
  <c r="H54" i="694"/>
  <c r="P53" i="694"/>
  <c r="K53" i="694"/>
  <c r="L53" i="694" s="1"/>
  <c r="H53" i="694"/>
  <c r="P52" i="694"/>
  <c r="K52" i="694" s="1"/>
  <c r="H52" i="694"/>
  <c r="H50" i="694"/>
  <c r="H49" i="694"/>
  <c r="H47" i="694"/>
  <c r="H46" i="694"/>
  <c r="H45" i="694"/>
  <c r="H44" i="694"/>
  <c r="H43" i="694"/>
  <c r="H42" i="694"/>
  <c r="H41" i="694"/>
  <c r="P40" i="694"/>
  <c r="K40" i="694"/>
  <c r="L40" i="694" s="1"/>
  <c r="H40" i="694"/>
  <c r="P39" i="694"/>
  <c r="K39" i="694" s="1"/>
  <c r="L39" i="694" s="1"/>
  <c r="H39" i="694"/>
  <c r="J38" i="694"/>
  <c r="J51" i="694" s="1"/>
  <c r="I1" i="694" s="1"/>
  <c r="H37" i="694"/>
  <c r="H36" i="694"/>
  <c r="H35" i="694"/>
  <c r="H34" i="694"/>
  <c r="H33" i="694"/>
  <c r="H32" i="694"/>
  <c r="H31" i="694"/>
  <c r="P30" i="694"/>
  <c r="K30" i="694"/>
  <c r="L30" i="694" s="1"/>
  <c r="H30" i="694"/>
  <c r="P29" i="694"/>
  <c r="K29" i="694" s="1"/>
  <c r="L29" i="694" s="1"/>
  <c r="H29" i="694"/>
  <c r="P28" i="694"/>
  <c r="K28" i="694"/>
  <c r="L28" i="694" s="1"/>
  <c r="H28" i="694"/>
  <c r="P27" i="694"/>
  <c r="K27" i="694" s="1"/>
  <c r="L27" i="694" s="1"/>
  <c r="H27" i="694"/>
  <c r="P26" i="694"/>
  <c r="K26" i="694"/>
  <c r="L26" i="694" s="1"/>
  <c r="H26" i="694"/>
  <c r="P25" i="694"/>
  <c r="K25" i="694" s="1"/>
  <c r="H25" i="694"/>
  <c r="J24" i="694"/>
  <c r="H23" i="694"/>
  <c r="H22" i="694"/>
  <c r="P20" i="694"/>
  <c r="K20" i="694"/>
  <c r="L20" i="694" s="1"/>
  <c r="H20" i="694"/>
  <c r="P19" i="694"/>
  <c r="K19" i="694" s="1"/>
  <c r="L19" i="694" s="1"/>
  <c r="H19" i="694"/>
  <c r="P18" i="694"/>
  <c r="K18" i="694"/>
  <c r="L18" i="694" s="1"/>
  <c r="H18" i="694"/>
  <c r="P17" i="694"/>
  <c r="L17" i="694"/>
  <c r="L24" i="694" s="1"/>
  <c r="K17" i="694"/>
  <c r="K24" i="694" s="1"/>
  <c r="H17" i="694"/>
  <c r="J16" i="694"/>
  <c r="H15" i="694"/>
  <c r="H14" i="694"/>
  <c r="H13" i="694"/>
  <c r="H12" i="694"/>
  <c r="H11" i="694"/>
  <c r="H10" i="694"/>
  <c r="P8" i="694"/>
  <c r="K8" i="694"/>
  <c r="L8" i="694" s="1"/>
  <c r="H8" i="694"/>
  <c r="P7" i="694"/>
  <c r="L7" i="694"/>
  <c r="K7" i="694"/>
  <c r="H7" i="694"/>
  <c r="P6" i="694"/>
  <c r="K6" i="694" s="1"/>
  <c r="L6" i="694" s="1"/>
  <c r="H6" i="694"/>
  <c r="P5" i="694"/>
  <c r="L5" i="694"/>
  <c r="L16" i="694" s="1"/>
  <c r="K5" i="694"/>
  <c r="H5" i="694"/>
  <c r="I2" i="694"/>
  <c r="E1" i="694"/>
  <c r="J124" i="693"/>
  <c r="H123" i="693"/>
  <c r="H122" i="693"/>
  <c r="H121" i="693"/>
  <c r="H120" i="693"/>
  <c r="H119" i="693"/>
  <c r="H118" i="693"/>
  <c r="P117" i="693"/>
  <c r="K117" i="693" s="1"/>
  <c r="L117" i="693" s="1"/>
  <c r="H117" i="693"/>
  <c r="P116" i="693"/>
  <c r="L116" i="693"/>
  <c r="K116" i="693"/>
  <c r="H116" i="693"/>
  <c r="P115" i="693"/>
  <c r="K115" i="693" s="1"/>
  <c r="L115" i="693" s="1"/>
  <c r="H115" i="693"/>
  <c r="P114" i="693"/>
  <c r="L114" i="693"/>
  <c r="K114" i="693"/>
  <c r="H114" i="693"/>
  <c r="P113" i="693"/>
  <c r="K113" i="693" s="1"/>
  <c r="L113" i="693" s="1"/>
  <c r="H113" i="693"/>
  <c r="P112" i="693"/>
  <c r="L112" i="693"/>
  <c r="K112" i="693"/>
  <c r="H112" i="693"/>
  <c r="J111" i="693"/>
  <c r="H110" i="693"/>
  <c r="H109" i="693"/>
  <c r="H108" i="693"/>
  <c r="H107" i="693"/>
  <c r="H106" i="693"/>
  <c r="P105" i="693"/>
  <c r="K105" i="693" s="1"/>
  <c r="L105" i="693" s="1"/>
  <c r="H105" i="693"/>
  <c r="P104" i="693"/>
  <c r="K104" i="693"/>
  <c r="L104" i="693" s="1"/>
  <c r="H104" i="693"/>
  <c r="P103" i="693"/>
  <c r="K103" i="693" s="1"/>
  <c r="L103" i="693" s="1"/>
  <c r="H103" i="693"/>
  <c r="P102" i="693"/>
  <c r="K102" i="693"/>
  <c r="L102" i="693" s="1"/>
  <c r="H102" i="693"/>
  <c r="P101" i="693"/>
  <c r="K101" i="693" s="1"/>
  <c r="H101" i="693"/>
  <c r="J100" i="693"/>
  <c r="H99" i="693"/>
  <c r="H98" i="693"/>
  <c r="H97" i="693"/>
  <c r="H96" i="693"/>
  <c r="H95" i="693"/>
  <c r="H94" i="693"/>
  <c r="P93" i="693"/>
  <c r="K93" i="693" s="1"/>
  <c r="L93" i="693" s="1"/>
  <c r="H93" i="693"/>
  <c r="P92" i="693"/>
  <c r="K92" i="693"/>
  <c r="K100" i="693" s="1"/>
  <c r="H92" i="693"/>
  <c r="J91" i="693"/>
  <c r="H90" i="693"/>
  <c r="H89" i="693"/>
  <c r="H88" i="693"/>
  <c r="H87" i="693"/>
  <c r="H86" i="693"/>
  <c r="H85" i="693"/>
  <c r="H84" i="693"/>
  <c r="P83" i="693"/>
  <c r="K83" i="693" s="1"/>
  <c r="L83" i="693" s="1"/>
  <c r="H83" i="693"/>
  <c r="P82" i="693"/>
  <c r="L82" i="693"/>
  <c r="L91" i="693" s="1"/>
  <c r="K82" i="693"/>
  <c r="H82" i="693"/>
  <c r="L81" i="693"/>
  <c r="K81" i="693"/>
  <c r="J81" i="693"/>
  <c r="H80" i="693"/>
  <c r="H79" i="693"/>
  <c r="H78" i="693"/>
  <c r="H77" i="693"/>
  <c r="H76" i="693"/>
  <c r="J75" i="693"/>
  <c r="H74" i="693"/>
  <c r="H73" i="693"/>
  <c r="H72" i="693"/>
  <c r="P71" i="693"/>
  <c r="K71" i="693"/>
  <c r="L71" i="693" s="1"/>
  <c r="H71" i="693"/>
  <c r="P70" i="693"/>
  <c r="K70" i="693" s="1"/>
  <c r="L70" i="693" s="1"/>
  <c r="H70" i="693"/>
  <c r="P69" i="693"/>
  <c r="K69" i="693"/>
  <c r="L69" i="693" s="1"/>
  <c r="H69" i="693"/>
  <c r="P68" i="693"/>
  <c r="K68" i="693" s="1"/>
  <c r="L68" i="693" s="1"/>
  <c r="H68" i="693"/>
  <c r="P67" i="693"/>
  <c r="K67" i="693"/>
  <c r="L67" i="693" s="1"/>
  <c r="H67" i="693"/>
  <c r="P66" i="693"/>
  <c r="K66" i="693" s="1"/>
  <c r="L66" i="693" s="1"/>
  <c r="H66" i="693"/>
  <c r="P65" i="693"/>
  <c r="K65" i="693"/>
  <c r="K75" i="693" s="1"/>
  <c r="H65" i="693"/>
  <c r="J64" i="693"/>
  <c r="H63" i="693"/>
  <c r="H62" i="693"/>
  <c r="H61" i="693"/>
  <c r="H60" i="693"/>
  <c r="H59" i="693"/>
  <c r="H58" i="693"/>
  <c r="P57" i="693"/>
  <c r="L57" i="693"/>
  <c r="K57" i="693"/>
  <c r="H57" i="693"/>
  <c r="P56" i="693"/>
  <c r="K56" i="693"/>
  <c r="L56" i="693" s="1"/>
  <c r="H56" i="693"/>
  <c r="P55" i="693"/>
  <c r="L55" i="693"/>
  <c r="K55" i="693"/>
  <c r="H55" i="693"/>
  <c r="P54" i="693"/>
  <c r="K54" i="693" s="1"/>
  <c r="L54" i="693" s="1"/>
  <c r="H54" i="693"/>
  <c r="P53" i="693"/>
  <c r="L53" i="693"/>
  <c r="K53" i="693"/>
  <c r="H53" i="693"/>
  <c r="P52" i="693"/>
  <c r="K52" i="693"/>
  <c r="H52" i="693"/>
  <c r="H50" i="693"/>
  <c r="H49" i="693"/>
  <c r="H47" i="693"/>
  <c r="H46" i="693"/>
  <c r="H45" i="693"/>
  <c r="H44" i="693"/>
  <c r="H43" i="693"/>
  <c r="H42" i="693"/>
  <c r="H41" i="693"/>
  <c r="P40" i="693"/>
  <c r="K40" i="693"/>
  <c r="L40" i="693" s="1"/>
  <c r="H40" i="693"/>
  <c r="P39" i="693"/>
  <c r="K39" i="693" s="1"/>
  <c r="L39" i="693" s="1"/>
  <c r="H39" i="693"/>
  <c r="J38" i="693"/>
  <c r="J51" i="693" s="1"/>
  <c r="I1" i="693" s="1"/>
  <c r="H37" i="693"/>
  <c r="H36" i="693"/>
  <c r="H35" i="693"/>
  <c r="H34" i="693"/>
  <c r="H33" i="693"/>
  <c r="H32" i="693"/>
  <c r="H31" i="693"/>
  <c r="P30" i="693"/>
  <c r="K30" i="693"/>
  <c r="L30" i="693" s="1"/>
  <c r="H30" i="693"/>
  <c r="P29" i="693"/>
  <c r="K29" i="693" s="1"/>
  <c r="L29" i="693" s="1"/>
  <c r="H29" i="693"/>
  <c r="P28" i="693"/>
  <c r="K28" i="693"/>
  <c r="L28" i="693" s="1"/>
  <c r="H28" i="693"/>
  <c r="P27" i="693"/>
  <c r="K27" i="693" s="1"/>
  <c r="L27" i="693" s="1"/>
  <c r="H27" i="693"/>
  <c r="P26" i="693"/>
  <c r="K26" i="693"/>
  <c r="L26" i="693" s="1"/>
  <c r="H26" i="693"/>
  <c r="P25" i="693"/>
  <c r="K25" i="693" s="1"/>
  <c r="H25" i="693"/>
  <c r="J24" i="693"/>
  <c r="H23" i="693"/>
  <c r="H22" i="693"/>
  <c r="P20" i="693"/>
  <c r="K20" i="693"/>
  <c r="L20" i="693" s="1"/>
  <c r="H20" i="693"/>
  <c r="P19" i="693"/>
  <c r="K19" i="693" s="1"/>
  <c r="L19" i="693" s="1"/>
  <c r="H19" i="693"/>
  <c r="P18" i="693"/>
  <c r="K18" i="693"/>
  <c r="L18" i="693" s="1"/>
  <c r="H18" i="693"/>
  <c r="P17" i="693"/>
  <c r="L17" i="693"/>
  <c r="L24" i="693" s="1"/>
  <c r="K17" i="693"/>
  <c r="K24" i="693" s="1"/>
  <c r="H17" i="693"/>
  <c r="J16" i="693"/>
  <c r="H15" i="693"/>
  <c r="H14" i="693"/>
  <c r="H13" i="693"/>
  <c r="H12" i="693"/>
  <c r="H11" i="693"/>
  <c r="H10" i="693"/>
  <c r="P8" i="693"/>
  <c r="K8" i="693"/>
  <c r="L8" i="693" s="1"/>
  <c r="H8" i="693"/>
  <c r="P7" i="693"/>
  <c r="K7" i="693" s="1"/>
  <c r="L7" i="693" s="1"/>
  <c r="H7" i="693"/>
  <c r="P6" i="693"/>
  <c r="K6" i="693"/>
  <c r="L6" i="693" s="1"/>
  <c r="H6" i="693"/>
  <c r="P5" i="693"/>
  <c r="L5" i="693"/>
  <c r="L16" i="693" s="1"/>
  <c r="K5" i="693"/>
  <c r="H5" i="693"/>
  <c r="I2" i="693"/>
  <c r="E1" i="693"/>
  <c r="M32" i="692"/>
  <c r="L32" i="692"/>
  <c r="K32" i="692"/>
  <c r="J32" i="692"/>
  <c r="I32" i="692"/>
  <c r="H32" i="692"/>
  <c r="G32" i="692"/>
  <c r="F32" i="692"/>
  <c r="E32" i="692"/>
  <c r="D32" i="692"/>
  <c r="Q15" i="692"/>
  <c r="P15" i="692"/>
  <c r="O15" i="692"/>
  <c r="N15" i="692"/>
  <c r="M15" i="692"/>
  <c r="L15" i="692"/>
  <c r="K15" i="692"/>
  <c r="J15" i="692"/>
  <c r="I15" i="692"/>
  <c r="H15" i="692"/>
  <c r="G15" i="692"/>
  <c r="F15" i="692"/>
  <c r="E15" i="692"/>
  <c r="D15" i="692"/>
  <c r="L8" i="692"/>
  <c r="J8" i="692"/>
  <c r="H8" i="692"/>
  <c r="F8" i="692"/>
  <c r="L7" i="692"/>
  <c r="J7" i="692"/>
  <c r="H7" i="692"/>
  <c r="F7" i="692"/>
  <c r="L6" i="692"/>
  <c r="J6" i="692"/>
  <c r="H6" i="692"/>
  <c r="F6" i="692"/>
  <c r="M32" i="691"/>
  <c r="L32" i="691"/>
  <c r="K32" i="691"/>
  <c r="J32" i="691"/>
  <c r="I32" i="691"/>
  <c r="H32" i="691"/>
  <c r="G32" i="691"/>
  <c r="F32" i="691"/>
  <c r="E32" i="691"/>
  <c r="D32" i="691"/>
  <c r="Q15" i="691"/>
  <c r="P15" i="691"/>
  <c r="O15" i="691"/>
  <c r="N15" i="691"/>
  <c r="M15" i="691"/>
  <c r="L15" i="691"/>
  <c r="K15" i="691"/>
  <c r="J15" i="691"/>
  <c r="I15" i="691"/>
  <c r="H15" i="691"/>
  <c r="G15" i="691"/>
  <c r="F15" i="691"/>
  <c r="E15" i="691"/>
  <c r="D15" i="691"/>
  <c r="L8" i="691"/>
  <c r="J8" i="691"/>
  <c r="H8" i="691"/>
  <c r="F8" i="691"/>
  <c r="L7" i="691"/>
  <c r="J7" i="691"/>
  <c r="H7" i="691"/>
  <c r="F7" i="691"/>
  <c r="L6" i="691"/>
  <c r="J6" i="691"/>
  <c r="H6" i="691"/>
  <c r="F6" i="691"/>
  <c r="G1" i="695" l="1"/>
  <c r="G2" i="695" s="1"/>
  <c r="AK5" i="695"/>
  <c r="N17" i="695"/>
  <c r="O5" i="695"/>
  <c r="AG5" i="695"/>
  <c r="AF5" i="695"/>
  <c r="AG11" i="695"/>
  <c r="AF11" i="695"/>
  <c r="O11" i="695"/>
  <c r="Q6" i="695"/>
  <c r="O7" i="695"/>
  <c r="AF7" i="695"/>
  <c r="AG8" i="695"/>
  <c r="R9" i="695"/>
  <c r="AG12" i="695"/>
  <c r="R6" i="695"/>
  <c r="O8" i="695"/>
  <c r="AF8" i="695"/>
  <c r="AG9" i="695"/>
  <c r="Q10" i="695"/>
  <c r="O12" i="695"/>
  <c r="AF12" i="695"/>
  <c r="P30" i="695"/>
  <c r="P18" i="695"/>
  <c r="AF24" i="695"/>
  <c r="AG25" i="695"/>
  <c r="AF25" i="695"/>
  <c r="O25" i="695"/>
  <c r="AG87" i="695"/>
  <c r="AF87" i="695"/>
  <c r="O87" i="695"/>
  <c r="P17" i="695"/>
  <c r="Q9" i="695"/>
  <c r="AF9" i="695"/>
  <c r="R19" i="695"/>
  <c r="R20" i="695"/>
  <c r="R21" i="695"/>
  <c r="R22" i="695"/>
  <c r="R23" i="695"/>
  <c r="R60" i="695"/>
  <c r="Q60" i="695"/>
  <c r="AF71" i="695"/>
  <c r="O71" i="695"/>
  <c r="AG71" i="695"/>
  <c r="AF72" i="695"/>
  <c r="O72" i="695"/>
  <c r="AG72" i="695"/>
  <c r="AF73" i="695"/>
  <c r="O73" i="695"/>
  <c r="AG73" i="695"/>
  <c r="AF74" i="695"/>
  <c r="O74" i="695"/>
  <c r="AG74" i="695"/>
  <c r="AG86" i="695"/>
  <c r="AF86" i="695"/>
  <c r="O86" i="695"/>
  <c r="N30" i="695"/>
  <c r="AF18" i="695"/>
  <c r="AF32" i="695"/>
  <c r="O32" i="695"/>
  <c r="AG32" i="695"/>
  <c r="AG59" i="695"/>
  <c r="AF59" i="695"/>
  <c r="O59" i="695"/>
  <c r="AG70" i="695"/>
  <c r="AF70" i="695"/>
  <c r="N82" i="695"/>
  <c r="O70" i="695"/>
  <c r="AG85" i="695"/>
  <c r="AF85" i="695"/>
  <c r="O85" i="695"/>
  <c r="AG89" i="695"/>
  <c r="AF89" i="695"/>
  <c r="O89" i="695"/>
  <c r="AG90" i="695"/>
  <c r="AF90" i="695"/>
  <c r="O90" i="695"/>
  <c r="O18" i="695"/>
  <c r="AG18" i="695"/>
  <c r="AG23" i="695"/>
  <c r="AG24" i="695"/>
  <c r="O24" i="695"/>
  <c r="AF33" i="695"/>
  <c r="O33" i="695"/>
  <c r="AG33" i="695"/>
  <c r="AF34" i="695"/>
  <c r="O34" i="695"/>
  <c r="AG34" i="695"/>
  <c r="AF35" i="695"/>
  <c r="O35" i="695"/>
  <c r="AG35" i="695"/>
  <c r="AF36" i="695"/>
  <c r="O36" i="695"/>
  <c r="AG36" i="695"/>
  <c r="O69" i="695"/>
  <c r="R69" i="695" s="1"/>
  <c r="S57" i="695" s="1"/>
  <c r="R57" i="695"/>
  <c r="Q57" i="695"/>
  <c r="R58" i="695"/>
  <c r="Q58" i="695"/>
  <c r="R83" i="695"/>
  <c r="Q83" i="695"/>
  <c r="AG84" i="695"/>
  <c r="AF84" i="695"/>
  <c r="O84" i="695"/>
  <c r="AG88" i="695"/>
  <c r="AF88" i="695"/>
  <c r="O88" i="695"/>
  <c r="O31" i="695"/>
  <c r="N43" i="695"/>
  <c r="Q44" i="695"/>
  <c r="AF44" i="695"/>
  <c r="AG45" i="695"/>
  <c r="AG47" i="695"/>
  <c r="AG49" i="695"/>
  <c r="P56" i="695"/>
  <c r="N56" i="695"/>
  <c r="P57" i="695"/>
  <c r="AF58" i="695"/>
  <c r="AF60" i="695"/>
  <c r="AG75" i="695"/>
  <c r="N95" i="695"/>
  <c r="AG101" i="695"/>
  <c r="P109" i="695"/>
  <c r="P121" i="695"/>
  <c r="AK109" i="695"/>
  <c r="Q111" i="695"/>
  <c r="AK135" i="695"/>
  <c r="AF161" i="695"/>
  <c r="N173" i="695"/>
  <c r="O161" i="695"/>
  <c r="AG161" i="695"/>
  <c r="R163" i="695"/>
  <c r="Q163" i="695"/>
  <c r="AG166" i="695"/>
  <c r="AF166" i="695"/>
  <c r="O166" i="695"/>
  <c r="AG8" i="696"/>
  <c r="AF8" i="696"/>
  <c r="O8" i="696"/>
  <c r="R19" i="696"/>
  <c r="Q19" i="696"/>
  <c r="R44" i="695"/>
  <c r="AF46" i="695"/>
  <c r="AF48" i="695"/>
  <c r="AF50" i="695"/>
  <c r="AF57" i="695"/>
  <c r="AG58" i="695"/>
  <c r="AG60" i="695"/>
  <c r="N69" i="695"/>
  <c r="P82" i="695"/>
  <c r="AF83" i="695"/>
  <c r="P95" i="695"/>
  <c r="AG99" i="695"/>
  <c r="AF100" i="695"/>
  <c r="O100" i="695"/>
  <c r="AG100" i="695"/>
  <c r="AF101" i="695"/>
  <c r="R112" i="695"/>
  <c r="Q112" i="695"/>
  <c r="R114" i="695"/>
  <c r="Q114" i="695"/>
  <c r="AG164" i="695"/>
  <c r="AF164" i="695"/>
  <c r="O164" i="695"/>
  <c r="AF31" i="695"/>
  <c r="O45" i="695"/>
  <c r="R46" i="695"/>
  <c r="O47" i="695"/>
  <c r="R48" i="695"/>
  <c r="O49" i="695"/>
  <c r="Q50" i="695"/>
  <c r="AG57" i="695"/>
  <c r="O75" i="695"/>
  <c r="AG83" i="695"/>
  <c r="R96" i="695"/>
  <c r="AG96" i="695"/>
  <c r="N108" i="695"/>
  <c r="O97" i="695"/>
  <c r="AF97" i="695"/>
  <c r="AF98" i="695"/>
  <c r="O98" i="695"/>
  <c r="AG98" i="695"/>
  <c r="AF99" i="695"/>
  <c r="R101" i="695"/>
  <c r="Q101" i="695"/>
  <c r="AF109" i="695"/>
  <c r="N121" i="695"/>
  <c r="R115" i="695"/>
  <c r="Q115" i="695"/>
  <c r="AG122" i="695"/>
  <c r="AF122" i="695"/>
  <c r="N134" i="695"/>
  <c r="O122" i="695"/>
  <c r="AG136" i="695"/>
  <c r="AF136" i="695"/>
  <c r="O136" i="695"/>
  <c r="AG137" i="695"/>
  <c r="AF137" i="695"/>
  <c r="O137" i="695"/>
  <c r="AG138" i="695"/>
  <c r="AF138" i="695"/>
  <c r="O138" i="695"/>
  <c r="AG139" i="695"/>
  <c r="AF139" i="695"/>
  <c r="O139" i="695"/>
  <c r="R142" i="695"/>
  <c r="Q142" i="695"/>
  <c r="AG150" i="695"/>
  <c r="AF150" i="695"/>
  <c r="O150" i="695"/>
  <c r="AG162" i="695"/>
  <c r="AF162" i="695"/>
  <c r="O162" i="695"/>
  <c r="Q25" i="696"/>
  <c r="P96" i="695"/>
  <c r="AF96" i="695"/>
  <c r="O99" i="695"/>
  <c r="O109" i="695"/>
  <c r="AG109" i="695"/>
  <c r="R110" i="695"/>
  <c r="R113" i="695"/>
  <c r="Q113" i="695"/>
  <c r="R116" i="695"/>
  <c r="Q116" i="695"/>
  <c r="AK122" i="695"/>
  <c r="N160" i="695"/>
  <c r="R149" i="695"/>
  <c r="Q149" i="695"/>
  <c r="R165" i="695"/>
  <c r="Q165" i="695"/>
  <c r="AG17" i="696"/>
  <c r="AH5" i="696" s="1"/>
  <c r="AF17" i="696"/>
  <c r="G1" i="696"/>
  <c r="G2" i="696" s="1"/>
  <c r="AG6" i="696"/>
  <c r="AF6" i="696"/>
  <c r="O6" i="696"/>
  <c r="AF113" i="695"/>
  <c r="AF114" i="695"/>
  <c r="AF115" i="695"/>
  <c r="AF116" i="695"/>
  <c r="AG123" i="695"/>
  <c r="AG124" i="695"/>
  <c r="AG125" i="695"/>
  <c r="AG126" i="695"/>
  <c r="AG127" i="695"/>
  <c r="AG128" i="695"/>
  <c r="AG129" i="695"/>
  <c r="Q135" i="695"/>
  <c r="AF135" i="695"/>
  <c r="P147" i="695"/>
  <c r="N147" i="695"/>
  <c r="P148" i="695"/>
  <c r="AF149" i="695"/>
  <c r="AF163" i="695"/>
  <c r="AF165" i="695"/>
  <c r="AF5" i="696"/>
  <c r="AG18" i="696"/>
  <c r="P19" i="696"/>
  <c r="AF19" i="696"/>
  <c r="P20" i="696"/>
  <c r="AG20" i="696"/>
  <c r="O21" i="696"/>
  <c r="AF21" i="696"/>
  <c r="Q22" i="696"/>
  <c r="AG24" i="696"/>
  <c r="AG25" i="696"/>
  <c r="AG36" i="696"/>
  <c r="AF36" i="696"/>
  <c r="O36" i="696"/>
  <c r="R47" i="696"/>
  <c r="Q47" i="696"/>
  <c r="AF50" i="696"/>
  <c r="O50" i="696"/>
  <c r="AG50" i="696"/>
  <c r="AG116" i="695"/>
  <c r="AG135" i="695"/>
  <c r="AF140" i="695"/>
  <c r="AF141" i="695"/>
  <c r="AF148" i="695"/>
  <c r="AG149" i="695"/>
  <c r="P173" i="695"/>
  <c r="AG5" i="696"/>
  <c r="AF7" i="696"/>
  <c r="AF9" i="696"/>
  <c r="AF10" i="696"/>
  <c r="AF11" i="696"/>
  <c r="AF12" i="696"/>
  <c r="AF13" i="696"/>
  <c r="AG19" i="696"/>
  <c r="R22" i="696"/>
  <c r="Q23" i="696"/>
  <c r="N30" i="696"/>
  <c r="AG35" i="696"/>
  <c r="AF35" i="696"/>
  <c r="O35" i="696"/>
  <c r="P43" i="696"/>
  <c r="R45" i="696"/>
  <c r="Q45" i="696"/>
  <c r="AF48" i="696"/>
  <c r="O48" i="696"/>
  <c r="AG48" i="696"/>
  <c r="R59" i="696"/>
  <c r="Q59" i="696"/>
  <c r="O123" i="695"/>
  <c r="O124" i="695"/>
  <c r="O125" i="695"/>
  <c r="O126" i="695"/>
  <c r="O127" i="695"/>
  <c r="O128" i="695"/>
  <c r="O129" i="695"/>
  <c r="R140" i="695"/>
  <c r="Q141" i="695"/>
  <c r="AG148" i="695"/>
  <c r="O5" i="696"/>
  <c r="R7" i="696"/>
  <c r="R9" i="696"/>
  <c r="R10" i="696"/>
  <c r="R11" i="696"/>
  <c r="R12" i="696"/>
  <c r="R13" i="696"/>
  <c r="P17" i="696"/>
  <c r="P18" i="696"/>
  <c r="R23" i="696"/>
  <c r="R25" i="696"/>
  <c r="AF32" i="696"/>
  <c r="AG33" i="696"/>
  <c r="O33" i="696"/>
  <c r="AG34" i="696"/>
  <c r="AF34" i="696"/>
  <c r="O34" i="696"/>
  <c r="AF46" i="696"/>
  <c r="O46" i="696"/>
  <c r="AG46" i="696"/>
  <c r="N69" i="696"/>
  <c r="AF57" i="696"/>
  <c r="O57" i="696"/>
  <c r="AG57" i="696"/>
  <c r="AG82" i="696"/>
  <c r="AH70" i="696" s="1"/>
  <c r="Q82" i="696"/>
  <c r="AF82" i="696"/>
  <c r="O148" i="695"/>
  <c r="O20" i="696"/>
  <c r="O30" i="696" s="1"/>
  <c r="O24" i="696"/>
  <c r="AF25" i="696"/>
  <c r="O31" i="696"/>
  <c r="N43" i="696"/>
  <c r="AF31" i="696"/>
  <c r="O32" i="696"/>
  <c r="AG44" i="696"/>
  <c r="N56" i="696"/>
  <c r="AF44" i="696"/>
  <c r="O44" i="696"/>
  <c r="R49" i="696"/>
  <c r="Q49" i="696"/>
  <c r="AG58" i="696"/>
  <c r="AF58" i="696"/>
  <c r="O58" i="696"/>
  <c r="AG60" i="696"/>
  <c r="AF60" i="696"/>
  <c r="O60" i="696"/>
  <c r="P31" i="696"/>
  <c r="AF59" i="696"/>
  <c r="AF70" i="696"/>
  <c r="N95" i="696"/>
  <c r="O83" i="696"/>
  <c r="AF83" i="696"/>
  <c r="O84" i="696"/>
  <c r="AG85" i="696"/>
  <c r="O86" i="696"/>
  <c r="AG88" i="696"/>
  <c r="O88" i="696"/>
  <c r="AG99" i="696"/>
  <c r="AF99" i="696"/>
  <c r="O99" i="696"/>
  <c r="AG110" i="696"/>
  <c r="AF110" i="696"/>
  <c r="O110" i="696"/>
  <c r="AG111" i="696"/>
  <c r="AF111" i="696"/>
  <c r="O111" i="696"/>
  <c r="AG112" i="696"/>
  <c r="AF112" i="696"/>
  <c r="O112" i="696"/>
  <c r="AG113" i="696"/>
  <c r="AF113" i="696"/>
  <c r="O113" i="696"/>
  <c r="AG114" i="696"/>
  <c r="AF114" i="696"/>
  <c r="O114" i="696"/>
  <c r="AG115" i="696"/>
  <c r="AF115" i="696"/>
  <c r="O115" i="696"/>
  <c r="AG116" i="696"/>
  <c r="AF116" i="696"/>
  <c r="O116" i="696"/>
  <c r="AG117" i="696"/>
  <c r="AF117" i="696"/>
  <c r="O117" i="696"/>
  <c r="AG59" i="696"/>
  <c r="AG70" i="696"/>
  <c r="AF71" i="696"/>
  <c r="AF72" i="696"/>
  <c r="AF73" i="696"/>
  <c r="AF75" i="696"/>
  <c r="AG75" i="696"/>
  <c r="P95" i="696"/>
  <c r="AF85" i="696"/>
  <c r="AF88" i="696"/>
  <c r="AG89" i="696"/>
  <c r="AF89" i="696"/>
  <c r="O89" i="696"/>
  <c r="AG97" i="696"/>
  <c r="AF97" i="696"/>
  <c r="O97" i="696"/>
  <c r="R102" i="696"/>
  <c r="Q102" i="696"/>
  <c r="O70" i="696"/>
  <c r="R71" i="696"/>
  <c r="R72" i="696"/>
  <c r="R73" i="696"/>
  <c r="AF74" i="696"/>
  <c r="AG74" i="696"/>
  <c r="Q75" i="696"/>
  <c r="Q85" i="696"/>
  <c r="R85" i="696"/>
  <c r="R100" i="696"/>
  <c r="Q100" i="696"/>
  <c r="P70" i="696"/>
  <c r="O74" i="696"/>
  <c r="R75" i="696"/>
  <c r="AF84" i="696"/>
  <c r="AF86" i="696"/>
  <c r="AG87" i="696"/>
  <c r="O87" i="696"/>
  <c r="N108" i="696"/>
  <c r="AF96" i="696"/>
  <c r="O96" i="696"/>
  <c r="AG96" i="696"/>
  <c r="R98" i="696"/>
  <c r="Q98" i="696"/>
  <c r="AG101" i="696"/>
  <c r="AF101" i="696"/>
  <c r="O101" i="696"/>
  <c r="P83" i="696"/>
  <c r="AF98" i="696"/>
  <c r="AF100" i="696"/>
  <c r="AF102" i="696"/>
  <c r="AG143" i="696"/>
  <c r="AF143" i="696"/>
  <c r="O143" i="696"/>
  <c r="R165" i="696"/>
  <c r="Q165" i="696"/>
  <c r="N121" i="696"/>
  <c r="AG109" i="696"/>
  <c r="AG142" i="696"/>
  <c r="AF142" i="696"/>
  <c r="O142" i="696"/>
  <c r="AG154" i="696"/>
  <c r="AF154" i="696"/>
  <c r="O154" i="696"/>
  <c r="R163" i="696"/>
  <c r="Q163" i="696"/>
  <c r="P96" i="696"/>
  <c r="O109" i="696"/>
  <c r="AG118" i="696"/>
  <c r="AG141" i="696"/>
  <c r="AF141" i="696"/>
  <c r="O141" i="696"/>
  <c r="R149" i="696"/>
  <c r="Q149" i="696"/>
  <c r="R151" i="696"/>
  <c r="Q151" i="696"/>
  <c r="R153" i="696"/>
  <c r="Q153" i="696"/>
  <c r="P109" i="696"/>
  <c r="O118" i="696"/>
  <c r="AF118" i="696"/>
  <c r="AF122" i="696"/>
  <c r="N134" i="696"/>
  <c r="O122" i="696"/>
  <c r="AK122" i="696"/>
  <c r="AK2" i="696" s="1"/>
  <c r="AG136" i="696"/>
  <c r="AF136" i="696"/>
  <c r="O136" i="696"/>
  <c r="AG137" i="696"/>
  <c r="AF137" i="696"/>
  <c r="O137" i="696"/>
  <c r="AG138" i="696"/>
  <c r="AF138" i="696"/>
  <c r="O138" i="696"/>
  <c r="AG139" i="696"/>
  <c r="AF139" i="696"/>
  <c r="O139" i="696"/>
  <c r="AG140" i="696"/>
  <c r="AF140" i="696"/>
  <c r="O140" i="696"/>
  <c r="Q123" i="696"/>
  <c r="AG123" i="696"/>
  <c r="R124" i="696"/>
  <c r="AG124" i="696"/>
  <c r="AG125" i="696"/>
  <c r="AG126" i="696"/>
  <c r="AG127" i="696"/>
  <c r="AG128" i="696"/>
  <c r="AG129" i="696"/>
  <c r="P134" i="696"/>
  <c r="AF135" i="696"/>
  <c r="P147" i="696"/>
  <c r="N147" i="696"/>
  <c r="AF149" i="696"/>
  <c r="AF151" i="696"/>
  <c r="AF153" i="696"/>
  <c r="AG160" i="696"/>
  <c r="AH148" i="696" s="1"/>
  <c r="AG161" i="696"/>
  <c r="AF163" i="696"/>
  <c r="AF165" i="696"/>
  <c r="AG135" i="696"/>
  <c r="AF148" i="696"/>
  <c r="AG149" i="696"/>
  <c r="O150" i="696"/>
  <c r="AG151" i="696"/>
  <c r="O152" i="696"/>
  <c r="AG153" i="696"/>
  <c r="O161" i="696"/>
  <c r="O162" i="696"/>
  <c r="AG163" i="696"/>
  <c r="O164" i="696"/>
  <c r="AG165" i="696"/>
  <c r="O166" i="696"/>
  <c r="P173" i="696"/>
  <c r="N173" i="696"/>
  <c r="O125" i="696"/>
  <c r="O126" i="696"/>
  <c r="O127" i="696"/>
  <c r="O128" i="696"/>
  <c r="O129" i="696"/>
  <c r="AG148" i="696"/>
  <c r="AF150" i="696"/>
  <c r="AF152" i="696"/>
  <c r="AF162" i="696"/>
  <c r="AF164" i="696"/>
  <c r="AF166" i="696"/>
  <c r="O148" i="696"/>
  <c r="G1" i="694"/>
  <c r="G2" i="694" s="1"/>
  <c r="K16" i="693"/>
  <c r="K64" i="693"/>
  <c r="K91" i="693"/>
  <c r="L124" i="693"/>
  <c r="K16" i="694"/>
  <c r="E2" i="694"/>
  <c r="K38" i="694"/>
  <c r="K51" i="694" s="1"/>
  <c r="L25" i="694"/>
  <c r="L38" i="694" s="1"/>
  <c r="L51" i="694" s="1"/>
  <c r="K64" i="694"/>
  <c r="L52" i="694"/>
  <c r="L64" i="694" s="1"/>
  <c r="L82" i="694"/>
  <c r="L91" i="694" s="1"/>
  <c r="K91" i="694"/>
  <c r="L101" i="694"/>
  <c r="L111" i="694" s="1"/>
  <c r="K111" i="694"/>
  <c r="G1" i="693"/>
  <c r="G2" i="693" s="1"/>
  <c r="L25" i="693"/>
  <c r="L38" i="693" s="1"/>
  <c r="L51" i="693" s="1"/>
  <c r="K38" i="693"/>
  <c r="K51" i="693" s="1"/>
  <c r="L101" i="693"/>
  <c r="L111" i="693" s="1"/>
  <c r="E2" i="693" s="1"/>
  <c r="K111" i="693"/>
  <c r="K124" i="693"/>
  <c r="L52" i="693"/>
  <c r="L64" i="693" s="1"/>
  <c r="L65" i="694"/>
  <c r="L75" i="694" s="1"/>
  <c r="L92" i="693"/>
  <c r="L100" i="693" s="1"/>
  <c r="L65" i="693"/>
  <c r="L75" i="693" s="1"/>
  <c r="L92" i="694"/>
  <c r="L100" i="694" s="1"/>
  <c r="AE173" i="690"/>
  <c r="AD173" i="690"/>
  <c r="AA173" i="690"/>
  <c r="Z173" i="690"/>
  <c r="M173" i="690"/>
  <c r="W172" i="690"/>
  <c r="H172" i="690"/>
  <c r="W171" i="690"/>
  <c r="H171" i="690"/>
  <c r="AG170" i="690"/>
  <c r="AF170" i="690"/>
  <c r="W170" i="690"/>
  <c r="H170" i="690"/>
  <c r="AG169" i="690"/>
  <c r="AF169" i="690"/>
  <c r="W169" i="690"/>
  <c r="H169" i="690"/>
  <c r="AG168" i="690"/>
  <c r="AF168" i="690"/>
  <c r="W168" i="690"/>
  <c r="H168" i="690"/>
  <c r="AG167" i="690"/>
  <c r="AF167" i="690"/>
  <c r="W167" i="690"/>
  <c r="H167" i="690"/>
  <c r="W166" i="690"/>
  <c r="N166" i="690"/>
  <c r="AG166" i="690" s="1"/>
  <c r="P166" i="690"/>
  <c r="H166" i="690"/>
  <c r="W165" i="690"/>
  <c r="P165" i="690"/>
  <c r="N165" i="690"/>
  <c r="O165" i="690" s="1"/>
  <c r="H165" i="690"/>
  <c r="W164" i="690"/>
  <c r="N164" i="690"/>
  <c r="AG164" i="690" s="1"/>
  <c r="P164" i="690"/>
  <c r="H164" i="690"/>
  <c r="W163" i="690"/>
  <c r="P163" i="690"/>
  <c r="N163" i="690"/>
  <c r="O163" i="690" s="1"/>
  <c r="H163" i="690"/>
  <c r="W162" i="690"/>
  <c r="N162" i="690"/>
  <c r="AG162" i="690" s="1"/>
  <c r="P162" i="690"/>
  <c r="H162" i="690"/>
  <c r="W161" i="690"/>
  <c r="N161" i="690"/>
  <c r="AF161" i="690" s="1"/>
  <c r="P161" i="690"/>
  <c r="H161" i="690"/>
  <c r="AE160" i="690"/>
  <c r="AD160" i="690"/>
  <c r="AA160" i="690"/>
  <c r="Z160" i="690"/>
  <c r="M160" i="690"/>
  <c r="W159" i="690"/>
  <c r="H159" i="690"/>
  <c r="W158" i="690"/>
  <c r="H158" i="690"/>
  <c r="W157" i="690"/>
  <c r="H157" i="690"/>
  <c r="W156" i="690"/>
  <c r="H156" i="690"/>
  <c r="AG155" i="690"/>
  <c r="AF155" i="690"/>
  <c r="W155" i="690"/>
  <c r="H155" i="690"/>
  <c r="AG154" i="690"/>
  <c r="AF154" i="690"/>
  <c r="W154" i="690"/>
  <c r="H154" i="690"/>
  <c r="AG153" i="690"/>
  <c r="AF153" i="690"/>
  <c r="W153" i="690"/>
  <c r="H153" i="690"/>
  <c r="AG152" i="690"/>
  <c r="AF152" i="690"/>
  <c r="W152" i="690"/>
  <c r="H152" i="690"/>
  <c r="AG151" i="690"/>
  <c r="AF151" i="690"/>
  <c r="W151" i="690"/>
  <c r="H151" i="690"/>
  <c r="W150" i="690"/>
  <c r="N150" i="690" s="1"/>
  <c r="P150" i="690"/>
  <c r="H150" i="690"/>
  <c r="W149" i="690"/>
  <c r="N149" i="690"/>
  <c r="O149" i="690" s="1"/>
  <c r="P149" i="690"/>
  <c r="H149" i="690"/>
  <c r="W148" i="690"/>
  <c r="N148" i="690"/>
  <c r="N160" i="690" s="1"/>
  <c r="H148" i="690"/>
  <c r="AE147" i="690"/>
  <c r="AD147" i="690"/>
  <c r="AA147" i="690"/>
  <c r="Z147" i="690"/>
  <c r="W147" i="690"/>
  <c r="M147" i="690"/>
  <c r="AK146" i="690"/>
  <c r="AJ146" i="690"/>
  <c r="W146" i="690"/>
  <c r="H146" i="690"/>
  <c r="AJ145" i="690"/>
  <c r="AK145" i="690" s="1"/>
  <c r="AG145" i="690"/>
  <c r="AF145" i="690"/>
  <c r="W145" i="690"/>
  <c r="H145" i="690"/>
  <c r="AJ144" i="690"/>
  <c r="AK144" i="690" s="1"/>
  <c r="AG144" i="690"/>
  <c r="AF144" i="690"/>
  <c r="W144" i="690"/>
  <c r="H144" i="690"/>
  <c r="AJ143" i="690"/>
  <c r="AK143" i="690" s="1"/>
  <c r="AG143" i="690"/>
  <c r="AF143" i="690"/>
  <c r="W143" i="690"/>
  <c r="H143" i="690"/>
  <c r="AJ142" i="690"/>
  <c r="AK142" i="690" s="1"/>
  <c r="AG142" i="690"/>
  <c r="W142" i="690"/>
  <c r="P142" i="690"/>
  <c r="N142" i="690"/>
  <c r="AF142" i="690" s="1"/>
  <c r="H142" i="690"/>
  <c r="AJ141" i="690"/>
  <c r="AK141" i="690" s="1"/>
  <c r="AK135" i="690" s="1"/>
  <c r="AG141" i="690"/>
  <c r="W141" i="690"/>
  <c r="P141" i="690"/>
  <c r="N141" i="690"/>
  <c r="O141" i="690" s="1"/>
  <c r="AF141" i="690"/>
  <c r="H141" i="690"/>
  <c r="AK140" i="690"/>
  <c r="AJ140" i="690"/>
  <c r="W140" i="690"/>
  <c r="N140" i="690" s="1"/>
  <c r="P140" i="690"/>
  <c r="H140" i="690"/>
  <c r="AK139" i="690"/>
  <c r="AJ139" i="690"/>
  <c r="W139" i="690"/>
  <c r="N139" i="690" s="1"/>
  <c r="P139" i="690"/>
  <c r="H139" i="690"/>
  <c r="AK138" i="690"/>
  <c r="AJ138" i="690"/>
  <c r="W138" i="690"/>
  <c r="N138" i="690" s="1"/>
  <c r="P138" i="690"/>
  <c r="H138" i="690"/>
  <c r="AK137" i="690"/>
  <c r="AJ137" i="690"/>
  <c r="W137" i="690"/>
  <c r="N137" i="690" s="1"/>
  <c r="P137" i="690"/>
  <c r="H137" i="690"/>
  <c r="AK136" i="690"/>
  <c r="AJ136" i="690"/>
  <c r="W136" i="690"/>
  <c r="N136" i="690" s="1"/>
  <c r="P136" i="690"/>
  <c r="H136" i="690"/>
  <c r="AJ135" i="690"/>
  <c r="W135" i="690"/>
  <c r="N135" i="690"/>
  <c r="O135" i="690" s="1"/>
  <c r="P135" i="690"/>
  <c r="H135" i="690"/>
  <c r="AE134" i="690"/>
  <c r="AD134" i="690"/>
  <c r="AA134" i="690"/>
  <c r="Z134" i="690"/>
  <c r="M134" i="690"/>
  <c r="AK133" i="690"/>
  <c r="AJ133" i="690"/>
  <c r="W133" i="690"/>
  <c r="H133" i="690"/>
  <c r="AJ132" i="690"/>
  <c r="AK132" i="690" s="1"/>
  <c r="W132" i="690"/>
  <c r="H132" i="690"/>
  <c r="AJ131" i="690"/>
  <c r="AK131" i="690" s="1"/>
  <c r="AG131" i="690"/>
  <c r="AF131" i="690"/>
  <c r="W131" i="690"/>
  <c r="H131" i="690"/>
  <c r="AJ130" i="690"/>
  <c r="AK130" i="690" s="1"/>
  <c r="W130" i="690"/>
  <c r="N130" i="690"/>
  <c r="AF130" i="690" s="1"/>
  <c r="P130" i="690"/>
  <c r="H130" i="690"/>
  <c r="AK129" i="690"/>
  <c r="AJ129" i="690"/>
  <c r="W129" i="690"/>
  <c r="N129" i="690" s="1"/>
  <c r="P129" i="690"/>
  <c r="H129" i="690"/>
  <c r="AK128" i="690"/>
  <c r="AJ128" i="690"/>
  <c r="W128" i="690"/>
  <c r="N128" i="690" s="1"/>
  <c r="P128" i="690"/>
  <c r="H128" i="690"/>
  <c r="AK127" i="690"/>
  <c r="AJ127" i="690"/>
  <c r="W127" i="690"/>
  <c r="N127" i="690" s="1"/>
  <c r="P127" i="690"/>
  <c r="H127" i="690"/>
  <c r="AK126" i="690"/>
  <c r="AJ126" i="690"/>
  <c r="W126" i="690"/>
  <c r="N126" i="690" s="1"/>
  <c r="P126" i="690"/>
  <c r="H126" i="690"/>
  <c r="AK125" i="690"/>
  <c r="AJ125" i="690"/>
  <c r="W125" i="690"/>
  <c r="N125" i="690" s="1"/>
  <c r="P125" i="690"/>
  <c r="H125" i="690"/>
  <c r="AK124" i="690"/>
  <c r="AJ124" i="690"/>
  <c r="W124" i="690"/>
  <c r="N124" i="690" s="1"/>
  <c r="P124" i="690"/>
  <c r="H124" i="690"/>
  <c r="AK123" i="690"/>
  <c r="AJ123" i="690"/>
  <c r="W123" i="690"/>
  <c r="N123" i="690" s="1"/>
  <c r="P123" i="690"/>
  <c r="H123" i="690"/>
  <c r="AJ122" i="690"/>
  <c r="AF122" i="690"/>
  <c r="W122" i="690"/>
  <c r="P122" i="690"/>
  <c r="N122" i="690"/>
  <c r="AG122" i="690" s="1"/>
  <c r="P134" i="690"/>
  <c r="H122" i="690"/>
  <c r="AE121" i="690"/>
  <c r="AD121" i="690"/>
  <c r="AA121" i="690"/>
  <c r="Z121" i="690"/>
  <c r="W121" i="690"/>
  <c r="M121" i="690"/>
  <c r="AJ120" i="690"/>
  <c r="AK120" i="690" s="1"/>
  <c r="AG120" i="690"/>
  <c r="AF120" i="690"/>
  <c r="W120" i="690"/>
  <c r="H120" i="690"/>
  <c r="AJ119" i="690"/>
  <c r="AK119" i="690" s="1"/>
  <c r="AG119" i="690"/>
  <c r="AF119" i="690"/>
  <c r="W119" i="690"/>
  <c r="H119" i="690"/>
  <c r="AJ118" i="690"/>
  <c r="AK118" i="690" s="1"/>
  <c r="W118" i="690"/>
  <c r="N118" i="690"/>
  <c r="P118" i="690"/>
  <c r="H118" i="690"/>
  <c r="AJ117" i="690"/>
  <c r="AK117" i="690" s="1"/>
  <c r="W117" i="690"/>
  <c r="N117" i="690"/>
  <c r="P117" i="690"/>
  <c r="H117" i="690"/>
  <c r="AJ116" i="690"/>
  <c r="AK116" i="690" s="1"/>
  <c r="W116" i="690"/>
  <c r="N116" i="690"/>
  <c r="P116" i="690"/>
  <c r="H116" i="690"/>
  <c r="AK115" i="690"/>
  <c r="AJ115" i="690"/>
  <c r="W115" i="690"/>
  <c r="N115" i="690" s="1"/>
  <c r="P115" i="690"/>
  <c r="H115" i="690"/>
  <c r="AK114" i="690"/>
  <c r="AJ114" i="690"/>
  <c r="W114" i="690"/>
  <c r="N114" i="690" s="1"/>
  <c r="P114" i="690"/>
  <c r="H114" i="690"/>
  <c r="AK113" i="690"/>
  <c r="AJ113" i="690"/>
  <c r="W113" i="690"/>
  <c r="N113" i="690" s="1"/>
  <c r="P113" i="690"/>
  <c r="H113" i="690"/>
  <c r="AK112" i="690"/>
  <c r="AJ112" i="690"/>
  <c r="W112" i="690"/>
  <c r="N112" i="690" s="1"/>
  <c r="P112" i="690"/>
  <c r="H112" i="690"/>
  <c r="AK111" i="690"/>
  <c r="AJ111" i="690"/>
  <c r="W111" i="690"/>
  <c r="N111" i="690" s="1"/>
  <c r="P111" i="690"/>
  <c r="H111" i="690"/>
  <c r="AK110" i="690"/>
  <c r="AJ110" i="690"/>
  <c r="W110" i="690"/>
  <c r="N110" i="690" s="1"/>
  <c r="P110" i="690"/>
  <c r="H110" i="690"/>
  <c r="AK109" i="690"/>
  <c r="AJ109" i="690"/>
  <c r="W109" i="690"/>
  <c r="N109" i="690"/>
  <c r="AF109" i="690" s="1"/>
  <c r="P121" i="690"/>
  <c r="H109" i="690"/>
  <c r="AE108" i="690"/>
  <c r="AD108" i="690"/>
  <c r="AA108" i="690"/>
  <c r="Z108" i="690"/>
  <c r="W108" i="690"/>
  <c r="M108" i="690"/>
  <c r="W107" i="690"/>
  <c r="H107" i="690"/>
  <c r="AG106" i="690"/>
  <c r="AF106" i="690"/>
  <c r="W106" i="690"/>
  <c r="H106" i="690"/>
  <c r="AG105" i="690"/>
  <c r="AF105" i="690"/>
  <c r="W105" i="690"/>
  <c r="H105" i="690"/>
  <c r="AG104" i="690"/>
  <c r="AF104" i="690"/>
  <c r="W104" i="690"/>
  <c r="H104" i="690"/>
  <c r="AG103" i="690"/>
  <c r="AF103" i="690"/>
  <c r="W103" i="690"/>
  <c r="H103" i="690"/>
  <c r="AG102" i="690"/>
  <c r="AF102" i="690"/>
  <c r="W102" i="690"/>
  <c r="H102" i="690"/>
  <c r="AG101" i="690"/>
  <c r="AF101" i="690"/>
  <c r="W101" i="690"/>
  <c r="H101" i="690"/>
  <c r="AG100" i="690"/>
  <c r="W100" i="690"/>
  <c r="P100" i="690"/>
  <c r="N100" i="690"/>
  <c r="AF100" i="690" s="1"/>
  <c r="H100" i="690"/>
  <c r="W99" i="690"/>
  <c r="N99" i="690" s="1"/>
  <c r="P99" i="690"/>
  <c r="H99" i="690"/>
  <c r="AG98" i="690"/>
  <c r="W98" i="690"/>
  <c r="P98" i="690"/>
  <c r="N98" i="690"/>
  <c r="AF98" i="690" s="1"/>
  <c r="H98" i="690"/>
  <c r="W97" i="690"/>
  <c r="N97" i="690" s="1"/>
  <c r="P97" i="690"/>
  <c r="H97" i="690"/>
  <c r="W96" i="690"/>
  <c r="N96" i="690" s="1"/>
  <c r="P96" i="690"/>
  <c r="H96" i="690"/>
  <c r="AE95" i="690"/>
  <c r="AD95" i="690"/>
  <c r="AA95" i="690"/>
  <c r="Z95" i="690"/>
  <c r="M95" i="690"/>
  <c r="AK94" i="690"/>
  <c r="AJ94" i="690"/>
  <c r="AG94" i="690"/>
  <c r="AF94" i="690"/>
  <c r="W94" i="690"/>
  <c r="H94" i="690"/>
  <c r="AK93" i="690"/>
  <c r="AJ93" i="690"/>
  <c r="AG93" i="690"/>
  <c r="AF93" i="690"/>
  <c r="W93" i="690"/>
  <c r="H93" i="690"/>
  <c r="AK92" i="690"/>
  <c r="AJ92" i="690"/>
  <c r="AG92" i="690"/>
  <c r="AF92" i="690"/>
  <c r="W92" i="690"/>
  <c r="H92" i="690"/>
  <c r="AK91" i="690"/>
  <c r="AJ91" i="690"/>
  <c r="AG91" i="690"/>
  <c r="AF91" i="690"/>
  <c r="W91" i="690"/>
  <c r="H91" i="690"/>
  <c r="AK90" i="690"/>
  <c r="AJ90" i="690"/>
  <c r="AG90" i="690"/>
  <c r="AF90" i="690"/>
  <c r="W90" i="690"/>
  <c r="H90" i="690"/>
  <c r="AK89" i="690"/>
  <c r="AJ89" i="690"/>
  <c r="AG89" i="690"/>
  <c r="AF89" i="690"/>
  <c r="W89" i="690"/>
  <c r="H89" i="690"/>
  <c r="AK88" i="690"/>
  <c r="AJ88" i="690"/>
  <c r="W88" i="690"/>
  <c r="N88" i="690" s="1"/>
  <c r="P88" i="690"/>
  <c r="H88" i="690"/>
  <c r="AK87" i="690"/>
  <c r="AJ87" i="690"/>
  <c r="W87" i="690"/>
  <c r="N87" i="690" s="1"/>
  <c r="P87" i="690"/>
  <c r="H87" i="690"/>
  <c r="AK86" i="690"/>
  <c r="AJ86" i="690"/>
  <c r="W86" i="690"/>
  <c r="N86" i="690" s="1"/>
  <c r="P86" i="690"/>
  <c r="H86" i="690"/>
  <c r="AK85" i="690"/>
  <c r="AJ85" i="690"/>
  <c r="W85" i="690"/>
  <c r="N85" i="690" s="1"/>
  <c r="P85" i="690"/>
  <c r="H85" i="690"/>
  <c r="AK84" i="690"/>
  <c r="AJ84" i="690"/>
  <c r="AF84" i="690"/>
  <c r="W84" i="690"/>
  <c r="N84" i="690" s="1"/>
  <c r="P84" i="690"/>
  <c r="H84" i="690"/>
  <c r="AK83" i="690"/>
  <c r="AJ83" i="690"/>
  <c r="W83" i="690"/>
  <c r="N83" i="690"/>
  <c r="AG83" i="690" s="1"/>
  <c r="P83" i="690"/>
  <c r="H83" i="690"/>
  <c r="AE82" i="690"/>
  <c r="AD82" i="690"/>
  <c r="AA82" i="690"/>
  <c r="Z82" i="690"/>
  <c r="M82" i="690"/>
  <c r="AJ81" i="690"/>
  <c r="AK81" i="690" s="1"/>
  <c r="W81" i="690"/>
  <c r="AK80" i="690"/>
  <c r="AJ80" i="690"/>
  <c r="AG80" i="690"/>
  <c r="AF80" i="690"/>
  <c r="W80" i="690"/>
  <c r="AJ79" i="690"/>
  <c r="AK79" i="690" s="1"/>
  <c r="AG79" i="690"/>
  <c r="AF79" i="690"/>
  <c r="W79" i="690"/>
  <c r="AJ78" i="690"/>
  <c r="AK78" i="690" s="1"/>
  <c r="AG78" i="690"/>
  <c r="AF78" i="690"/>
  <c r="W78" i="690"/>
  <c r="AK77" i="690"/>
  <c r="AJ77" i="690"/>
  <c r="AG77" i="690"/>
  <c r="AF77" i="690"/>
  <c r="W77" i="690"/>
  <c r="AK76" i="690"/>
  <c r="AJ76" i="690"/>
  <c r="AG76" i="690"/>
  <c r="AF76" i="690"/>
  <c r="W76" i="690"/>
  <c r="H76" i="690"/>
  <c r="AK75" i="690"/>
  <c r="AJ75" i="690"/>
  <c r="W75" i="690"/>
  <c r="N75" i="690" s="1"/>
  <c r="O75" i="690" s="1"/>
  <c r="P75" i="690"/>
  <c r="H75" i="690"/>
  <c r="AK74" i="690"/>
  <c r="AJ74" i="690"/>
  <c r="W74" i="690"/>
  <c r="N74" i="690" s="1"/>
  <c r="O74" i="690"/>
  <c r="P74" i="690"/>
  <c r="H74" i="690"/>
  <c r="AK73" i="690"/>
  <c r="AJ73" i="690"/>
  <c r="W73" i="690"/>
  <c r="N73" i="690" s="1"/>
  <c r="O73" i="690"/>
  <c r="P73" i="690"/>
  <c r="H73" i="690"/>
  <c r="AK72" i="690"/>
  <c r="AJ72" i="690"/>
  <c r="W72" i="690"/>
  <c r="N72" i="690" s="1"/>
  <c r="P72" i="690"/>
  <c r="H72" i="690"/>
  <c r="AK71" i="690"/>
  <c r="AK70" i="690" s="1"/>
  <c r="AJ71" i="690"/>
  <c r="W71" i="690"/>
  <c r="O71" i="690"/>
  <c r="N71" i="690"/>
  <c r="H71" i="690"/>
  <c r="AJ70" i="690"/>
  <c r="AF70" i="690"/>
  <c r="W70" i="690"/>
  <c r="N70" i="690" s="1"/>
  <c r="P70" i="690"/>
  <c r="H70" i="690"/>
  <c r="AE69" i="690"/>
  <c r="AD69" i="690"/>
  <c r="AA69" i="690"/>
  <c r="Z69" i="690"/>
  <c r="W69" i="690"/>
  <c r="M69" i="690"/>
  <c r="W68" i="690"/>
  <c r="H68" i="690"/>
  <c r="AG67" i="690"/>
  <c r="AF67" i="690"/>
  <c r="W67" i="690"/>
  <c r="H67" i="690"/>
  <c r="AG66" i="690"/>
  <c r="AF66" i="690"/>
  <c r="W66" i="690"/>
  <c r="H66" i="690"/>
  <c r="AG65" i="690"/>
  <c r="AF65" i="690"/>
  <c r="W65" i="690"/>
  <c r="H65" i="690"/>
  <c r="AG64" i="690"/>
  <c r="AF64" i="690"/>
  <c r="W64" i="690"/>
  <c r="H64" i="690"/>
  <c r="AG63" i="690"/>
  <c r="AF63" i="690"/>
  <c r="W63" i="690"/>
  <c r="H63" i="690"/>
  <c r="AG62" i="690"/>
  <c r="AF62" i="690"/>
  <c r="W62" i="690"/>
  <c r="H62" i="690"/>
  <c r="AG61" i="690"/>
  <c r="AF61" i="690"/>
  <c r="W61" i="690"/>
  <c r="H61" i="690"/>
  <c r="AG60" i="690"/>
  <c r="W60" i="690"/>
  <c r="O60" i="690"/>
  <c r="N60" i="690"/>
  <c r="AF60" i="690" s="1"/>
  <c r="P60" i="690"/>
  <c r="H60" i="690"/>
  <c r="AG59" i="690"/>
  <c r="W59" i="690"/>
  <c r="N59" i="690" s="1"/>
  <c r="O59" i="690"/>
  <c r="AF59" i="690"/>
  <c r="P59" i="690"/>
  <c r="H59" i="690"/>
  <c r="W58" i="690"/>
  <c r="N58" i="690"/>
  <c r="AF58" i="690" s="1"/>
  <c r="P58" i="690"/>
  <c r="H58" i="690"/>
  <c r="W57" i="690"/>
  <c r="N57" i="690"/>
  <c r="O57" i="690" s="1"/>
  <c r="P69" i="690"/>
  <c r="H57" i="690"/>
  <c r="AE56" i="690"/>
  <c r="AD56" i="690"/>
  <c r="AA56" i="690"/>
  <c r="Z56" i="690"/>
  <c r="W56" i="690"/>
  <c r="M56" i="690"/>
  <c r="W55" i="690"/>
  <c r="H55" i="690"/>
  <c r="AG54" i="690"/>
  <c r="AF54" i="690"/>
  <c r="W54" i="690"/>
  <c r="H54" i="690"/>
  <c r="AG53" i="690"/>
  <c r="AF53" i="690"/>
  <c r="W53" i="690"/>
  <c r="H53" i="690"/>
  <c r="AG52" i="690"/>
  <c r="AF52" i="690"/>
  <c r="W52" i="690"/>
  <c r="H52" i="690"/>
  <c r="AG51" i="690"/>
  <c r="AF51" i="690"/>
  <c r="W51" i="690"/>
  <c r="H51" i="690"/>
  <c r="W50" i="690"/>
  <c r="N50" i="690"/>
  <c r="O50" i="690" s="1"/>
  <c r="AG50" i="690"/>
  <c r="P50" i="690"/>
  <c r="H50" i="690"/>
  <c r="W49" i="690"/>
  <c r="N49" i="690"/>
  <c r="AF49" i="690" s="1"/>
  <c r="P49" i="690"/>
  <c r="H49" i="690"/>
  <c r="W48" i="690"/>
  <c r="P48" i="690"/>
  <c r="N48" i="690"/>
  <c r="O48" i="690" s="1"/>
  <c r="AG48" i="690"/>
  <c r="H48" i="690"/>
  <c r="W47" i="690"/>
  <c r="N47" i="690"/>
  <c r="AF47" i="690" s="1"/>
  <c r="P47" i="690"/>
  <c r="H47" i="690"/>
  <c r="W46" i="690"/>
  <c r="P46" i="690"/>
  <c r="N46" i="690"/>
  <c r="O46" i="690" s="1"/>
  <c r="AG46" i="690"/>
  <c r="H46" i="690"/>
  <c r="W45" i="690"/>
  <c r="N45" i="690"/>
  <c r="AF45" i="690" s="1"/>
  <c r="P45" i="690"/>
  <c r="H45" i="690"/>
  <c r="W44" i="690"/>
  <c r="N44" i="690"/>
  <c r="O44" i="690" s="1"/>
  <c r="P44" i="690"/>
  <c r="H44" i="690"/>
  <c r="AE43" i="690"/>
  <c r="AD43" i="690"/>
  <c r="AA43" i="690"/>
  <c r="Z43" i="690"/>
  <c r="M43" i="690"/>
  <c r="AK42" i="690"/>
  <c r="AJ42" i="690"/>
  <c r="W42" i="690"/>
  <c r="H42" i="690"/>
  <c r="AJ41" i="690"/>
  <c r="AK41" i="690" s="1"/>
  <c r="AK31" i="690" s="1"/>
  <c r="W41" i="690"/>
  <c r="H41" i="690"/>
  <c r="AK40" i="690"/>
  <c r="AJ40" i="690"/>
  <c r="AG40" i="690"/>
  <c r="AF40" i="690"/>
  <c r="W40" i="690"/>
  <c r="H40" i="690"/>
  <c r="AK39" i="690"/>
  <c r="AJ39" i="690"/>
  <c r="AG39" i="690"/>
  <c r="AF39" i="690"/>
  <c r="W39" i="690"/>
  <c r="H39" i="690"/>
  <c r="AK38" i="690"/>
  <c r="AJ38" i="690"/>
  <c r="AG38" i="690"/>
  <c r="AF38" i="690"/>
  <c r="W38" i="690"/>
  <c r="H38" i="690"/>
  <c r="AK37" i="690"/>
  <c r="AJ37" i="690"/>
  <c r="AG37" i="690"/>
  <c r="AF37" i="690"/>
  <c r="W37" i="690"/>
  <c r="H37" i="690"/>
  <c r="AK36" i="690"/>
  <c r="AJ36" i="690"/>
  <c r="W36" i="690"/>
  <c r="N36" i="690" s="1"/>
  <c r="P36" i="690"/>
  <c r="H36" i="690"/>
  <c r="AK35" i="690"/>
  <c r="AJ35" i="690"/>
  <c r="W35" i="690"/>
  <c r="N35" i="690" s="1"/>
  <c r="P35" i="690"/>
  <c r="H35" i="690"/>
  <c r="AK34" i="690"/>
  <c r="AJ34" i="690"/>
  <c r="W34" i="690"/>
  <c r="N34" i="690" s="1"/>
  <c r="P34" i="690"/>
  <c r="H34" i="690"/>
  <c r="AK33" i="690"/>
  <c r="AJ33" i="690"/>
  <c r="W33" i="690"/>
  <c r="N33" i="690" s="1"/>
  <c r="P33" i="690"/>
  <c r="H33" i="690"/>
  <c r="AK32" i="690"/>
  <c r="AJ32" i="690"/>
  <c r="AF32" i="690"/>
  <c r="W32" i="690"/>
  <c r="N32" i="690" s="1"/>
  <c r="P32" i="690"/>
  <c r="H32" i="690"/>
  <c r="AJ31" i="690"/>
  <c r="AG31" i="690"/>
  <c r="W31" i="690"/>
  <c r="N31" i="690"/>
  <c r="P31" i="690"/>
  <c r="H31" i="690"/>
  <c r="AE30" i="690"/>
  <c r="AD30" i="690"/>
  <c r="AA30" i="690"/>
  <c r="Z30" i="690"/>
  <c r="M30" i="690"/>
  <c r="AJ29" i="690"/>
  <c r="AK29" i="690" s="1"/>
  <c r="AF29" i="690"/>
  <c r="W29" i="690"/>
  <c r="H29" i="690"/>
  <c r="AK28" i="690"/>
  <c r="AJ28" i="690"/>
  <c r="AG28" i="690"/>
  <c r="AF28" i="690"/>
  <c r="W28" i="690"/>
  <c r="H28" i="690"/>
  <c r="AK27" i="690"/>
  <c r="AJ27" i="690"/>
  <c r="AG27" i="690"/>
  <c r="AF27" i="690"/>
  <c r="W27" i="690"/>
  <c r="H27" i="690"/>
  <c r="AK26" i="690"/>
  <c r="AJ26" i="690"/>
  <c r="AG26" i="690"/>
  <c r="AF26" i="690"/>
  <c r="W26" i="690"/>
  <c r="H26" i="690"/>
  <c r="AK25" i="690"/>
  <c r="AJ25" i="690"/>
  <c r="AF25" i="690"/>
  <c r="W25" i="690"/>
  <c r="N25" i="690" s="1"/>
  <c r="O25" i="690" s="1"/>
  <c r="Q25" i="690" s="1"/>
  <c r="P25" i="690"/>
  <c r="H25" i="690"/>
  <c r="AK24" i="690"/>
  <c r="AJ24" i="690"/>
  <c r="AF24" i="690"/>
  <c r="W24" i="690"/>
  <c r="N24" i="690" s="1"/>
  <c r="O24" i="690" s="1"/>
  <c r="Q24" i="690" s="1"/>
  <c r="P24" i="690"/>
  <c r="H24" i="690"/>
  <c r="AK23" i="690"/>
  <c r="AJ23" i="690"/>
  <c r="AF23" i="690"/>
  <c r="W23" i="690"/>
  <c r="N23" i="690" s="1"/>
  <c r="AG23" i="690" s="1"/>
  <c r="O23" i="690"/>
  <c r="R23" i="690" s="1"/>
  <c r="P23" i="690"/>
  <c r="H23" i="690"/>
  <c r="AK22" i="690"/>
  <c r="AJ22" i="690"/>
  <c r="AG22" i="690"/>
  <c r="AF22" i="690"/>
  <c r="W22" i="690"/>
  <c r="N22" i="690" s="1"/>
  <c r="O22" i="690"/>
  <c r="Q22" i="690" s="1"/>
  <c r="P22" i="690"/>
  <c r="H22" i="690"/>
  <c r="AK21" i="690"/>
  <c r="AJ21" i="690"/>
  <c r="W21" i="690"/>
  <c r="N21" i="690" s="1"/>
  <c r="AF21" i="690" s="1"/>
  <c r="AG21" i="690"/>
  <c r="P21" i="690"/>
  <c r="H21" i="690"/>
  <c r="AK20" i="690"/>
  <c r="AJ20" i="690"/>
  <c r="W20" i="690"/>
  <c r="N20" i="690" s="1"/>
  <c r="AG20" i="690" s="1"/>
  <c r="P20" i="690"/>
  <c r="H20" i="690"/>
  <c r="AK19" i="690"/>
  <c r="AK18" i="690" s="1"/>
  <c r="AJ19" i="690"/>
  <c r="AF19" i="690"/>
  <c r="W19" i="690"/>
  <c r="N19" i="690" s="1"/>
  <c r="AG19" i="690" s="1"/>
  <c r="O19" i="690"/>
  <c r="R19" i="690" s="1"/>
  <c r="P19" i="690"/>
  <c r="H19" i="690"/>
  <c r="AJ18" i="690"/>
  <c r="W18" i="690"/>
  <c r="N18" i="690"/>
  <c r="N30" i="690" s="1"/>
  <c r="H18" i="690"/>
  <c r="AE17" i="690"/>
  <c r="AD17" i="690"/>
  <c r="AA17" i="690"/>
  <c r="Z17" i="690"/>
  <c r="W17" i="690"/>
  <c r="M17" i="690"/>
  <c r="AJ16" i="690"/>
  <c r="AK16" i="690" s="1"/>
  <c r="AG16" i="690"/>
  <c r="AF16" i="690"/>
  <c r="W16" i="690"/>
  <c r="H16" i="690"/>
  <c r="AJ15" i="690"/>
  <c r="AK15" i="690" s="1"/>
  <c r="AG15" i="690"/>
  <c r="AF15" i="690"/>
  <c r="W15" i="690"/>
  <c r="H15" i="690"/>
  <c r="AJ14" i="690"/>
  <c r="AK14" i="690" s="1"/>
  <c r="AG14" i="690"/>
  <c r="AF14" i="690"/>
  <c r="W14" i="690"/>
  <c r="H14" i="690"/>
  <c r="AJ13" i="690"/>
  <c r="AK13" i="690" s="1"/>
  <c r="AG13" i="690"/>
  <c r="AF13" i="690"/>
  <c r="W13" i="690"/>
  <c r="H13" i="690"/>
  <c r="AJ12" i="690"/>
  <c r="AK12" i="690" s="1"/>
  <c r="W12" i="690"/>
  <c r="P12" i="690"/>
  <c r="N12" i="690"/>
  <c r="O12" i="690" s="1"/>
  <c r="AF12" i="690"/>
  <c r="H12" i="690"/>
  <c r="AJ11" i="690"/>
  <c r="AK11" i="690" s="1"/>
  <c r="W11" i="690"/>
  <c r="P11" i="690"/>
  <c r="N11" i="690"/>
  <c r="O11" i="690" s="1"/>
  <c r="AF11" i="690"/>
  <c r="H11" i="690"/>
  <c r="AJ10" i="690"/>
  <c r="AK10" i="690" s="1"/>
  <c r="W10" i="690"/>
  <c r="P10" i="690"/>
  <c r="N10" i="690"/>
  <c r="O10" i="690" s="1"/>
  <c r="AF10" i="690"/>
  <c r="H10" i="690"/>
  <c r="AJ9" i="690"/>
  <c r="AK9" i="690" s="1"/>
  <c r="W9" i="690"/>
  <c r="P9" i="690"/>
  <c r="N9" i="690"/>
  <c r="O9" i="690" s="1"/>
  <c r="AF9" i="690"/>
  <c r="H9" i="690"/>
  <c r="AJ8" i="690"/>
  <c r="AK8" i="690" s="1"/>
  <c r="W8" i="690"/>
  <c r="P8" i="690"/>
  <c r="N8" i="690"/>
  <c r="O8" i="690" s="1"/>
  <c r="AF8" i="690"/>
  <c r="H8" i="690"/>
  <c r="AJ7" i="690"/>
  <c r="AK7" i="690" s="1"/>
  <c r="W7" i="690"/>
  <c r="P7" i="690"/>
  <c r="N7" i="690"/>
  <c r="O7" i="690" s="1"/>
  <c r="AF7" i="690"/>
  <c r="H7" i="690"/>
  <c r="AJ6" i="690"/>
  <c r="AK6" i="690" s="1"/>
  <c r="AK5" i="690" s="1"/>
  <c r="W6" i="690"/>
  <c r="P6" i="690"/>
  <c r="N6" i="690"/>
  <c r="O6" i="690" s="1"/>
  <c r="AF6" i="690"/>
  <c r="H6" i="690"/>
  <c r="AJ5" i="690"/>
  <c r="W5" i="690"/>
  <c r="N5" i="690"/>
  <c r="N17" i="690" s="1"/>
  <c r="P5" i="690"/>
  <c r="H5" i="690"/>
  <c r="AE2" i="690"/>
  <c r="AD2" i="690"/>
  <c r="AA2" i="690"/>
  <c r="Z2" i="690"/>
  <c r="I2" i="690"/>
  <c r="I1" i="690"/>
  <c r="E1" i="690"/>
  <c r="AE173" i="689"/>
  <c r="AD173" i="689"/>
  <c r="AA173" i="689"/>
  <c r="Z173" i="689"/>
  <c r="M173" i="689"/>
  <c r="W172" i="689"/>
  <c r="H172" i="689"/>
  <c r="W171" i="689"/>
  <c r="H171" i="689"/>
  <c r="AG170" i="689"/>
  <c r="AF170" i="689"/>
  <c r="W170" i="689"/>
  <c r="H170" i="689"/>
  <c r="AG169" i="689"/>
  <c r="AF169" i="689"/>
  <c r="W169" i="689"/>
  <c r="H169" i="689"/>
  <c r="AG168" i="689"/>
  <c r="AF168" i="689"/>
  <c r="W168" i="689"/>
  <c r="H168" i="689"/>
  <c r="AG167" i="689"/>
  <c r="W167" i="689"/>
  <c r="P167" i="689"/>
  <c r="N167" i="689"/>
  <c r="AF167" i="689" s="1"/>
  <c r="H167" i="689"/>
  <c r="W166" i="689"/>
  <c r="N166" i="689" s="1"/>
  <c r="P166" i="689"/>
  <c r="H166" i="689"/>
  <c r="AG165" i="689"/>
  <c r="W165" i="689"/>
  <c r="N165" i="689"/>
  <c r="AF165" i="689" s="1"/>
  <c r="P165" i="689"/>
  <c r="H165" i="689"/>
  <c r="W164" i="689"/>
  <c r="N164" i="689" s="1"/>
  <c r="P164" i="689"/>
  <c r="H164" i="689"/>
  <c r="AG163" i="689"/>
  <c r="W163" i="689"/>
  <c r="P163" i="689"/>
  <c r="N163" i="689"/>
  <c r="AF163" i="689" s="1"/>
  <c r="H163" i="689"/>
  <c r="W162" i="689"/>
  <c r="N162" i="689" s="1"/>
  <c r="P162" i="689"/>
  <c r="H162" i="689"/>
  <c r="W161" i="689"/>
  <c r="N161" i="689" s="1"/>
  <c r="P173" i="689"/>
  <c r="H161" i="689"/>
  <c r="AE160" i="689"/>
  <c r="AD160" i="689"/>
  <c r="AA160" i="689"/>
  <c r="Z160" i="689"/>
  <c r="M160" i="689"/>
  <c r="W159" i="689"/>
  <c r="H159" i="689"/>
  <c r="W158" i="689"/>
  <c r="H158" i="689"/>
  <c r="W157" i="689"/>
  <c r="H157" i="689"/>
  <c r="W156" i="689"/>
  <c r="H156" i="689"/>
  <c r="AG155" i="689"/>
  <c r="AF155" i="689"/>
  <c r="W155" i="689"/>
  <c r="H155" i="689"/>
  <c r="AG154" i="689"/>
  <c r="AF154" i="689"/>
  <c r="W154" i="689"/>
  <c r="H154" i="689"/>
  <c r="W153" i="689"/>
  <c r="N153" i="689"/>
  <c r="AG153" i="689" s="1"/>
  <c r="P153" i="689"/>
  <c r="H153" i="689"/>
  <c r="W152" i="689"/>
  <c r="N152" i="689" s="1"/>
  <c r="P152" i="689"/>
  <c r="H152" i="689"/>
  <c r="W151" i="689"/>
  <c r="N151" i="689"/>
  <c r="P151" i="689"/>
  <c r="H151" i="689"/>
  <c r="W150" i="689"/>
  <c r="N150" i="689" s="1"/>
  <c r="O150" i="689" s="1"/>
  <c r="P150" i="689"/>
  <c r="H150" i="689"/>
  <c r="W149" i="689"/>
  <c r="N149" i="689"/>
  <c r="P149" i="689"/>
  <c r="H149" i="689"/>
  <c r="W148" i="689"/>
  <c r="P148" i="689"/>
  <c r="N148" i="689"/>
  <c r="AG148" i="689" s="1"/>
  <c r="P160" i="689"/>
  <c r="H148" i="689"/>
  <c r="AE147" i="689"/>
  <c r="AD147" i="689"/>
  <c r="AA147" i="689"/>
  <c r="Z147" i="689"/>
  <c r="W147" i="689"/>
  <c r="M147" i="689"/>
  <c r="AJ146" i="689"/>
  <c r="AK146" i="689" s="1"/>
  <c r="AK135" i="689" s="1"/>
  <c r="W146" i="689"/>
  <c r="H146" i="689"/>
  <c r="AK145" i="689"/>
  <c r="AJ145" i="689"/>
  <c r="AG145" i="689"/>
  <c r="AF145" i="689"/>
  <c r="W145" i="689"/>
  <c r="H145" i="689"/>
  <c r="AK144" i="689"/>
  <c r="AJ144" i="689"/>
  <c r="AG144" i="689"/>
  <c r="AF144" i="689"/>
  <c r="W144" i="689"/>
  <c r="H144" i="689"/>
  <c r="AK143" i="689"/>
  <c r="AJ143" i="689"/>
  <c r="AG143" i="689"/>
  <c r="W143" i="689"/>
  <c r="N143" i="689" s="1"/>
  <c r="O143" i="689" s="1"/>
  <c r="P143" i="689"/>
  <c r="H143" i="689"/>
  <c r="AK142" i="689"/>
  <c r="AJ142" i="689"/>
  <c r="AG142" i="689"/>
  <c r="W142" i="689"/>
  <c r="N142" i="689" s="1"/>
  <c r="O142" i="689" s="1"/>
  <c r="Q142" i="689" s="1"/>
  <c r="P142" i="689"/>
  <c r="H142" i="689"/>
  <c r="AK141" i="689"/>
  <c r="AJ141" i="689"/>
  <c r="AG141" i="689"/>
  <c r="W141" i="689"/>
  <c r="N141" i="689" s="1"/>
  <c r="O141" i="689" s="1"/>
  <c r="P141" i="689"/>
  <c r="AF141" i="689"/>
  <c r="H141" i="689"/>
  <c r="AK140" i="689"/>
  <c r="AJ140" i="689"/>
  <c r="AG140" i="689"/>
  <c r="AF140" i="689"/>
  <c r="W140" i="689"/>
  <c r="N140" i="689" s="1"/>
  <c r="O140" i="689" s="1"/>
  <c r="Q140" i="689" s="1"/>
  <c r="P140" i="689"/>
  <c r="H140" i="689"/>
  <c r="AK139" i="689"/>
  <c r="AJ139" i="689"/>
  <c r="AG139" i="689"/>
  <c r="AF139" i="689"/>
  <c r="W139" i="689"/>
  <c r="N139" i="689" s="1"/>
  <c r="O139" i="689" s="1"/>
  <c r="Q139" i="689" s="1"/>
  <c r="P139" i="689"/>
  <c r="H139" i="689"/>
  <c r="AK138" i="689"/>
  <c r="AJ138" i="689"/>
  <c r="AG138" i="689"/>
  <c r="AF138" i="689"/>
  <c r="W138" i="689"/>
  <c r="N138" i="689" s="1"/>
  <c r="O138" i="689" s="1"/>
  <c r="Q138" i="689" s="1"/>
  <c r="P138" i="689"/>
  <c r="H138" i="689"/>
  <c r="AK137" i="689"/>
  <c r="AJ137" i="689"/>
  <c r="AG137" i="689"/>
  <c r="AF137" i="689"/>
  <c r="W137" i="689"/>
  <c r="N137" i="689" s="1"/>
  <c r="O137" i="689" s="1"/>
  <c r="Q137" i="689" s="1"/>
  <c r="P137" i="689"/>
  <c r="H137" i="689"/>
  <c r="AK136" i="689"/>
  <c r="AJ136" i="689"/>
  <c r="AG136" i="689"/>
  <c r="AF136" i="689"/>
  <c r="W136" i="689"/>
  <c r="N136" i="689" s="1"/>
  <c r="O136" i="689" s="1"/>
  <c r="Q136" i="689" s="1"/>
  <c r="P136" i="689"/>
  <c r="H136" i="689"/>
  <c r="AJ135" i="689"/>
  <c r="AG135" i="689"/>
  <c r="W135" i="689"/>
  <c r="O135" i="689"/>
  <c r="O147" i="689" s="1"/>
  <c r="N135" i="689"/>
  <c r="H135" i="689"/>
  <c r="AE134" i="689"/>
  <c r="AD134" i="689"/>
  <c r="AA134" i="689"/>
  <c r="Z134" i="689"/>
  <c r="M134" i="689"/>
  <c r="AJ133" i="689"/>
  <c r="AK133" i="689" s="1"/>
  <c r="AK122" i="689" s="1"/>
  <c r="W133" i="689"/>
  <c r="H133" i="689"/>
  <c r="AK132" i="689"/>
  <c r="AJ132" i="689"/>
  <c r="W132" i="689"/>
  <c r="H132" i="689"/>
  <c r="AK131" i="689"/>
  <c r="AJ131" i="689"/>
  <c r="AG131" i="689"/>
  <c r="AF131" i="689"/>
  <c r="W131" i="689"/>
  <c r="H131" i="689"/>
  <c r="AK130" i="689"/>
  <c r="AJ130" i="689"/>
  <c r="AG130" i="689"/>
  <c r="W130" i="689"/>
  <c r="O130" i="689"/>
  <c r="N130" i="689"/>
  <c r="AF130" i="689" s="1"/>
  <c r="P130" i="689"/>
  <c r="H130" i="689"/>
  <c r="AK129" i="689"/>
  <c r="AJ129" i="689"/>
  <c r="W129" i="689"/>
  <c r="N129" i="689" s="1"/>
  <c r="H129" i="689"/>
  <c r="AK128" i="689"/>
  <c r="AJ128" i="689"/>
  <c r="W128" i="689"/>
  <c r="N128" i="689" s="1"/>
  <c r="H128" i="689"/>
  <c r="AK127" i="689"/>
  <c r="AJ127" i="689"/>
  <c r="W127" i="689"/>
  <c r="N127" i="689" s="1"/>
  <c r="H127" i="689"/>
  <c r="AK126" i="689"/>
  <c r="AJ126" i="689"/>
  <c r="W126" i="689"/>
  <c r="N126" i="689" s="1"/>
  <c r="H126" i="689"/>
  <c r="AK125" i="689"/>
  <c r="AJ125" i="689"/>
  <c r="W125" i="689"/>
  <c r="N125" i="689" s="1"/>
  <c r="H125" i="689"/>
  <c r="AK124" i="689"/>
  <c r="AJ124" i="689"/>
  <c r="W124" i="689"/>
  <c r="N124" i="689" s="1"/>
  <c r="H124" i="689"/>
  <c r="AK123" i="689"/>
  <c r="AJ123" i="689"/>
  <c r="W123" i="689"/>
  <c r="N123" i="689" s="1"/>
  <c r="H123" i="689"/>
  <c r="AJ122" i="689"/>
  <c r="AF122" i="689"/>
  <c r="W122" i="689"/>
  <c r="O122" i="689"/>
  <c r="N122" i="689"/>
  <c r="Q122" i="689"/>
  <c r="P134" i="689"/>
  <c r="H122" i="689"/>
  <c r="AE121" i="689"/>
  <c r="AD121" i="689"/>
  <c r="AA121" i="689"/>
  <c r="Z121" i="689"/>
  <c r="W121" i="689"/>
  <c r="M121" i="689"/>
  <c r="AJ120" i="689"/>
  <c r="AK120" i="689" s="1"/>
  <c r="AG120" i="689"/>
  <c r="AF120" i="689"/>
  <c r="W120" i="689"/>
  <c r="H120" i="689"/>
  <c r="AJ119" i="689"/>
  <c r="AK119" i="689" s="1"/>
  <c r="AG119" i="689"/>
  <c r="AF119" i="689"/>
  <c r="W119" i="689"/>
  <c r="H119" i="689"/>
  <c r="AJ118" i="689"/>
  <c r="AK118" i="689" s="1"/>
  <c r="W118" i="689"/>
  <c r="P118" i="689"/>
  <c r="N118" i="689"/>
  <c r="AG118" i="689" s="1"/>
  <c r="H118" i="689"/>
  <c r="AJ117" i="689"/>
  <c r="AK117" i="689" s="1"/>
  <c r="W117" i="689"/>
  <c r="P117" i="689"/>
  <c r="N117" i="689"/>
  <c r="AG117" i="689" s="1"/>
  <c r="H117" i="689"/>
  <c r="AJ116" i="689"/>
  <c r="AK116" i="689" s="1"/>
  <c r="W116" i="689"/>
  <c r="P116" i="689"/>
  <c r="N116" i="689"/>
  <c r="AG116" i="689" s="1"/>
  <c r="H116" i="689"/>
  <c r="AJ115" i="689"/>
  <c r="AK115" i="689" s="1"/>
  <c r="W115" i="689"/>
  <c r="P115" i="689"/>
  <c r="N115" i="689"/>
  <c r="AG115" i="689" s="1"/>
  <c r="H115" i="689"/>
  <c r="AJ114" i="689"/>
  <c r="AK114" i="689" s="1"/>
  <c r="W114" i="689"/>
  <c r="P114" i="689"/>
  <c r="N114" i="689"/>
  <c r="AG114" i="689" s="1"/>
  <c r="H114" i="689"/>
  <c r="AJ113" i="689"/>
  <c r="AK113" i="689" s="1"/>
  <c r="W113" i="689"/>
  <c r="P113" i="689"/>
  <c r="N113" i="689"/>
  <c r="O113" i="689" s="1"/>
  <c r="AG113" i="689"/>
  <c r="H113" i="689"/>
  <c r="AJ112" i="689"/>
  <c r="AK112" i="689" s="1"/>
  <c r="W112" i="689"/>
  <c r="P112" i="689"/>
  <c r="N112" i="689"/>
  <c r="O112" i="689" s="1"/>
  <c r="AG112" i="689"/>
  <c r="H112" i="689"/>
  <c r="AJ111" i="689"/>
  <c r="AK111" i="689" s="1"/>
  <c r="W111" i="689"/>
  <c r="P111" i="689"/>
  <c r="N111" i="689"/>
  <c r="O111" i="689" s="1"/>
  <c r="AG111" i="689"/>
  <c r="H111" i="689"/>
  <c r="AJ110" i="689"/>
  <c r="AK110" i="689" s="1"/>
  <c r="W110" i="689"/>
  <c r="P110" i="689"/>
  <c r="N110" i="689"/>
  <c r="O110" i="689" s="1"/>
  <c r="AG110" i="689"/>
  <c r="H110" i="689"/>
  <c r="AJ109" i="689"/>
  <c r="W109" i="689"/>
  <c r="N109" i="689"/>
  <c r="N121" i="689" s="1"/>
  <c r="P109" i="689"/>
  <c r="H109" i="689"/>
  <c r="AE108" i="689"/>
  <c r="AD108" i="689"/>
  <c r="AA108" i="689"/>
  <c r="Z108" i="689"/>
  <c r="W108" i="689"/>
  <c r="M108" i="689"/>
  <c r="W107" i="689"/>
  <c r="H107" i="689"/>
  <c r="AG106" i="689"/>
  <c r="AF106" i="689"/>
  <c r="W106" i="689"/>
  <c r="H106" i="689"/>
  <c r="AG105" i="689"/>
  <c r="AF105" i="689"/>
  <c r="W105" i="689"/>
  <c r="H105" i="689"/>
  <c r="AG104" i="689"/>
  <c r="AF104" i="689"/>
  <c r="W104" i="689"/>
  <c r="H104" i="689"/>
  <c r="AG103" i="689"/>
  <c r="AF103" i="689"/>
  <c r="W103" i="689"/>
  <c r="H103" i="689"/>
  <c r="AG102" i="689"/>
  <c r="AF102" i="689"/>
  <c r="W102" i="689"/>
  <c r="H102" i="689"/>
  <c r="AG101" i="689"/>
  <c r="AF101" i="689"/>
  <c r="W101" i="689"/>
  <c r="H101" i="689"/>
  <c r="AG100" i="689"/>
  <c r="W100" i="689"/>
  <c r="N100" i="689"/>
  <c r="O100" i="689" s="1"/>
  <c r="P100" i="689"/>
  <c r="H100" i="689"/>
  <c r="W99" i="689"/>
  <c r="N99" i="689" s="1"/>
  <c r="P99" i="689"/>
  <c r="H99" i="689"/>
  <c r="AG98" i="689"/>
  <c r="W98" i="689"/>
  <c r="N98" i="689"/>
  <c r="O98" i="689" s="1"/>
  <c r="P98" i="689"/>
  <c r="H98" i="689"/>
  <c r="W97" i="689"/>
  <c r="N97" i="689" s="1"/>
  <c r="P97" i="689"/>
  <c r="H97" i="689"/>
  <c r="W96" i="689"/>
  <c r="N96" i="689" s="1"/>
  <c r="P108" i="689"/>
  <c r="H96" i="689"/>
  <c r="AE95" i="689"/>
  <c r="AD95" i="689"/>
  <c r="AA95" i="689"/>
  <c r="Z95" i="689"/>
  <c r="M95" i="689"/>
  <c r="AK94" i="689"/>
  <c r="AJ94" i="689"/>
  <c r="AG94" i="689"/>
  <c r="AF94" i="689"/>
  <c r="W94" i="689"/>
  <c r="H94" i="689"/>
  <c r="AK93" i="689"/>
  <c r="AJ93" i="689"/>
  <c r="AG93" i="689"/>
  <c r="AF93" i="689"/>
  <c r="W93" i="689"/>
  <c r="H93" i="689"/>
  <c r="AK92" i="689"/>
  <c r="AJ92" i="689"/>
  <c r="AG92" i="689"/>
  <c r="AF92" i="689"/>
  <c r="W92" i="689"/>
  <c r="H92" i="689"/>
  <c r="AK91" i="689"/>
  <c r="AJ91" i="689"/>
  <c r="AG91" i="689"/>
  <c r="AF91" i="689"/>
  <c r="W91" i="689"/>
  <c r="H91" i="689"/>
  <c r="AK90" i="689"/>
  <c r="AJ90" i="689"/>
  <c r="AG90" i="689"/>
  <c r="AF90" i="689"/>
  <c r="W90" i="689"/>
  <c r="H90" i="689"/>
  <c r="AK89" i="689"/>
  <c r="AJ89" i="689"/>
  <c r="W89" i="689"/>
  <c r="N89" i="689" s="1"/>
  <c r="P89" i="689"/>
  <c r="H89" i="689"/>
  <c r="AK88" i="689"/>
  <c r="AJ88" i="689"/>
  <c r="W88" i="689"/>
  <c r="N88" i="689" s="1"/>
  <c r="P88" i="689"/>
  <c r="H88" i="689"/>
  <c r="AK87" i="689"/>
  <c r="AJ87" i="689"/>
  <c r="W87" i="689"/>
  <c r="N87" i="689" s="1"/>
  <c r="P87" i="689"/>
  <c r="H87" i="689"/>
  <c r="AK86" i="689"/>
  <c r="AJ86" i="689"/>
  <c r="W86" i="689"/>
  <c r="N86" i="689" s="1"/>
  <c r="P86" i="689"/>
  <c r="H86" i="689"/>
  <c r="AK85" i="689"/>
  <c r="AJ85" i="689"/>
  <c r="W85" i="689"/>
  <c r="N85" i="689" s="1"/>
  <c r="P85" i="689"/>
  <c r="H85" i="689"/>
  <c r="AK84" i="689"/>
  <c r="AJ84" i="689"/>
  <c r="W84" i="689"/>
  <c r="N84" i="689" s="1"/>
  <c r="P84" i="689"/>
  <c r="H84" i="689"/>
  <c r="AK83" i="689"/>
  <c r="AJ83" i="689"/>
  <c r="W83" i="689"/>
  <c r="N83" i="689"/>
  <c r="P95" i="689"/>
  <c r="H83" i="689"/>
  <c r="AE82" i="689"/>
  <c r="AD82" i="689"/>
  <c r="AA82" i="689"/>
  <c r="Z82" i="689"/>
  <c r="M82" i="689"/>
  <c r="AJ81" i="689"/>
  <c r="AK81" i="689" s="1"/>
  <c r="W81" i="689"/>
  <c r="AK80" i="689"/>
  <c r="AJ80" i="689"/>
  <c r="AG80" i="689"/>
  <c r="AF80" i="689"/>
  <c r="W80" i="689"/>
  <c r="AJ79" i="689"/>
  <c r="AK79" i="689" s="1"/>
  <c r="AG79" i="689"/>
  <c r="AF79" i="689"/>
  <c r="W79" i="689"/>
  <c r="AJ78" i="689"/>
  <c r="AK78" i="689" s="1"/>
  <c r="AK70" i="689" s="1"/>
  <c r="AG78" i="689"/>
  <c r="AF78" i="689"/>
  <c r="W78" i="689"/>
  <c r="AK77" i="689"/>
  <c r="AJ77" i="689"/>
  <c r="AG77" i="689"/>
  <c r="AF77" i="689"/>
  <c r="W77" i="689"/>
  <c r="AK76" i="689"/>
  <c r="AJ76" i="689"/>
  <c r="AG76" i="689"/>
  <c r="AF76" i="689"/>
  <c r="W76" i="689"/>
  <c r="H76" i="689"/>
  <c r="AK75" i="689"/>
  <c r="AJ75" i="689"/>
  <c r="W75" i="689"/>
  <c r="N75" i="689" s="1"/>
  <c r="P75" i="689"/>
  <c r="H75" i="689"/>
  <c r="AK74" i="689"/>
  <c r="AJ74" i="689"/>
  <c r="W74" i="689"/>
  <c r="N74" i="689" s="1"/>
  <c r="P74" i="689"/>
  <c r="H74" i="689"/>
  <c r="AK73" i="689"/>
  <c r="AJ73" i="689"/>
  <c r="W73" i="689"/>
  <c r="N73" i="689" s="1"/>
  <c r="P73" i="689"/>
  <c r="H73" i="689"/>
  <c r="AK72" i="689"/>
  <c r="AJ72" i="689"/>
  <c r="W72" i="689"/>
  <c r="N72" i="689" s="1"/>
  <c r="P72" i="689"/>
  <c r="H72" i="689"/>
  <c r="AK71" i="689"/>
  <c r="AJ71" i="689"/>
  <c r="W71" i="689"/>
  <c r="N71" i="689" s="1"/>
  <c r="P71" i="689"/>
  <c r="H71" i="689"/>
  <c r="AJ70" i="689"/>
  <c r="AF70" i="689"/>
  <c r="W70" i="689"/>
  <c r="P70" i="689"/>
  <c r="N70" i="689"/>
  <c r="AG70" i="689" s="1"/>
  <c r="H70" i="689"/>
  <c r="AE69" i="689"/>
  <c r="AD69" i="689"/>
  <c r="AA69" i="689"/>
  <c r="Z69" i="689"/>
  <c r="W69" i="689"/>
  <c r="M69" i="689"/>
  <c r="W68" i="689"/>
  <c r="H68" i="689"/>
  <c r="AG67" i="689"/>
  <c r="AF67" i="689"/>
  <c r="W67" i="689"/>
  <c r="H67" i="689"/>
  <c r="AG66" i="689"/>
  <c r="AF66" i="689"/>
  <c r="W66" i="689"/>
  <c r="H66" i="689"/>
  <c r="AG65" i="689"/>
  <c r="AF65" i="689"/>
  <c r="W65" i="689"/>
  <c r="H65" i="689"/>
  <c r="AG64" i="689"/>
  <c r="AF64" i="689"/>
  <c r="W64" i="689"/>
  <c r="H64" i="689"/>
  <c r="AG63" i="689"/>
  <c r="AF63" i="689"/>
  <c r="W63" i="689"/>
  <c r="H63" i="689"/>
  <c r="AG62" i="689"/>
  <c r="AF62" i="689"/>
  <c r="W62" i="689"/>
  <c r="H62" i="689"/>
  <c r="AG61" i="689"/>
  <c r="AF61" i="689"/>
  <c r="W61" i="689"/>
  <c r="H61" i="689"/>
  <c r="W60" i="689"/>
  <c r="N60" i="689"/>
  <c r="H60" i="689"/>
  <c r="W59" i="689"/>
  <c r="N59" i="689" s="1"/>
  <c r="P59" i="689"/>
  <c r="H59" i="689"/>
  <c r="W58" i="689"/>
  <c r="N58" i="689"/>
  <c r="P58" i="689"/>
  <c r="H58" i="689"/>
  <c r="AG57" i="689"/>
  <c r="W57" i="689"/>
  <c r="N57" i="689"/>
  <c r="P69" i="689"/>
  <c r="H57" i="689"/>
  <c r="AE56" i="689"/>
  <c r="AD56" i="689"/>
  <c r="AA56" i="689"/>
  <c r="Z56" i="689"/>
  <c r="W56" i="689"/>
  <c r="M56" i="689"/>
  <c r="W55" i="689"/>
  <c r="H55" i="689"/>
  <c r="AG54" i="689"/>
  <c r="AF54" i="689"/>
  <c r="W54" i="689"/>
  <c r="H54" i="689"/>
  <c r="AG53" i="689"/>
  <c r="AF53" i="689"/>
  <c r="W53" i="689"/>
  <c r="H53" i="689"/>
  <c r="AG52" i="689"/>
  <c r="AF52" i="689"/>
  <c r="W52" i="689"/>
  <c r="H52" i="689"/>
  <c r="AG51" i="689"/>
  <c r="AF51" i="689"/>
  <c r="W51" i="689"/>
  <c r="H51" i="689"/>
  <c r="W50" i="689"/>
  <c r="P50" i="689"/>
  <c r="N50" i="689"/>
  <c r="O50" i="689" s="1"/>
  <c r="Q50" i="689" s="1"/>
  <c r="R50" i="689"/>
  <c r="H50" i="689"/>
  <c r="W49" i="689"/>
  <c r="N49" i="689"/>
  <c r="AF49" i="689" s="1"/>
  <c r="P49" i="689"/>
  <c r="H49" i="689"/>
  <c r="W48" i="689"/>
  <c r="P48" i="689"/>
  <c r="N48" i="689"/>
  <c r="O48" i="689" s="1"/>
  <c r="R48" i="689"/>
  <c r="AG48" i="689"/>
  <c r="H48" i="689"/>
  <c r="W47" i="689"/>
  <c r="N47" i="689"/>
  <c r="AF47" i="689" s="1"/>
  <c r="P47" i="689"/>
  <c r="H47" i="689"/>
  <c r="W46" i="689"/>
  <c r="P46" i="689"/>
  <c r="N46" i="689"/>
  <c r="O46" i="689" s="1"/>
  <c r="R46" i="689"/>
  <c r="AG46" i="689"/>
  <c r="H46" i="689"/>
  <c r="W45" i="689"/>
  <c r="N45" i="689"/>
  <c r="AF45" i="689" s="1"/>
  <c r="P45" i="689"/>
  <c r="H45" i="689"/>
  <c r="W44" i="689"/>
  <c r="N44" i="689"/>
  <c r="AG44" i="689" s="1"/>
  <c r="P44" i="689"/>
  <c r="H44" i="689"/>
  <c r="AE43" i="689"/>
  <c r="AD43" i="689"/>
  <c r="AA43" i="689"/>
  <c r="Z43" i="689"/>
  <c r="M43" i="689"/>
  <c r="AJ42" i="689"/>
  <c r="AK42" i="689" s="1"/>
  <c r="W42" i="689"/>
  <c r="H42" i="689"/>
  <c r="AK41" i="689"/>
  <c r="AJ41" i="689"/>
  <c r="W41" i="689"/>
  <c r="H41" i="689"/>
  <c r="AJ40" i="689"/>
  <c r="AK40" i="689" s="1"/>
  <c r="AG40" i="689"/>
  <c r="AF40" i="689"/>
  <c r="W40" i="689"/>
  <c r="H40" i="689"/>
  <c r="AJ39" i="689"/>
  <c r="AK39" i="689" s="1"/>
  <c r="AG39" i="689"/>
  <c r="AF39" i="689"/>
  <c r="W39" i="689"/>
  <c r="H39" i="689"/>
  <c r="AJ38" i="689"/>
  <c r="AK38" i="689" s="1"/>
  <c r="AG38" i="689"/>
  <c r="AF38" i="689"/>
  <c r="W38" i="689"/>
  <c r="H38" i="689"/>
  <c r="AJ37" i="689"/>
  <c r="AK37" i="689" s="1"/>
  <c r="AG37" i="689"/>
  <c r="AF37" i="689"/>
  <c r="W37" i="689"/>
  <c r="H37" i="689"/>
  <c r="AJ36" i="689"/>
  <c r="AK36" i="689" s="1"/>
  <c r="W36" i="689"/>
  <c r="N36" i="689"/>
  <c r="O36" i="689" s="1"/>
  <c r="P36" i="689"/>
  <c r="H36" i="689"/>
  <c r="AJ35" i="689"/>
  <c r="AK35" i="689" s="1"/>
  <c r="W35" i="689"/>
  <c r="N35" i="689"/>
  <c r="O35" i="689" s="1"/>
  <c r="P35" i="689"/>
  <c r="H35" i="689"/>
  <c r="AJ34" i="689"/>
  <c r="AK34" i="689" s="1"/>
  <c r="W34" i="689"/>
  <c r="P34" i="689"/>
  <c r="N34" i="689"/>
  <c r="O34" i="689" s="1"/>
  <c r="H34" i="689"/>
  <c r="AJ33" i="689"/>
  <c r="AK33" i="689" s="1"/>
  <c r="AG33" i="689"/>
  <c r="W33" i="689"/>
  <c r="P33" i="689"/>
  <c r="N33" i="689"/>
  <c r="O33" i="689" s="1"/>
  <c r="H33" i="689"/>
  <c r="AJ32" i="689"/>
  <c r="AK32" i="689" s="1"/>
  <c r="AG32" i="689"/>
  <c r="W32" i="689"/>
  <c r="P32" i="689"/>
  <c r="N32" i="689"/>
  <c r="O32" i="689" s="1"/>
  <c r="H32" i="689"/>
  <c r="AJ31" i="689"/>
  <c r="W31" i="689"/>
  <c r="N31" i="689" s="1"/>
  <c r="P31" i="689"/>
  <c r="H31" i="689"/>
  <c r="AE30" i="689"/>
  <c r="AD30" i="689"/>
  <c r="AA30" i="689"/>
  <c r="Z30" i="689"/>
  <c r="M30" i="689"/>
  <c r="P30" i="689" s="1"/>
  <c r="AK29" i="689"/>
  <c r="AJ29" i="689"/>
  <c r="AF29" i="689"/>
  <c r="W29" i="689"/>
  <c r="H29" i="689"/>
  <c r="AK28" i="689"/>
  <c r="AJ28" i="689"/>
  <c r="AG28" i="689"/>
  <c r="AF28" i="689"/>
  <c r="W28" i="689"/>
  <c r="H28" i="689"/>
  <c r="AK27" i="689"/>
  <c r="AJ27" i="689"/>
  <c r="AG27" i="689"/>
  <c r="AF27" i="689"/>
  <c r="W27" i="689"/>
  <c r="H27" i="689"/>
  <c r="AK26" i="689"/>
  <c r="AJ26" i="689"/>
  <c r="AG26" i="689"/>
  <c r="AF26" i="689"/>
  <c r="W26" i="689"/>
  <c r="H26" i="689"/>
  <c r="AK25" i="689"/>
  <c r="AJ25" i="689"/>
  <c r="AG25" i="689"/>
  <c r="AF25" i="689"/>
  <c r="W25" i="689"/>
  <c r="H25" i="689"/>
  <c r="AK24" i="689"/>
  <c r="AJ24" i="689"/>
  <c r="W24" i="689"/>
  <c r="N24" i="689" s="1"/>
  <c r="P24" i="689"/>
  <c r="H24" i="689"/>
  <c r="AK23" i="689"/>
  <c r="AJ23" i="689"/>
  <c r="W23" i="689"/>
  <c r="N23" i="689" s="1"/>
  <c r="P23" i="689"/>
  <c r="H23" i="689"/>
  <c r="AK22" i="689"/>
  <c r="AJ22" i="689"/>
  <c r="W22" i="689"/>
  <c r="N22" i="689" s="1"/>
  <c r="P22" i="689"/>
  <c r="H22" i="689"/>
  <c r="AK21" i="689"/>
  <c r="AJ21" i="689"/>
  <c r="W21" i="689"/>
  <c r="N21" i="689" s="1"/>
  <c r="P21" i="689"/>
  <c r="H21" i="689"/>
  <c r="AK20" i="689"/>
  <c r="AJ20" i="689"/>
  <c r="W20" i="689"/>
  <c r="N20" i="689" s="1"/>
  <c r="P20" i="689"/>
  <c r="H20" i="689"/>
  <c r="AK19" i="689"/>
  <c r="AJ19" i="689"/>
  <c r="W19" i="689"/>
  <c r="N19" i="689" s="1"/>
  <c r="P19" i="689"/>
  <c r="H19" i="689"/>
  <c r="AK18" i="689"/>
  <c r="AJ18" i="689"/>
  <c r="AF18" i="689"/>
  <c r="W18" i="689"/>
  <c r="O18" i="689"/>
  <c r="R18" i="689" s="1"/>
  <c r="N18" i="689"/>
  <c r="N30" i="689" s="1"/>
  <c r="Q18" i="689"/>
  <c r="H18" i="689"/>
  <c r="AE17" i="689"/>
  <c r="AD17" i="689"/>
  <c r="AA17" i="689"/>
  <c r="Z17" i="689"/>
  <c r="W17" i="689"/>
  <c r="M17" i="689"/>
  <c r="AJ16" i="689"/>
  <c r="AK16" i="689" s="1"/>
  <c r="AG16" i="689"/>
  <c r="AF16" i="689"/>
  <c r="W16" i="689"/>
  <c r="H16" i="689"/>
  <c r="AJ15" i="689"/>
  <c r="AK15" i="689" s="1"/>
  <c r="AG15" i="689"/>
  <c r="AF15" i="689"/>
  <c r="W15" i="689"/>
  <c r="H15" i="689"/>
  <c r="AJ14" i="689"/>
  <c r="AK14" i="689" s="1"/>
  <c r="AG14" i="689"/>
  <c r="AF14" i="689"/>
  <c r="W14" i="689"/>
  <c r="H14" i="689"/>
  <c r="AJ13" i="689"/>
  <c r="AK13" i="689" s="1"/>
  <c r="AG13" i="689"/>
  <c r="AF13" i="689"/>
  <c r="W13" i="689"/>
  <c r="H13" i="689"/>
  <c r="AJ12" i="689"/>
  <c r="AK12" i="689" s="1"/>
  <c r="W12" i="689"/>
  <c r="P12" i="689"/>
  <c r="N12" i="689"/>
  <c r="O12" i="689" s="1"/>
  <c r="H12" i="689"/>
  <c r="AJ11" i="689"/>
  <c r="AK11" i="689" s="1"/>
  <c r="W11" i="689"/>
  <c r="P11" i="689"/>
  <c r="N11" i="689"/>
  <c r="O11" i="689" s="1"/>
  <c r="H11" i="689"/>
  <c r="AJ10" i="689"/>
  <c r="AK10" i="689" s="1"/>
  <c r="W10" i="689"/>
  <c r="P10" i="689"/>
  <c r="N10" i="689"/>
  <c r="O10" i="689" s="1"/>
  <c r="H10" i="689"/>
  <c r="AJ9" i="689"/>
  <c r="AK9" i="689" s="1"/>
  <c r="W9" i="689"/>
  <c r="P9" i="689"/>
  <c r="N9" i="689"/>
  <c r="O9" i="689" s="1"/>
  <c r="AF9" i="689"/>
  <c r="H9" i="689"/>
  <c r="AJ8" i="689"/>
  <c r="AK8" i="689" s="1"/>
  <c r="W8" i="689"/>
  <c r="P8" i="689"/>
  <c r="N8" i="689"/>
  <c r="O8" i="689" s="1"/>
  <c r="AF8" i="689"/>
  <c r="H8" i="689"/>
  <c r="AJ7" i="689"/>
  <c r="AK7" i="689" s="1"/>
  <c r="W7" i="689"/>
  <c r="P7" i="689"/>
  <c r="N7" i="689"/>
  <c r="O7" i="689" s="1"/>
  <c r="H7" i="689"/>
  <c r="AJ6" i="689"/>
  <c r="AK6" i="689" s="1"/>
  <c r="W6" i="689"/>
  <c r="P6" i="689"/>
  <c r="N6" i="689"/>
  <c r="O6" i="689" s="1"/>
  <c r="AG6" i="689"/>
  <c r="H6" i="689"/>
  <c r="AJ5" i="689"/>
  <c r="W5" i="689"/>
  <c r="N5" i="689"/>
  <c r="AF5" i="689" s="1"/>
  <c r="P5" i="689"/>
  <c r="H5" i="689"/>
  <c r="AE2" i="689"/>
  <c r="AD2" i="689"/>
  <c r="AA2" i="689"/>
  <c r="Z2" i="689"/>
  <c r="I2" i="689"/>
  <c r="I1" i="689"/>
  <c r="E1" i="689"/>
  <c r="J124" i="688"/>
  <c r="H123" i="688"/>
  <c r="H122" i="688"/>
  <c r="H121" i="688"/>
  <c r="H120" i="688"/>
  <c r="H119" i="688"/>
  <c r="H118" i="688"/>
  <c r="P117" i="688"/>
  <c r="L117" i="688"/>
  <c r="K117" i="688"/>
  <c r="H117" i="688"/>
  <c r="P116" i="688"/>
  <c r="K116" i="688"/>
  <c r="L116" i="688" s="1"/>
  <c r="H116" i="688"/>
  <c r="P115" i="688"/>
  <c r="K115" i="688" s="1"/>
  <c r="L115" i="688" s="1"/>
  <c r="H115" i="688"/>
  <c r="P114" i="688"/>
  <c r="K114" i="688"/>
  <c r="L114" i="688" s="1"/>
  <c r="H114" i="688"/>
  <c r="P113" i="688"/>
  <c r="K113" i="688" s="1"/>
  <c r="L113" i="688" s="1"/>
  <c r="H113" i="688"/>
  <c r="P112" i="688"/>
  <c r="K112" i="688"/>
  <c r="K124" i="688" s="1"/>
  <c r="H112" i="688"/>
  <c r="J111" i="688"/>
  <c r="H110" i="688"/>
  <c r="H109" i="688"/>
  <c r="H108" i="688"/>
  <c r="H107" i="688"/>
  <c r="H106" i="688"/>
  <c r="P105" i="688"/>
  <c r="K105" i="688" s="1"/>
  <c r="L105" i="688" s="1"/>
  <c r="H105" i="688"/>
  <c r="P104" i="688"/>
  <c r="K104" i="688"/>
  <c r="L104" i="688" s="1"/>
  <c r="H104" i="688"/>
  <c r="P103" i="688"/>
  <c r="K103" i="688" s="1"/>
  <c r="L103" i="688" s="1"/>
  <c r="H103" i="688"/>
  <c r="P102" i="688"/>
  <c r="K102" i="688"/>
  <c r="L102" i="688" s="1"/>
  <c r="H102" i="688"/>
  <c r="P101" i="688"/>
  <c r="K101" i="688" s="1"/>
  <c r="H101" i="688"/>
  <c r="J100" i="688"/>
  <c r="H99" i="688"/>
  <c r="H98" i="688"/>
  <c r="H97" i="688"/>
  <c r="H96" i="688"/>
  <c r="H95" i="688"/>
  <c r="H94" i="688"/>
  <c r="P93" i="688"/>
  <c r="K93" i="688" s="1"/>
  <c r="L93" i="688" s="1"/>
  <c r="H93" i="688"/>
  <c r="P92" i="688"/>
  <c r="K92" i="688"/>
  <c r="K100" i="688" s="1"/>
  <c r="H92" i="688"/>
  <c r="J91" i="688"/>
  <c r="H90" i="688"/>
  <c r="H89" i="688"/>
  <c r="H88" i="688"/>
  <c r="H87" i="688"/>
  <c r="H86" i="688"/>
  <c r="H85" i="688"/>
  <c r="H84" i="688"/>
  <c r="P83" i="688"/>
  <c r="K83" i="688" s="1"/>
  <c r="L83" i="688" s="1"/>
  <c r="H83" i="688"/>
  <c r="P82" i="688"/>
  <c r="K82" i="688"/>
  <c r="L82" i="688" s="1"/>
  <c r="L91" i="688" s="1"/>
  <c r="H82" i="688"/>
  <c r="L81" i="688"/>
  <c r="K81" i="688"/>
  <c r="J81" i="688"/>
  <c r="H80" i="688"/>
  <c r="H79" i="688"/>
  <c r="H78" i="688"/>
  <c r="H77" i="688"/>
  <c r="H76" i="688"/>
  <c r="J75" i="688"/>
  <c r="H74" i="688"/>
  <c r="H73" i="688"/>
  <c r="H72" i="688"/>
  <c r="P71" i="688"/>
  <c r="K71" i="688"/>
  <c r="L71" i="688" s="1"/>
  <c r="H71" i="688"/>
  <c r="P70" i="688"/>
  <c r="K70" i="688" s="1"/>
  <c r="L70" i="688" s="1"/>
  <c r="H70" i="688"/>
  <c r="P69" i="688"/>
  <c r="K69" i="688"/>
  <c r="L69" i="688" s="1"/>
  <c r="H69" i="688"/>
  <c r="P68" i="688"/>
  <c r="K68" i="688" s="1"/>
  <c r="L68" i="688" s="1"/>
  <c r="H68" i="688"/>
  <c r="P67" i="688"/>
  <c r="K67" i="688"/>
  <c r="L67" i="688" s="1"/>
  <c r="H67" i="688"/>
  <c r="P66" i="688"/>
  <c r="K66" i="688" s="1"/>
  <c r="L66" i="688" s="1"/>
  <c r="H66" i="688"/>
  <c r="P65" i="688"/>
  <c r="K65" i="688"/>
  <c r="K75" i="688" s="1"/>
  <c r="H65" i="688"/>
  <c r="J64" i="688"/>
  <c r="H63" i="688"/>
  <c r="H62" i="688"/>
  <c r="H61" i="688"/>
  <c r="H60" i="688"/>
  <c r="H59" i="688"/>
  <c r="H58" i="688"/>
  <c r="P57" i="688"/>
  <c r="K57" i="688"/>
  <c r="L57" i="688" s="1"/>
  <c r="H57" i="688"/>
  <c r="P56" i="688"/>
  <c r="K56" i="688" s="1"/>
  <c r="L56" i="688" s="1"/>
  <c r="H56" i="688"/>
  <c r="P55" i="688"/>
  <c r="K55" i="688"/>
  <c r="L55" i="688" s="1"/>
  <c r="H55" i="688"/>
  <c r="P54" i="688"/>
  <c r="K54" i="688" s="1"/>
  <c r="L54" i="688" s="1"/>
  <c r="H54" i="688"/>
  <c r="P53" i="688"/>
  <c r="L53" i="688"/>
  <c r="K53" i="688"/>
  <c r="H53" i="688"/>
  <c r="P52" i="688"/>
  <c r="K52" i="688" s="1"/>
  <c r="H52" i="688"/>
  <c r="H50" i="688"/>
  <c r="H49" i="688"/>
  <c r="H47" i="688"/>
  <c r="H46" i="688"/>
  <c r="H45" i="688"/>
  <c r="H44" i="688"/>
  <c r="H43" i="688"/>
  <c r="H42" i="688"/>
  <c r="H41" i="688"/>
  <c r="P40" i="688"/>
  <c r="K40" i="688"/>
  <c r="L40" i="688" s="1"/>
  <c r="H40" i="688"/>
  <c r="P39" i="688"/>
  <c r="K39" i="688" s="1"/>
  <c r="L39" i="688" s="1"/>
  <c r="H39" i="688"/>
  <c r="J38" i="688"/>
  <c r="J51" i="688" s="1"/>
  <c r="I1" i="688" s="1"/>
  <c r="H37" i="688"/>
  <c r="H36" i="688"/>
  <c r="H35" i="688"/>
  <c r="H34" i="688"/>
  <c r="H33" i="688"/>
  <c r="H32" i="688"/>
  <c r="H31" i="688"/>
  <c r="P30" i="688"/>
  <c r="L30" i="688"/>
  <c r="K30" i="688"/>
  <c r="H30" i="688"/>
  <c r="P29" i="688"/>
  <c r="K29" i="688" s="1"/>
  <c r="L29" i="688" s="1"/>
  <c r="H29" i="688"/>
  <c r="P28" i="688"/>
  <c r="L28" i="688"/>
  <c r="K28" i="688"/>
  <c r="H28" i="688"/>
  <c r="P27" i="688"/>
  <c r="K27" i="688" s="1"/>
  <c r="L27" i="688" s="1"/>
  <c r="H27" i="688"/>
  <c r="P26" i="688"/>
  <c r="L26" i="688"/>
  <c r="K26" i="688"/>
  <c r="H26" i="688"/>
  <c r="P25" i="688"/>
  <c r="K25" i="688" s="1"/>
  <c r="H25" i="688"/>
  <c r="J24" i="688"/>
  <c r="H23" i="688"/>
  <c r="H22" i="688"/>
  <c r="P20" i="688"/>
  <c r="L20" i="688"/>
  <c r="K20" i="688"/>
  <c r="H20" i="688"/>
  <c r="P19" i="688"/>
  <c r="K19" i="688" s="1"/>
  <c r="L19" i="688" s="1"/>
  <c r="H19" i="688"/>
  <c r="P18" i="688"/>
  <c r="L18" i="688"/>
  <c r="K18" i="688"/>
  <c r="H18" i="688"/>
  <c r="P17" i="688"/>
  <c r="L17" i="688"/>
  <c r="L24" i="688" s="1"/>
  <c r="K17" i="688"/>
  <c r="K24" i="688" s="1"/>
  <c r="H17" i="688"/>
  <c r="J16" i="688"/>
  <c r="H15" i="688"/>
  <c r="H14" i="688"/>
  <c r="H13" i="688"/>
  <c r="H12" i="688"/>
  <c r="H11" i="688"/>
  <c r="H10" i="688"/>
  <c r="P8" i="688"/>
  <c r="L8" i="688"/>
  <c r="K8" i="688"/>
  <c r="H8" i="688"/>
  <c r="P7" i="688"/>
  <c r="K7" i="688" s="1"/>
  <c r="L7" i="688" s="1"/>
  <c r="H7" i="688"/>
  <c r="P6" i="688"/>
  <c r="L6" i="688"/>
  <c r="K6" i="688"/>
  <c r="H6" i="688"/>
  <c r="P5" i="688"/>
  <c r="K5" i="688" s="1"/>
  <c r="H5" i="688"/>
  <c r="I2" i="688"/>
  <c r="E1" i="688"/>
  <c r="J124" i="687"/>
  <c r="H123" i="687"/>
  <c r="H122" i="687"/>
  <c r="H121" i="687"/>
  <c r="H120" i="687"/>
  <c r="H119" i="687"/>
  <c r="H118" i="687"/>
  <c r="P117" i="687"/>
  <c r="K117" i="687" s="1"/>
  <c r="L117" i="687" s="1"/>
  <c r="H117" i="687"/>
  <c r="P116" i="687"/>
  <c r="L116" i="687"/>
  <c r="K116" i="687"/>
  <c r="H116" i="687"/>
  <c r="P115" i="687"/>
  <c r="K115" i="687" s="1"/>
  <c r="L115" i="687" s="1"/>
  <c r="H115" i="687"/>
  <c r="P114" i="687"/>
  <c r="L114" i="687"/>
  <c r="K114" i="687"/>
  <c r="H114" i="687"/>
  <c r="P113" i="687"/>
  <c r="K113" i="687" s="1"/>
  <c r="H113" i="687"/>
  <c r="P112" i="687"/>
  <c r="L112" i="687"/>
  <c r="K112" i="687"/>
  <c r="H112" i="687"/>
  <c r="J111" i="687"/>
  <c r="H110" i="687"/>
  <c r="H109" i="687"/>
  <c r="H108" i="687"/>
  <c r="H107" i="687"/>
  <c r="H106" i="687"/>
  <c r="P105" i="687"/>
  <c r="K105" i="687" s="1"/>
  <c r="L105" i="687" s="1"/>
  <c r="H105" i="687"/>
  <c r="P104" i="687"/>
  <c r="K104" i="687"/>
  <c r="L104" i="687" s="1"/>
  <c r="H104" i="687"/>
  <c r="P103" i="687"/>
  <c r="K103" i="687" s="1"/>
  <c r="L103" i="687" s="1"/>
  <c r="H103" i="687"/>
  <c r="P102" i="687"/>
  <c r="K102" i="687"/>
  <c r="L102" i="687" s="1"/>
  <c r="H102" i="687"/>
  <c r="P101" i="687"/>
  <c r="K101" i="687" s="1"/>
  <c r="H101" i="687"/>
  <c r="J100" i="687"/>
  <c r="H99" i="687"/>
  <c r="H98" i="687"/>
  <c r="H97" i="687"/>
  <c r="H96" i="687"/>
  <c r="H95" i="687"/>
  <c r="H94" i="687"/>
  <c r="P93" i="687"/>
  <c r="K93" i="687" s="1"/>
  <c r="L93" i="687" s="1"/>
  <c r="H93" i="687"/>
  <c r="P92" i="687"/>
  <c r="K92" i="687"/>
  <c r="K100" i="687" s="1"/>
  <c r="H92" i="687"/>
  <c r="J91" i="687"/>
  <c r="H90" i="687"/>
  <c r="H89" i="687"/>
  <c r="H88" i="687"/>
  <c r="H87" i="687"/>
  <c r="H86" i="687"/>
  <c r="H85" i="687"/>
  <c r="H84" i="687"/>
  <c r="P83" i="687"/>
  <c r="K83" i="687" s="1"/>
  <c r="L83" i="687" s="1"/>
  <c r="H83" i="687"/>
  <c r="P82" i="687"/>
  <c r="L82" i="687"/>
  <c r="L91" i="687" s="1"/>
  <c r="K82" i="687"/>
  <c r="K91" i="687" s="1"/>
  <c r="H82" i="687"/>
  <c r="L81" i="687"/>
  <c r="K81" i="687"/>
  <c r="J81" i="687"/>
  <c r="H80" i="687"/>
  <c r="H79" i="687"/>
  <c r="H78" i="687"/>
  <c r="H77" i="687"/>
  <c r="H76" i="687"/>
  <c r="J75" i="687"/>
  <c r="H74" i="687"/>
  <c r="H73" i="687"/>
  <c r="H72" i="687"/>
  <c r="P71" i="687"/>
  <c r="K71" i="687"/>
  <c r="L71" i="687" s="1"/>
  <c r="H71" i="687"/>
  <c r="P70" i="687"/>
  <c r="K70" i="687" s="1"/>
  <c r="L70" i="687" s="1"/>
  <c r="H70" i="687"/>
  <c r="P69" i="687"/>
  <c r="K69" i="687"/>
  <c r="L69" i="687" s="1"/>
  <c r="H69" i="687"/>
  <c r="P68" i="687"/>
  <c r="K68" i="687" s="1"/>
  <c r="L68" i="687" s="1"/>
  <c r="H68" i="687"/>
  <c r="P67" i="687"/>
  <c r="K67" i="687"/>
  <c r="L67" i="687" s="1"/>
  <c r="H67" i="687"/>
  <c r="P66" i="687"/>
  <c r="K66" i="687" s="1"/>
  <c r="L66" i="687" s="1"/>
  <c r="H66" i="687"/>
  <c r="P65" i="687"/>
  <c r="K65" i="687"/>
  <c r="K75" i="687" s="1"/>
  <c r="H65" i="687"/>
  <c r="J64" i="687"/>
  <c r="H63" i="687"/>
  <c r="H62" i="687"/>
  <c r="H61" i="687"/>
  <c r="H60" i="687"/>
  <c r="H59" i="687"/>
  <c r="H58" i="687"/>
  <c r="P57" i="687"/>
  <c r="L57" i="687"/>
  <c r="K57" i="687"/>
  <c r="H57" i="687"/>
  <c r="P56" i="687"/>
  <c r="K56" i="687" s="1"/>
  <c r="L56" i="687" s="1"/>
  <c r="H56" i="687"/>
  <c r="P55" i="687"/>
  <c r="L55" i="687"/>
  <c r="K55" i="687"/>
  <c r="H55" i="687"/>
  <c r="P54" i="687"/>
  <c r="K54" i="687" s="1"/>
  <c r="L54" i="687" s="1"/>
  <c r="H54" i="687"/>
  <c r="P53" i="687"/>
  <c r="L53" i="687"/>
  <c r="K53" i="687"/>
  <c r="H53" i="687"/>
  <c r="P52" i="687"/>
  <c r="K52" i="687" s="1"/>
  <c r="H52" i="687"/>
  <c r="H50" i="687"/>
  <c r="H49" i="687"/>
  <c r="H47" i="687"/>
  <c r="H46" i="687"/>
  <c r="H45" i="687"/>
  <c r="H44" i="687"/>
  <c r="H43" i="687"/>
  <c r="H42" i="687"/>
  <c r="H41" i="687"/>
  <c r="P40" i="687"/>
  <c r="K40" i="687"/>
  <c r="L40" i="687" s="1"/>
  <c r="H40" i="687"/>
  <c r="P39" i="687"/>
  <c r="K39" i="687" s="1"/>
  <c r="L39" i="687" s="1"/>
  <c r="H39" i="687"/>
  <c r="J38" i="687"/>
  <c r="J51" i="687" s="1"/>
  <c r="H37" i="687"/>
  <c r="H36" i="687"/>
  <c r="H35" i="687"/>
  <c r="H34" i="687"/>
  <c r="H33" i="687"/>
  <c r="H32" i="687"/>
  <c r="H31" i="687"/>
  <c r="P30" i="687"/>
  <c r="L30" i="687"/>
  <c r="K30" i="687"/>
  <c r="H30" i="687"/>
  <c r="P29" i="687"/>
  <c r="K29" i="687" s="1"/>
  <c r="L29" i="687" s="1"/>
  <c r="H29" i="687"/>
  <c r="P28" i="687"/>
  <c r="L28" i="687"/>
  <c r="K28" i="687"/>
  <c r="H28" i="687"/>
  <c r="P27" i="687"/>
  <c r="K27" i="687" s="1"/>
  <c r="L27" i="687" s="1"/>
  <c r="H27" i="687"/>
  <c r="P26" i="687"/>
  <c r="L26" i="687"/>
  <c r="K26" i="687"/>
  <c r="H26" i="687"/>
  <c r="P25" i="687"/>
  <c r="K25" i="687" s="1"/>
  <c r="H25" i="687"/>
  <c r="J24" i="687"/>
  <c r="H23" i="687"/>
  <c r="H22" i="687"/>
  <c r="H21" i="687"/>
  <c r="P20" i="687"/>
  <c r="K20" i="687"/>
  <c r="L20" i="687" s="1"/>
  <c r="H20" i="687"/>
  <c r="P19" i="687"/>
  <c r="K19" i="687"/>
  <c r="L19" i="687" s="1"/>
  <c r="H19" i="687"/>
  <c r="P18" i="687"/>
  <c r="K18" i="687"/>
  <c r="L18" i="687" s="1"/>
  <c r="H18" i="687"/>
  <c r="P17" i="687"/>
  <c r="K17" i="687"/>
  <c r="L17" i="687" s="1"/>
  <c r="L24" i="687" s="1"/>
  <c r="H17" i="687"/>
  <c r="J16" i="687"/>
  <c r="H15" i="687"/>
  <c r="H14" i="687"/>
  <c r="H13" i="687"/>
  <c r="H12" i="687"/>
  <c r="H11" i="687"/>
  <c r="H10" i="687"/>
  <c r="P9" i="687"/>
  <c r="K9" i="687"/>
  <c r="L9" i="687" s="1"/>
  <c r="H9" i="687"/>
  <c r="P8" i="687"/>
  <c r="K8" i="687"/>
  <c r="L8" i="687" s="1"/>
  <c r="H8" i="687"/>
  <c r="P7" i="687"/>
  <c r="L7" i="687"/>
  <c r="K7" i="687"/>
  <c r="H7" i="687"/>
  <c r="P6" i="687"/>
  <c r="K6" i="687" s="1"/>
  <c r="L6" i="687" s="1"/>
  <c r="H6" i="687"/>
  <c r="P5" i="687"/>
  <c r="K5" i="687"/>
  <c r="L5" i="687" s="1"/>
  <c r="L16" i="687" s="1"/>
  <c r="H5" i="687"/>
  <c r="I2" i="687"/>
  <c r="I1" i="687"/>
  <c r="E1" i="687"/>
  <c r="Q30" i="696" l="1"/>
  <c r="R30" i="696"/>
  <c r="S18" i="696" s="1"/>
  <c r="R127" i="696"/>
  <c r="Q127" i="696"/>
  <c r="Q152" i="696"/>
  <c r="R152" i="696"/>
  <c r="R139" i="696"/>
  <c r="Q139" i="696"/>
  <c r="R141" i="696"/>
  <c r="Q141" i="696"/>
  <c r="R135" i="696"/>
  <c r="O121" i="696"/>
  <c r="R109" i="696"/>
  <c r="Q109" i="696"/>
  <c r="Q154" i="696"/>
  <c r="R154" i="696"/>
  <c r="R123" i="696"/>
  <c r="Q87" i="696"/>
  <c r="R87" i="696"/>
  <c r="Q74" i="696"/>
  <c r="R74" i="696"/>
  <c r="O82" i="696"/>
  <c r="R70" i="696"/>
  <c r="Q70" i="696"/>
  <c r="Q97" i="696"/>
  <c r="R97" i="696"/>
  <c r="R117" i="696"/>
  <c r="Q117" i="696"/>
  <c r="R113" i="696"/>
  <c r="Q113" i="696"/>
  <c r="Q99" i="696"/>
  <c r="R99" i="696"/>
  <c r="Q58" i="696"/>
  <c r="R58" i="696"/>
  <c r="O43" i="696"/>
  <c r="R43" i="696" s="1"/>
  <c r="S31" i="696" s="1"/>
  <c r="R31" i="696"/>
  <c r="Q31" i="696"/>
  <c r="AG69" i="696"/>
  <c r="AH57" i="696" s="1"/>
  <c r="Q69" i="696"/>
  <c r="AF69" i="696"/>
  <c r="Q34" i="696"/>
  <c r="R34" i="696"/>
  <c r="R129" i="695"/>
  <c r="Q129" i="695"/>
  <c r="R125" i="695"/>
  <c r="Q125" i="695"/>
  <c r="Q73" i="696"/>
  <c r="Q71" i="696"/>
  <c r="R18" i="696"/>
  <c r="Q12" i="696"/>
  <c r="Q10" i="696"/>
  <c r="R6" i="696"/>
  <c r="Q6" i="696"/>
  <c r="R99" i="695"/>
  <c r="Q99" i="695"/>
  <c r="Q150" i="695"/>
  <c r="R150" i="695"/>
  <c r="R138" i="695"/>
  <c r="Q138" i="695"/>
  <c r="R122" i="695"/>
  <c r="Q122" i="695"/>
  <c r="O134" i="695"/>
  <c r="Q98" i="695"/>
  <c r="R98" i="695"/>
  <c r="AF108" i="695"/>
  <c r="AG108" i="695"/>
  <c r="AH96" i="695" s="1"/>
  <c r="Q164" i="695"/>
  <c r="R164" i="695"/>
  <c r="R141" i="695"/>
  <c r="AF69" i="695"/>
  <c r="AG69" i="695"/>
  <c r="AH57" i="695" s="1"/>
  <c r="Q69" i="695"/>
  <c r="Q161" i="695"/>
  <c r="O173" i="695"/>
  <c r="R161" i="695"/>
  <c r="AG56" i="695"/>
  <c r="AH44" i="695" s="1"/>
  <c r="Q56" i="695"/>
  <c r="AF56" i="695"/>
  <c r="Q43" i="695"/>
  <c r="AG43" i="695"/>
  <c r="AH31" i="695" s="1"/>
  <c r="AF43" i="695"/>
  <c r="Q48" i="695"/>
  <c r="R33" i="695"/>
  <c r="Q33" i="695"/>
  <c r="R72" i="695"/>
  <c r="Q72" i="695"/>
  <c r="R50" i="695"/>
  <c r="Q87" i="695"/>
  <c r="R87" i="695"/>
  <c r="Q25" i="695"/>
  <c r="R25" i="695"/>
  <c r="Q7" i="695"/>
  <c r="R7" i="695"/>
  <c r="O17" i="695"/>
  <c r="R5" i="695"/>
  <c r="Q5" i="695"/>
  <c r="R126" i="696"/>
  <c r="Q126" i="696"/>
  <c r="Q166" i="696"/>
  <c r="R166" i="696"/>
  <c r="Q162" i="696"/>
  <c r="R162" i="696"/>
  <c r="R140" i="696"/>
  <c r="Q140" i="696"/>
  <c r="R136" i="696"/>
  <c r="Q136" i="696"/>
  <c r="Q122" i="696"/>
  <c r="O134" i="696"/>
  <c r="R122" i="696"/>
  <c r="R118" i="696"/>
  <c r="Q118" i="696"/>
  <c r="O147" i="696"/>
  <c r="Q124" i="696"/>
  <c r="Q96" i="696"/>
  <c r="O108" i="696"/>
  <c r="R96" i="696"/>
  <c r="R114" i="696"/>
  <c r="Q114" i="696"/>
  <c r="R110" i="696"/>
  <c r="Q110" i="696"/>
  <c r="Q86" i="696"/>
  <c r="R86" i="696"/>
  <c r="O95" i="696"/>
  <c r="R83" i="696"/>
  <c r="Q83" i="696"/>
  <c r="Q60" i="696"/>
  <c r="R60" i="696"/>
  <c r="O56" i="696"/>
  <c r="R56" i="696" s="1"/>
  <c r="S44" i="696" s="1"/>
  <c r="R44" i="696"/>
  <c r="Q44" i="696"/>
  <c r="Q32" i="696"/>
  <c r="R32" i="696"/>
  <c r="R148" i="695"/>
  <c r="Q148" i="695"/>
  <c r="O160" i="695"/>
  <c r="R128" i="695"/>
  <c r="Q128" i="695"/>
  <c r="R124" i="695"/>
  <c r="Q124" i="695"/>
  <c r="R48" i="696"/>
  <c r="Q48" i="696"/>
  <c r="AG30" i="696"/>
  <c r="AH18" i="696" s="1"/>
  <c r="AF30" i="696"/>
  <c r="Q162" i="695"/>
  <c r="R162" i="695"/>
  <c r="R139" i="695"/>
  <c r="Q139" i="695"/>
  <c r="AG134" i="695"/>
  <c r="AH122" i="695" s="1"/>
  <c r="AF134" i="695"/>
  <c r="R75" i="695"/>
  <c r="Q75" i="695"/>
  <c r="R49" i="695"/>
  <c r="Q49" i="695"/>
  <c r="R45" i="695"/>
  <c r="Q45" i="695"/>
  <c r="Q140" i="695"/>
  <c r="AG173" i="695"/>
  <c r="AH161" i="695" s="1"/>
  <c r="AF173" i="695"/>
  <c r="R31" i="695"/>
  <c r="Q31" i="695"/>
  <c r="O43" i="695"/>
  <c r="R43" i="695" s="1"/>
  <c r="S31" i="695" s="1"/>
  <c r="Q84" i="695"/>
  <c r="R84" i="695"/>
  <c r="R34" i="695"/>
  <c r="Q34" i="695"/>
  <c r="Q85" i="695"/>
  <c r="R85" i="695"/>
  <c r="R70" i="695"/>
  <c r="O82" i="695"/>
  <c r="R82" i="695" s="1"/>
  <c r="S70" i="695" s="1"/>
  <c r="Q70" i="695"/>
  <c r="Q59" i="695"/>
  <c r="R59" i="695"/>
  <c r="R32" i="695"/>
  <c r="Q32" i="695"/>
  <c r="AF30" i="695"/>
  <c r="AG30" i="695"/>
  <c r="AH18" i="695" s="1"/>
  <c r="R73" i="695"/>
  <c r="Q73" i="695"/>
  <c r="Q46" i="695"/>
  <c r="Q12" i="695"/>
  <c r="R12" i="695"/>
  <c r="Q8" i="695"/>
  <c r="R8" i="695"/>
  <c r="AF17" i="695"/>
  <c r="AG17" i="695"/>
  <c r="AH5" i="695" s="1"/>
  <c r="R148" i="696"/>
  <c r="Q148" i="696"/>
  <c r="O160" i="696"/>
  <c r="R129" i="696"/>
  <c r="Q129" i="696"/>
  <c r="R125" i="696"/>
  <c r="Q125" i="696"/>
  <c r="Q161" i="696"/>
  <c r="O173" i="696"/>
  <c r="R161" i="696"/>
  <c r="Q150" i="696"/>
  <c r="R150" i="696"/>
  <c r="AG147" i="696"/>
  <c r="AH135" i="696" s="1"/>
  <c r="AF147" i="696"/>
  <c r="R137" i="696"/>
  <c r="Q137" i="696"/>
  <c r="AG134" i="696"/>
  <c r="AH122" i="696" s="1"/>
  <c r="AF134" i="696"/>
  <c r="AF160" i="696"/>
  <c r="R143" i="696"/>
  <c r="Q143" i="696"/>
  <c r="R115" i="696"/>
  <c r="Q115" i="696"/>
  <c r="R111" i="696"/>
  <c r="Q111" i="696"/>
  <c r="AG95" i="696"/>
  <c r="AH83" i="696" s="1"/>
  <c r="AF95" i="696"/>
  <c r="R24" i="696"/>
  <c r="Q24" i="696"/>
  <c r="Q57" i="696"/>
  <c r="O69" i="696"/>
  <c r="R69" i="696" s="1"/>
  <c r="S57" i="696" s="1"/>
  <c r="R57" i="696"/>
  <c r="R46" i="696"/>
  <c r="Q46" i="696"/>
  <c r="R127" i="695"/>
  <c r="Q127" i="695"/>
  <c r="R123" i="695"/>
  <c r="Q123" i="695"/>
  <c r="Q72" i="696"/>
  <c r="Q35" i="696"/>
  <c r="R35" i="696"/>
  <c r="R50" i="696"/>
  <c r="Q50" i="696"/>
  <c r="Q36" i="696"/>
  <c r="R36" i="696"/>
  <c r="R21" i="696"/>
  <c r="Q21" i="696"/>
  <c r="Q13" i="696"/>
  <c r="Q11" i="696"/>
  <c r="Q9" i="696"/>
  <c r="Q7" i="696"/>
  <c r="R136" i="695"/>
  <c r="Q136" i="695"/>
  <c r="R135" i="695"/>
  <c r="AF121" i="695"/>
  <c r="AG121" i="695"/>
  <c r="AH109" i="695" s="1"/>
  <c r="R100" i="695"/>
  <c r="Q100" i="695"/>
  <c r="Q166" i="695"/>
  <c r="R166" i="695"/>
  <c r="AF95" i="695"/>
  <c r="AG95" i="695"/>
  <c r="AH83" i="695" s="1"/>
  <c r="Q88" i="695"/>
  <c r="R88" i="695"/>
  <c r="O95" i="695"/>
  <c r="R35" i="695"/>
  <c r="Q35" i="695"/>
  <c r="Q24" i="695"/>
  <c r="R24" i="695"/>
  <c r="O30" i="695"/>
  <c r="Q18" i="695"/>
  <c r="R18" i="695"/>
  <c r="Q89" i="695"/>
  <c r="R89" i="695"/>
  <c r="AG82" i="695"/>
  <c r="AH70" i="695" s="1"/>
  <c r="AF82" i="695"/>
  <c r="Q82" i="695"/>
  <c r="Q86" i="695"/>
  <c r="R86" i="695"/>
  <c r="R74" i="695"/>
  <c r="Q74" i="695"/>
  <c r="R10" i="695"/>
  <c r="R128" i="696"/>
  <c r="Q128" i="696"/>
  <c r="AG173" i="696"/>
  <c r="AH161" i="696" s="1"/>
  <c r="AF173" i="696"/>
  <c r="Q164" i="696"/>
  <c r="R164" i="696"/>
  <c r="R138" i="696"/>
  <c r="Q138" i="696"/>
  <c r="Q135" i="696"/>
  <c r="R142" i="696"/>
  <c r="Q142" i="696"/>
  <c r="AG121" i="696"/>
  <c r="AH109" i="696" s="1"/>
  <c r="AF121" i="696"/>
  <c r="Q101" i="696"/>
  <c r="R101" i="696"/>
  <c r="AG108" i="696"/>
  <c r="AH96" i="696" s="1"/>
  <c r="AF108" i="696"/>
  <c r="Q89" i="696"/>
  <c r="R89" i="696"/>
  <c r="R116" i="696"/>
  <c r="Q116" i="696"/>
  <c r="R112" i="696"/>
  <c r="Q112" i="696"/>
  <c r="Q88" i="696"/>
  <c r="R88" i="696"/>
  <c r="Q84" i="696"/>
  <c r="R84" i="696"/>
  <c r="AG56" i="696"/>
  <c r="AH44" i="696" s="1"/>
  <c r="Q56" i="696"/>
  <c r="AF56" i="696"/>
  <c r="AF43" i="696"/>
  <c r="Q43" i="696"/>
  <c r="AG43" i="696"/>
  <c r="AH31" i="696" s="1"/>
  <c r="R20" i="696"/>
  <c r="Q20" i="696"/>
  <c r="Q33" i="696"/>
  <c r="R33" i="696"/>
  <c r="O17" i="696"/>
  <c r="R5" i="696"/>
  <c r="Q5" i="696"/>
  <c r="R126" i="695"/>
  <c r="Q126" i="695"/>
  <c r="AG147" i="695"/>
  <c r="AH135" i="695" s="1"/>
  <c r="AF147" i="695"/>
  <c r="AG160" i="695"/>
  <c r="AH148" i="695" s="1"/>
  <c r="AF160" i="695"/>
  <c r="Q109" i="695"/>
  <c r="O121" i="695"/>
  <c r="R109" i="695"/>
  <c r="R137" i="695"/>
  <c r="Q137" i="695"/>
  <c r="O147" i="695"/>
  <c r="R97" i="695"/>
  <c r="Q97" i="695"/>
  <c r="O108" i="695"/>
  <c r="R47" i="695"/>
  <c r="Q47" i="695"/>
  <c r="Q18" i="696"/>
  <c r="R8" i="696"/>
  <c r="Q8" i="696"/>
  <c r="R36" i="695"/>
  <c r="Q36" i="695"/>
  <c r="Q90" i="695"/>
  <c r="R90" i="695"/>
  <c r="R71" i="695"/>
  <c r="Q71" i="695"/>
  <c r="O56" i="695"/>
  <c r="Q11" i="695"/>
  <c r="R11" i="695"/>
  <c r="AK2" i="695"/>
  <c r="G1" i="690"/>
  <c r="G2" i="690" s="1"/>
  <c r="R12" i="689"/>
  <c r="Q12" i="689"/>
  <c r="AK5" i="689"/>
  <c r="AF20" i="689"/>
  <c r="O20" i="689"/>
  <c r="AG20" i="689"/>
  <c r="AF22" i="689"/>
  <c r="O22" i="689"/>
  <c r="AG22" i="689"/>
  <c r="AF24" i="689"/>
  <c r="O24" i="689"/>
  <c r="AG24" i="689"/>
  <c r="R32" i="689"/>
  <c r="Q32" i="689"/>
  <c r="R7" i="689"/>
  <c r="Q7" i="689"/>
  <c r="Q9" i="689"/>
  <c r="R10" i="689"/>
  <c r="Q10" i="689"/>
  <c r="AF19" i="689"/>
  <c r="O19" i="689"/>
  <c r="AG19" i="689"/>
  <c r="AF31" i="689"/>
  <c r="N43" i="689"/>
  <c r="O31" i="689"/>
  <c r="AG31" i="689"/>
  <c r="AG30" i="689"/>
  <c r="AH18" i="689" s="1"/>
  <c r="AF30" i="689"/>
  <c r="AF21" i="689"/>
  <c r="O21" i="689"/>
  <c r="AG21" i="689"/>
  <c r="AF23" i="689"/>
  <c r="O23" i="689"/>
  <c r="AG23" i="689"/>
  <c r="G1" i="689"/>
  <c r="G2" i="689" s="1"/>
  <c r="R11" i="689"/>
  <c r="Q11" i="689"/>
  <c r="R33" i="689"/>
  <c r="Q33" i="689"/>
  <c r="R35" i="689"/>
  <c r="Q35" i="689"/>
  <c r="R36" i="689"/>
  <c r="Q36" i="689"/>
  <c r="AK31" i="689"/>
  <c r="R34" i="689"/>
  <c r="Q34" i="689"/>
  <c r="AG5" i="689"/>
  <c r="AF7" i="689"/>
  <c r="AF10" i="689"/>
  <c r="AF11" i="689"/>
  <c r="AF12" i="689"/>
  <c r="AF32" i="689"/>
  <c r="AF33" i="689"/>
  <c r="AF34" i="689"/>
  <c r="AF35" i="689"/>
  <c r="AF36" i="689"/>
  <c r="O45" i="689"/>
  <c r="AF46" i="689"/>
  <c r="O47" i="689"/>
  <c r="AF48" i="689"/>
  <c r="O49" i="689"/>
  <c r="AF50" i="689"/>
  <c r="O57" i="689"/>
  <c r="N69" i="689"/>
  <c r="AF57" i="689"/>
  <c r="O58" i="689"/>
  <c r="AG58" i="689"/>
  <c r="AF58" i="689"/>
  <c r="AG59" i="689"/>
  <c r="O59" i="689"/>
  <c r="N95" i="689"/>
  <c r="AG87" i="689"/>
  <c r="AF87" i="689"/>
  <c r="O87" i="689"/>
  <c r="AG99" i="689"/>
  <c r="AF99" i="689"/>
  <c r="O99" i="689"/>
  <c r="AK109" i="689"/>
  <c r="O123" i="689"/>
  <c r="AG123" i="689"/>
  <c r="AF123" i="689"/>
  <c r="O127" i="689"/>
  <c r="AG127" i="689"/>
  <c r="AF127" i="689"/>
  <c r="Q8" i="689"/>
  <c r="AG8" i="689"/>
  <c r="R9" i="689"/>
  <c r="AG9" i="689"/>
  <c r="AG10" i="689"/>
  <c r="AG11" i="689"/>
  <c r="AG12" i="689"/>
  <c r="P17" i="689"/>
  <c r="N17" i="689"/>
  <c r="P18" i="689"/>
  <c r="AG34" i="689"/>
  <c r="AG35" i="689"/>
  <c r="AG36" i="689"/>
  <c r="P43" i="689"/>
  <c r="Q46" i="689"/>
  <c r="Q48" i="689"/>
  <c r="AG50" i="689"/>
  <c r="AF59" i="689"/>
  <c r="AG84" i="689"/>
  <c r="AF84" i="689"/>
  <c r="O84" i="689"/>
  <c r="AG85" i="689"/>
  <c r="AF85" i="689"/>
  <c r="O85" i="689"/>
  <c r="AG86" i="689"/>
  <c r="AF86" i="689"/>
  <c r="O86" i="689"/>
  <c r="R98" i="689"/>
  <c r="Q98" i="689"/>
  <c r="Q111" i="689"/>
  <c r="O126" i="689"/>
  <c r="AG126" i="689"/>
  <c r="AF126" i="689"/>
  <c r="R147" i="689"/>
  <c r="S135" i="689" s="1"/>
  <c r="AF6" i="689"/>
  <c r="O5" i="689"/>
  <c r="AG7" i="689"/>
  <c r="N56" i="689"/>
  <c r="AF44" i="689"/>
  <c r="AF71" i="689"/>
  <c r="O71" i="689"/>
  <c r="AG71" i="689"/>
  <c r="AF72" i="689"/>
  <c r="O72" i="689"/>
  <c r="AG72" i="689"/>
  <c r="AF73" i="689"/>
  <c r="O73" i="689"/>
  <c r="AG73" i="689"/>
  <c r="AF74" i="689"/>
  <c r="O74" i="689"/>
  <c r="AG74" i="689"/>
  <c r="AF75" i="689"/>
  <c r="O75" i="689"/>
  <c r="AG75" i="689"/>
  <c r="AG89" i="689"/>
  <c r="AF89" i="689"/>
  <c r="O89" i="689"/>
  <c r="N108" i="689"/>
  <c r="AF96" i="689"/>
  <c r="O96" i="689"/>
  <c r="AG96" i="689"/>
  <c r="R100" i="689"/>
  <c r="Q100" i="689"/>
  <c r="AG121" i="689"/>
  <c r="AH109" i="689" s="1"/>
  <c r="AF121" i="689"/>
  <c r="O125" i="689"/>
  <c r="AG125" i="689"/>
  <c r="AF125" i="689"/>
  <c r="Q147" i="689"/>
  <c r="R6" i="689"/>
  <c r="AG18" i="689"/>
  <c r="P56" i="689"/>
  <c r="O44" i="689"/>
  <c r="AG45" i="689"/>
  <c r="AG47" i="689"/>
  <c r="AG49" i="689"/>
  <c r="O60" i="689"/>
  <c r="AG60" i="689"/>
  <c r="AF60" i="689"/>
  <c r="AG88" i="689"/>
  <c r="AF88" i="689"/>
  <c r="O88" i="689"/>
  <c r="AG97" i="689"/>
  <c r="AF97" i="689"/>
  <c r="O97" i="689"/>
  <c r="N134" i="689"/>
  <c r="O124" i="689"/>
  <c r="AG124" i="689"/>
  <c r="AF124" i="689"/>
  <c r="O128" i="689"/>
  <c r="AG128" i="689"/>
  <c r="AF128" i="689"/>
  <c r="O129" i="689"/>
  <c r="AG129" i="689"/>
  <c r="AF129" i="689"/>
  <c r="Q143" i="689"/>
  <c r="P57" i="689"/>
  <c r="P60" i="689"/>
  <c r="O70" i="689"/>
  <c r="P83" i="689"/>
  <c r="AF98" i="689"/>
  <c r="AF100" i="689"/>
  <c r="AF109" i="689"/>
  <c r="O114" i="689"/>
  <c r="O115" i="689"/>
  <c r="O116" i="689"/>
  <c r="O117" i="689"/>
  <c r="O118" i="689"/>
  <c r="R122" i="689"/>
  <c r="AG122" i="689"/>
  <c r="P123" i="689"/>
  <c r="P124" i="689"/>
  <c r="P125" i="689"/>
  <c r="P126" i="689"/>
  <c r="P127" i="689"/>
  <c r="P128" i="689"/>
  <c r="P129" i="689"/>
  <c r="R135" i="689"/>
  <c r="AF148" i="689"/>
  <c r="AF149" i="689"/>
  <c r="O149" i="689"/>
  <c r="AG149" i="689"/>
  <c r="R150" i="689"/>
  <c r="AF150" i="689"/>
  <c r="O164" i="689"/>
  <c r="AG164" i="689"/>
  <c r="AF164" i="689"/>
  <c r="R7" i="690"/>
  <c r="R9" i="690"/>
  <c r="R11" i="690"/>
  <c r="P82" i="689"/>
  <c r="N82" i="689"/>
  <c r="AF83" i="689"/>
  <c r="AG109" i="689"/>
  <c r="AF110" i="689"/>
  <c r="AF111" i="689"/>
  <c r="AF112" i="689"/>
  <c r="AF113" i="689"/>
  <c r="AF114" i="689"/>
  <c r="AF115" i="689"/>
  <c r="AF116" i="689"/>
  <c r="AF117" i="689"/>
  <c r="AF118" i="689"/>
  <c r="R130" i="689"/>
  <c r="R136" i="689"/>
  <c r="R137" i="689"/>
  <c r="R138" i="689"/>
  <c r="R139" i="689"/>
  <c r="R140" i="689"/>
  <c r="R141" i="689"/>
  <c r="R142" i="689"/>
  <c r="R143" i="689"/>
  <c r="O152" i="689"/>
  <c r="AG152" i="689"/>
  <c r="AF152" i="689"/>
  <c r="O162" i="689"/>
  <c r="AG162" i="689"/>
  <c r="AF162" i="689"/>
  <c r="AG17" i="690"/>
  <c r="AH5" i="690" s="1"/>
  <c r="AG83" i="689"/>
  <c r="P96" i="689"/>
  <c r="O109" i="689"/>
  <c r="Q110" i="689"/>
  <c r="R111" i="689"/>
  <c r="Q112" i="689"/>
  <c r="R113" i="689"/>
  <c r="P121" i="689"/>
  <c r="P122" i="689"/>
  <c r="N147" i="689"/>
  <c r="AF135" i="689"/>
  <c r="Q141" i="689"/>
  <c r="AF142" i="689"/>
  <c r="AF143" i="689"/>
  <c r="O166" i="689"/>
  <c r="AG166" i="689"/>
  <c r="AF166" i="689"/>
  <c r="O83" i="689"/>
  <c r="P147" i="689"/>
  <c r="P135" i="689"/>
  <c r="Q135" i="689"/>
  <c r="N160" i="689"/>
  <c r="O148" i="689"/>
  <c r="AG150" i="689"/>
  <c r="AF151" i="689"/>
  <c r="O151" i="689"/>
  <c r="AG151" i="689"/>
  <c r="N173" i="689"/>
  <c r="O161" i="689"/>
  <c r="AG161" i="689"/>
  <c r="AF161" i="689"/>
  <c r="P161" i="689"/>
  <c r="O5" i="690"/>
  <c r="R6" i="690"/>
  <c r="AG6" i="690"/>
  <c r="Q7" i="690"/>
  <c r="AG7" i="690"/>
  <c r="R8" i="690"/>
  <c r="AG8" i="690"/>
  <c r="Q9" i="690"/>
  <c r="AG9" i="690"/>
  <c r="R10" i="690"/>
  <c r="AG10" i="690"/>
  <c r="Q11" i="690"/>
  <c r="AG11" i="690"/>
  <c r="R12" i="690"/>
  <c r="AG12" i="690"/>
  <c r="P17" i="690"/>
  <c r="AF17" i="690"/>
  <c r="AG30" i="690"/>
  <c r="AH18" i="690" s="1"/>
  <c r="P30" i="690"/>
  <c r="O33" i="690"/>
  <c r="AG33" i="690"/>
  <c r="O69" i="690"/>
  <c r="R57" i="690"/>
  <c r="Q57" i="690"/>
  <c r="AG72" i="690"/>
  <c r="AF72" i="690"/>
  <c r="O72" i="690"/>
  <c r="O153" i="689"/>
  <c r="O163" i="689"/>
  <c r="O165" i="689"/>
  <c r="O167" i="689"/>
  <c r="P18" i="690"/>
  <c r="O18" i="690"/>
  <c r="O20" i="690"/>
  <c r="AF20" i="690"/>
  <c r="AG24" i="690"/>
  <c r="AG25" i="690"/>
  <c r="AF31" i="690"/>
  <c r="N43" i="690"/>
  <c r="O31" i="690"/>
  <c r="AF33" i="690"/>
  <c r="AF34" i="690"/>
  <c r="O34" i="690"/>
  <c r="AG34" i="690"/>
  <c r="AF153" i="689"/>
  <c r="AF5" i="690"/>
  <c r="AF18" i="690"/>
  <c r="Q19" i="690"/>
  <c r="O21" i="690"/>
  <c r="Q23" i="690"/>
  <c r="AF30" i="690"/>
  <c r="AF35" i="690"/>
  <c r="O35" i="690"/>
  <c r="AG35" i="690"/>
  <c r="AF36" i="690"/>
  <c r="O36" i="690"/>
  <c r="AG36" i="690"/>
  <c r="Q48" i="690"/>
  <c r="AG5" i="690"/>
  <c r="AG18" i="690"/>
  <c r="R22" i="690"/>
  <c r="R24" i="690"/>
  <c r="R25" i="690"/>
  <c r="O32" i="690"/>
  <c r="AG32" i="690"/>
  <c r="R44" i="690"/>
  <c r="P43" i="690"/>
  <c r="Q44" i="690"/>
  <c r="AF44" i="690"/>
  <c r="AG45" i="690"/>
  <c r="AG47" i="690"/>
  <c r="AG49" i="690"/>
  <c r="P56" i="690"/>
  <c r="N56" i="690"/>
  <c r="P57" i="690"/>
  <c r="Q60" i="690"/>
  <c r="N82" i="690"/>
  <c r="O70" i="690"/>
  <c r="AG70" i="690"/>
  <c r="AG74" i="690"/>
  <c r="AF74" i="690"/>
  <c r="O84" i="690"/>
  <c r="AG84" i="690"/>
  <c r="AG44" i="690"/>
  <c r="AF46" i="690"/>
  <c r="AF48" i="690"/>
  <c r="AF50" i="690"/>
  <c r="AF57" i="690"/>
  <c r="R59" i="690"/>
  <c r="N69" i="690"/>
  <c r="AG71" i="690"/>
  <c r="AF71" i="690"/>
  <c r="AG75" i="690"/>
  <c r="AF75" i="690"/>
  <c r="AF83" i="690"/>
  <c r="N95" i="690"/>
  <c r="O83" i="690"/>
  <c r="O85" i="690"/>
  <c r="AG85" i="690"/>
  <c r="O96" i="690"/>
  <c r="AG96" i="690"/>
  <c r="N108" i="690"/>
  <c r="AF96" i="690"/>
  <c r="O45" i="690"/>
  <c r="R46" i="690"/>
  <c r="O47" i="690"/>
  <c r="R48" i="690"/>
  <c r="O49" i="690"/>
  <c r="Q50" i="690"/>
  <c r="AG57" i="690"/>
  <c r="Q71" i="690"/>
  <c r="R73" i="690"/>
  <c r="Q73" i="690"/>
  <c r="AF85" i="690"/>
  <c r="AF86" i="690"/>
  <c r="O86" i="690"/>
  <c r="AG86" i="690"/>
  <c r="AF87" i="690"/>
  <c r="O87" i="690"/>
  <c r="AG87" i="690"/>
  <c r="AF88" i="690"/>
  <c r="O88" i="690"/>
  <c r="AG88" i="690"/>
  <c r="AF99" i="690"/>
  <c r="O99" i="690"/>
  <c r="AG99" i="690"/>
  <c r="AG110" i="690"/>
  <c r="AF110" i="690"/>
  <c r="O110" i="690"/>
  <c r="AG111" i="690"/>
  <c r="AF111" i="690"/>
  <c r="O111" i="690"/>
  <c r="AG112" i="690"/>
  <c r="AF112" i="690"/>
  <c r="O112" i="690"/>
  <c r="AG113" i="690"/>
  <c r="AF113" i="690"/>
  <c r="O113" i="690"/>
  <c r="AG114" i="690"/>
  <c r="AF114" i="690"/>
  <c r="O114" i="690"/>
  <c r="AG115" i="690"/>
  <c r="AF115" i="690"/>
  <c r="O115" i="690"/>
  <c r="O58" i="690"/>
  <c r="AG58" i="690"/>
  <c r="Q59" i="690"/>
  <c r="P82" i="690"/>
  <c r="P71" i="690"/>
  <c r="R71" i="690"/>
  <c r="AG73" i="690"/>
  <c r="AF73" i="690"/>
  <c r="R74" i="690"/>
  <c r="Q74" i="690"/>
  <c r="Q75" i="690"/>
  <c r="AF97" i="690"/>
  <c r="O97" i="690"/>
  <c r="AG97" i="690"/>
  <c r="P95" i="690"/>
  <c r="O98" i="690"/>
  <c r="O100" i="690"/>
  <c r="P108" i="690"/>
  <c r="P109" i="690"/>
  <c r="R135" i="690"/>
  <c r="Q135" i="690"/>
  <c r="AG136" i="690"/>
  <c r="AF136" i="690"/>
  <c r="O136" i="690"/>
  <c r="AG137" i="690"/>
  <c r="AF137" i="690"/>
  <c r="O137" i="690"/>
  <c r="R165" i="690"/>
  <c r="Q165" i="690"/>
  <c r="AF123" i="690"/>
  <c r="O123" i="690"/>
  <c r="AG123" i="690"/>
  <c r="AF124" i="690"/>
  <c r="O124" i="690"/>
  <c r="AG124" i="690"/>
  <c r="AF125" i="690"/>
  <c r="O125" i="690"/>
  <c r="AG125" i="690"/>
  <c r="AF126" i="690"/>
  <c r="O126" i="690"/>
  <c r="AG126" i="690"/>
  <c r="AF127" i="690"/>
  <c r="O127" i="690"/>
  <c r="AG127" i="690"/>
  <c r="AF128" i="690"/>
  <c r="O128" i="690"/>
  <c r="AG128" i="690"/>
  <c r="AF129" i="690"/>
  <c r="O129" i="690"/>
  <c r="AG129" i="690"/>
  <c r="AG138" i="690"/>
  <c r="AF138" i="690"/>
  <c r="O138" i="690"/>
  <c r="AG160" i="690"/>
  <c r="AH148" i="690" s="1"/>
  <c r="AF160" i="690"/>
  <c r="R149" i="690"/>
  <c r="Q149" i="690"/>
  <c r="AG150" i="690"/>
  <c r="AF150" i="690"/>
  <c r="O150" i="690"/>
  <c r="P160" i="690"/>
  <c r="R163" i="690"/>
  <c r="Q163" i="690"/>
  <c r="N121" i="690"/>
  <c r="AG109" i="690"/>
  <c r="O117" i="690"/>
  <c r="AG117" i="690"/>
  <c r="AF117" i="690"/>
  <c r="AG139" i="690"/>
  <c r="AF139" i="690"/>
  <c r="O139" i="690"/>
  <c r="O109" i="690"/>
  <c r="O116" i="690"/>
  <c r="AG116" i="690"/>
  <c r="AF116" i="690"/>
  <c r="O118" i="690"/>
  <c r="AG118" i="690"/>
  <c r="AF118" i="690"/>
  <c r="AK122" i="690"/>
  <c r="AK2" i="690" s="1"/>
  <c r="AG140" i="690"/>
  <c r="AF140" i="690"/>
  <c r="O140" i="690"/>
  <c r="R141" i="690"/>
  <c r="Q141" i="690"/>
  <c r="O122" i="690"/>
  <c r="AG130" i="690"/>
  <c r="N134" i="690"/>
  <c r="AF135" i="690"/>
  <c r="O142" i="690"/>
  <c r="P147" i="690"/>
  <c r="N147" i="690"/>
  <c r="P148" i="690"/>
  <c r="AF149" i="690"/>
  <c r="AG161" i="690"/>
  <c r="AF163" i="690"/>
  <c r="AF165" i="690"/>
  <c r="AG135" i="690"/>
  <c r="AF148" i="690"/>
  <c r="AG149" i="690"/>
  <c r="O161" i="690"/>
  <c r="O162" i="690"/>
  <c r="AG163" i="690"/>
  <c r="O164" i="690"/>
  <c r="AG165" i="690"/>
  <c r="O166" i="690"/>
  <c r="P173" i="690"/>
  <c r="N173" i="690"/>
  <c r="O130" i="690"/>
  <c r="AG148" i="690"/>
  <c r="AF162" i="690"/>
  <c r="AF164" i="690"/>
  <c r="AF166" i="690"/>
  <c r="O148" i="690"/>
  <c r="G1" i="688"/>
  <c r="G2" i="688" s="1"/>
  <c r="G1" i="687"/>
  <c r="G2" i="687" s="1"/>
  <c r="L124" i="687"/>
  <c r="K16" i="688"/>
  <c r="L5" i="688"/>
  <c r="L16" i="688" s="1"/>
  <c r="L101" i="688"/>
  <c r="L111" i="688" s="1"/>
  <c r="K111" i="688"/>
  <c r="K64" i="687"/>
  <c r="L52" i="687"/>
  <c r="L64" i="687" s="1"/>
  <c r="L113" i="687"/>
  <c r="K124" i="687"/>
  <c r="K38" i="688"/>
  <c r="K51" i="688" s="1"/>
  <c r="L25" i="688"/>
  <c r="L38" i="688" s="1"/>
  <c r="L51" i="688" s="1"/>
  <c r="K64" i="688"/>
  <c r="L52" i="688"/>
  <c r="L64" i="688" s="1"/>
  <c r="K16" i="687"/>
  <c r="K24" i="687"/>
  <c r="L25" i="687"/>
  <c r="L38" i="687" s="1"/>
  <c r="L51" i="687" s="1"/>
  <c r="K38" i="687"/>
  <c r="K51" i="687" s="1"/>
  <c r="L101" i="687"/>
  <c r="L111" i="687" s="1"/>
  <c r="K111" i="687"/>
  <c r="L65" i="688"/>
  <c r="L75" i="688" s="1"/>
  <c r="L92" i="687"/>
  <c r="L100" i="687" s="1"/>
  <c r="K91" i="688"/>
  <c r="L65" i="687"/>
  <c r="L75" i="687" s="1"/>
  <c r="L112" i="688"/>
  <c r="L124" i="688" s="1"/>
  <c r="L92" i="688"/>
  <c r="L100" i="688" s="1"/>
  <c r="M32" i="684"/>
  <c r="L32" i="684"/>
  <c r="K32" i="684"/>
  <c r="J32" i="684"/>
  <c r="I32" i="684"/>
  <c r="H32" i="684"/>
  <c r="G32" i="684"/>
  <c r="F32" i="684"/>
  <c r="E32" i="684"/>
  <c r="D32" i="684"/>
  <c r="Q15" i="684"/>
  <c r="P15" i="684"/>
  <c r="O15" i="684"/>
  <c r="N15" i="684"/>
  <c r="M15" i="684"/>
  <c r="L15" i="684"/>
  <c r="K15" i="684"/>
  <c r="J15" i="684"/>
  <c r="I15" i="684"/>
  <c r="H15" i="684"/>
  <c r="G15" i="684"/>
  <c r="F15" i="684"/>
  <c r="E15" i="684"/>
  <c r="D15" i="684"/>
  <c r="H8" i="684" s="1"/>
  <c r="L7" i="684"/>
  <c r="J7" i="684"/>
  <c r="H7" i="684"/>
  <c r="F7" i="684"/>
  <c r="L6" i="684"/>
  <c r="J6" i="684"/>
  <c r="H6" i="684"/>
  <c r="F6" i="684"/>
  <c r="R95" i="695" l="1"/>
  <c r="S83" i="695" s="1"/>
  <c r="Q95" i="695"/>
  <c r="R56" i="695"/>
  <c r="S44" i="695" s="1"/>
  <c r="Q147" i="695"/>
  <c r="R147" i="695"/>
  <c r="S135" i="695" s="1"/>
  <c r="R121" i="695"/>
  <c r="S109" i="695" s="1"/>
  <c r="Q121" i="695"/>
  <c r="R30" i="695"/>
  <c r="S18" i="695" s="1"/>
  <c r="Q30" i="695"/>
  <c r="R173" i="696"/>
  <c r="S161" i="696" s="1"/>
  <c r="Q173" i="696"/>
  <c r="R160" i="695"/>
  <c r="S148" i="695" s="1"/>
  <c r="Q160" i="695"/>
  <c r="Q147" i="696"/>
  <c r="R147" i="696"/>
  <c r="S135" i="696" s="1"/>
  <c r="Q134" i="696"/>
  <c r="R134" i="696"/>
  <c r="S122" i="696" s="1"/>
  <c r="R121" i="696"/>
  <c r="S109" i="696" s="1"/>
  <c r="Q121" i="696"/>
  <c r="R108" i="695"/>
  <c r="S96" i="695" s="1"/>
  <c r="Q108" i="695"/>
  <c r="R95" i="696"/>
  <c r="S83" i="696" s="1"/>
  <c r="Q95" i="696"/>
  <c r="R108" i="696"/>
  <c r="S96" i="696" s="1"/>
  <c r="Q108" i="696"/>
  <c r="E2" i="696"/>
  <c r="R17" i="696"/>
  <c r="S5" i="696" s="1"/>
  <c r="Q17" i="696"/>
  <c r="R160" i="696"/>
  <c r="S148" i="696" s="1"/>
  <c r="Q160" i="696"/>
  <c r="R17" i="695"/>
  <c r="S5" i="695" s="1"/>
  <c r="Q17" i="695"/>
  <c r="E2" i="695"/>
  <c r="R173" i="695"/>
  <c r="S161" i="695" s="1"/>
  <c r="Q173" i="695"/>
  <c r="Q134" i="695"/>
  <c r="R134" i="695"/>
  <c r="S122" i="695" s="1"/>
  <c r="R82" i="696"/>
  <c r="S70" i="696" s="1"/>
  <c r="J8" i="684"/>
  <c r="L8" i="684"/>
  <c r="F8" i="684"/>
  <c r="Q161" i="690"/>
  <c r="O173" i="690"/>
  <c r="R161" i="690"/>
  <c r="R139" i="690"/>
  <c r="Q139" i="690"/>
  <c r="R127" i="690"/>
  <c r="Q127" i="690"/>
  <c r="R123" i="690"/>
  <c r="Q123" i="690"/>
  <c r="Q115" i="690"/>
  <c r="R115" i="690"/>
  <c r="Q111" i="690"/>
  <c r="R111" i="690"/>
  <c r="R86" i="690"/>
  <c r="Q86" i="690"/>
  <c r="Q83" i="690"/>
  <c r="O95" i="690"/>
  <c r="R83" i="690"/>
  <c r="AG173" i="690"/>
  <c r="AH161" i="690" s="1"/>
  <c r="AF173" i="690"/>
  <c r="R122" i="690"/>
  <c r="Q122" i="690"/>
  <c r="O134" i="690"/>
  <c r="Q166" i="690"/>
  <c r="R166" i="690"/>
  <c r="Q162" i="690"/>
  <c r="R162" i="690"/>
  <c r="AG134" i="690"/>
  <c r="AH122" i="690" s="1"/>
  <c r="AF134" i="690"/>
  <c r="Q118" i="690"/>
  <c r="R118" i="690"/>
  <c r="R109" i="690"/>
  <c r="Q109" i="690"/>
  <c r="O121" i="690"/>
  <c r="AF121" i="690"/>
  <c r="AG121" i="690"/>
  <c r="AH109" i="690" s="1"/>
  <c r="Q150" i="690"/>
  <c r="R150" i="690"/>
  <c r="R126" i="690"/>
  <c r="Q126" i="690"/>
  <c r="R58" i="690"/>
  <c r="Q58" i="690"/>
  <c r="Q114" i="690"/>
  <c r="R114" i="690"/>
  <c r="Q110" i="690"/>
  <c r="R110" i="690"/>
  <c r="R99" i="690"/>
  <c r="Q99" i="690"/>
  <c r="R47" i="690"/>
  <c r="Q47" i="690"/>
  <c r="AG108" i="690"/>
  <c r="AH96" i="690" s="1"/>
  <c r="AF108" i="690"/>
  <c r="R85" i="690"/>
  <c r="Q85" i="690"/>
  <c r="R84" i="690"/>
  <c r="Q84" i="690"/>
  <c r="R60" i="690"/>
  <c r="AG56" i="690"/>
  <c r="AH44" i="690" s="1"/>
  <c r="Q56" i="690"/>
  <c r="AF56" i="690"/>
  <c r="R32" i="690"/>
  <c r="Q32" i="690"/>
  <c r="R75" i="690"/>
  <c r="R35" i="690"/>
  <c r="Q35" i="690"/>
  <c r="R21" i="690"/>
  <c r="Q21" i="690"/>
  <c r="R20" i="690"/>
  <c r="Q20" i="690"/>
  <c r="Q153" i="689"/>
  <c r="R153" i="689"/>
  <c r="R50" i="690"/>
  <c r="R33" i="690"/>
  <c r="Q33" i="690"/>
  <c r="R151" i="689"/>
  <c r="Q151" i="689"/>
  <c r="AG160" i="689"/>
  <c r="AH148" i="689" s="1"/>
  <c r="AF160" i="689"/>
  <c r="R83" i="689"/>
  <c r="Q83" i="689"/>
  <c r="O95" i="689"/>
  <c r="R162" i="689"/>
  <c r="Q162" i="689"/>
  <c r="AG82" i="689"/>
  <c r="AH70" i="689" s="1"/>
  <c r="AF82" i="689"/>
  <c r="Q82" i="689"/>
  <c r="Q130" i="689"/>
  <c r="R116" i="689"/>
  <c r="Q116" i="689"/>
  <c r="Q60" i="689"/>
  <c r="R60" i="689"/>
  <c r="R73" i="689"/>
  <c r="Q73" i="689"/>
  <c r="R126" i="689"/>
  <c r="Q126" i="689"/>
  <c r="R112" i="689"/>
  <c r="R110" i="689"/>
  <c r="Q86" i="689"/>
  <c r="R86" i="689"/>
  <c r="AF17" i="689"/>
  <c r="AG17" i="689"/>
  <c r="AH5" i="689" s="1"/>
  <c r="Q87" i="689"/>
  <c r="R87" i="689"/>
  <c r="Q59" i="689"/>
  <c r="R59" i="689"/>
  <c r="Q58" i="689"/>
  <c r="R58" i="689"/>
  <c r="R23" i="689"/>
  <c r="Q23" i="689"/>
  <c r="R8" i="689"/>
  <c r="Q6" i="689"/>
  <c r="R22" i="689"/>
  <c r="Q22" i="689"/>
  <c r="R142" i="690"/>
  <c r="Q142" i="690"/>
  <c r="Q31" i="690"/>
  <c r="O43" i="690"/>
  <c r="R43" i="690" s="1"/>
  <c r="S31" i="690" s="1"/>
  <c r="R31" i="690"/>
  <c r="R18" i="690"/>
  <c r="Q18" i="690"/>
  <c r="O30" i="690"/>
  <c r="Q167" i="689"/>
  <c r="R167" i="689"/>
  <c r="R72" i="690"/>
  <c r="Q72" i="690"/>
  <c r="Q46" i="690"/>
  <c r="R161" i="689"/>
  <c r="Q161" i="689"/>
  <c r="O173" i="689"/>
  <c r="O121" i="689"/>
  <c r="R109" i="689"/>
  <c r="Q109" i="689"/>
  <c r="R115" i="689"/>
  <c r="Q115" i="689"/>
  <c r="R70" i="689"/>
  <c r="O82" i="689"/>
  <c r="R82" i="689" s="1"/>
  <c r="S70" i="689" s="1"/>
  <c r="Q70" i="689"/>
  <c r="R124" i="689"/>
  <c r="Q124" i="689"/>
  <c r="R125" i="689"/>
  <c r="Q125" i="689"/>
  <c r="AG108" i="689"/>
  <c r="AH96" i="689" s="1"/>
  <c r="AF108" i="689"/>
  <c r="R74" i="689"/>
  <c r="Q74" i="689"/>
  <c r="AG56" i="689"/>
  <c r="AH44" i="689" s="1"/>
  <c r="Q56" i="689"/>
  <c r="AF56" i="689"/>
  <c r="Q5" i="689"/>
  <c r="O17" i="689"/>
  <c r="R5" i="689"/>
  <c r="Q113" i="689"/>
  <c r="Q150" i="689"/>
  <c r="R123" i="689"/>
  <c r="Q123" i="689"/>
  <c r="Q99" i="689"/>
  <c r="R99" i="689"/>
  <c r="Q49" i="689"/>
  <c r="R49" i="689"/>
  <c r="Q45" i="689"/>
  <c r="R45" i="689"/>
  <c r="Q31" i="689"/>
  <c r="O43" i="689"/>
  <c r="R43" i="689" s="1"/>
  <c r="S31" i="689" s="1"/>
  <c r="R31" i="689"/>
  <c r="R19" i="689"/>
  <c r="Q19" i="689"/>
  <c r="R24" i="689"/>
  <c r="Q24" i="689"/>
  <c r="AK2" i="689"/>
  <c r="R130" i="690"/>
  <c r="Q130" i="690"/>
  <c r="AG69" i="690"/>
  <c r="AH57" i="690" s="1"/>
  <c r="Q69" i="690"/>
  <c r="AF69" i="690"/>
  <c r="R140" i="690"/>
  <c r="Q140" i="690"/>
  <c r="R128" i="690"/>
  <c r="Q128" i="690"/>
  <c r="R124" i="690"/>
  <c r="Q124" i="690"/>
  <c r="R136" i="690"/>
  <c r="Q136" i="690"/>
  <c r="R100" i="690"/>
  <c r="Q100" i="690"/>
  <c r="Q112" i="690"/>
  <c r="R112" i="690"/>
  <c r="R87" i="690"/>
  <c r="Q87" i="690"/>
  <c r="R49" i="690"/>
  <c r="Q49" i="690"/>
  <c r="R45" i="690"/>
  <c r="Q45" i="690"/>
  <c r="O108" i="690"/>
  <c r="R96" i="690"/>
  <c r="Q96" i="690"/>
  <c r="AG95" i="690"/>
  <c r="AH83" i="690" s="1"/>
  <c r="AF95" i="690"/>
  <c r="R70" i="690"/>
  <c r="Q70" i="690"/>
  <c r="O82" i="690"/>
  <c r="R82" i="690" s="1"/>
  <c r="S70" i="690" s="1"/>
  <c r="O56" i="690"/>
  <c r="R34" i="690"/>
  <c r="Q34" i="690"/>
  <c r="Q43" i="690"/>
  <c r="AG43" i="690"/>
  <c r="AH31" i="690" s="1"/>
  <c r="AF43" i="690"/>
  <c r="Q165" i="689"/>
  <c r="R165" i="689"/>
  <c r="R69" i="690"/>
  <c r="S57" i="690" s="1"/>
  <c r="AG173" i="689"/>
  <c r="AH161" i="689" s="1"/>
  <c r="AF173" i="689"/>
  <c r="AG147" i="689"/>
  <c r="AH135" i="689" s="1"/>
  <c r="AF147" i="689"/>
  <c r="Q12" i="690"/>
  <c r="Q10" i="690"/>
  <c r="Q8" i="690"/>
  <c r="Q6" i="690"/>
  <c r="R118" i="689"/>
  <c r="Q118" i="689"/>
  <c r="R114" i="689"/>
  <c r="Q114" i="689"/>
  <c r="R128" i="689"/>
  <c r="Q128" i="689"/>
  <c r="AG134" i="689"/>
  <c r="AH122" i="689" s="1"/>
  <c r="AF134" i="689"/>
  <c r="Q88" i="689"/>
  <c r="R88" i="689"/>
  <c r="Q44" i="689"/>
  <c r="O56" i="689"/>
  <c r="R56" i="689" s="1"/>
  <c r="S44" i="689" s="1"/>
  <c r="R44" i="689"/>
  <c r="Q89" i="689"/>
  <c r="R89" i="689"/>
  <c r="R75" i="689"/>
  <c r="Q75" i="689"/>
  <c r="R71" i="689"/>
  <c r="Q71" i="689"/>
  <c r="Q84" i="689"/>
  <c r="R84" i="689"/>
  <c r="R127" i="689"/>
  <c r="Q127" i="689"/>
  <c r="O134" i="689"/>
  <c r="AF69" i="689"/>
  <c r="AG69" i="689"/>
  <c r="AH57" i="689" s="1"/>
  <c r="Q69" i="689"/>
  <c r="AG43" i="689"/>
  <c r="AH31" i="689" s="1"/>
  <c r="AF43" i="689"/>
  <c r="Q43" i="689"/>
  <c r="R36" i="690"/>
  <c r="Q36" i="690"/>
  <c r="Q164" i="690"/>
  <c r="R164" i="690"/>
  <c r="Q117" i="690"/>
  <c r="R117" i="690"/>
  <c r="R148" i="690"/>
  <c r="Q148" i="690"/>
  <c r="O160" i="690"/>
  <c r="AG147" i="690"/>
  <c r="AH135" i="690" s="1"/>
  <c r="AF147" i="690"/>
  <c r="Q116" i="690"/>
  <c r="R116" i="690"/>
  <c r="R138" i="690"/>
  <c r="Q138" i="690"/>
  <c r="R129" i="690"/>
  <c r="Q129" i="690"/>
  <c r="R125" i="690"/>
  <c r="Q125" i="690"/>
  <c r="R137" i="690"/>
  <c r="Q137" i="690"/>
  <c r="O147" i="690"/>
  <c r="R98" i="690"/>
  <c r="Q98" i="690"/>
  <c r="R97" i="690"/>
  <c r="Q97" i="690"/>
  <c r="Q113" i="690"/>
  <c r="R113" i="690"/>
  <c r="R88" i="690"/>
  <c r="Q88" i="690"/>
  <c r="Q82" i="690"/>
  <c r="AG82" i="690"/>
  <c r="AH70" i="690" s="1"/>
  <c r="AF82" i="690"/>
  <c r="Q163" i="689"/>
  <c r="R163" i="689"/>
  <c r="R5" i="690"/>
  <c r="Q5" i="690"/>
  <c r="O17" i="690"/>
  <c r="O160" i="689"/>
  <c r="R148" i="689"/>
  <c r="Q148" i="689"/>
  <c r="R166" i="689"/>
  <c r="Q166" i="689"/>
  <c r="R152" i="689"/>
  <c r="Q152" i="689"/>
  <c r="R164" i="689"/>
  <c r="Q164" i="689"/>
  <c r="R149" i="689"/>
  <c r="Q149" i="689"/>
  <c r="R117" i="689"/>
  <c r="Q117" i="689"/>
  <c r="R129" i="689"/>
  <c r="Q129" i="689"/>
  <c r="Q97" i="689"/>
  <c r="R97" i="689"/>
  <c r="Q96" i="689"/>
  <c r="O108" i="689"/>
  <c r="R96" i="689"/>
  <c r="R72" i="689"/>
  <c r="Q72" i="689"/>
  <c r="Q85" i="689"/>
  <c r="R85" i="689"/>
  <c r="AG95" i="689"/>
  <c r="AH83" i="689" s="1"/>
  <c r="AF95" i="689"/>
  <c r="O69" i="689"/>
  <c r="R69" i="689" s="1"/>
  <c r="S57" i="689" s="1"/>
  <c r="R57" i="689"/>
  <c r="Q57" i="689"/>
  <c r="Q47" i="689"/>
  <c r="R47" i="689"/>
  <c r="O30" i="689"/>
  <c r="R21" i="689"/>
  <c r="Q21" i="689"/>
  <c r="R20" i="689"/>
  <c r="Q20" i="689"/>
  <c r="E2" i="688"/>
  <c r="E2" i="687"/>
  <c r="M32" i="680"/>
  <c r="L32" i="680"/>
  <c r="K32" i="680"/>
  <c r="J32" i="680"/>
  <c r="I32" i="680"/>
  <c r="H32" i="680"/>
  <c r="G32" i="680"/>
  <c r="F32" i="680"/>
  <c r="E32" i="680"/>
  <c r="J8" i="680" s="1"/>
  <c r="D32" i="680"/>
  <c r="Q15" i="680"/>
  <c r="P15" i="680"/>
  <c r="O15" i="680"/>
  <c r="N15" i="680"/>
  <c r="M15" i="680"/>
  <c r="L15" i="680"/>
  <c r="K15" i="680"/>
  <c r="J15" i="680"/>
  <c r="I15" i="680"/>
  <c r="H15" i="680"/>
  <c r="G15" i="680"/>
  <c r="F15" i="680"/>
  <c r="E15" i="680"/>
  <c r="D15" i="680"/>
  <c r="L8" i="680"/>
  <c r="L7" i="680"/>
  <c r="J7" i="680"/>
  <c r="H7" i="680"/>
  <c r="F7" i="680"/>
  <c r="L6" i="680"/>
  <c r="J6" i="680"/>
  <c r="H6" i="680"/>
  <c r="F6" i="680"/>
  <c r="H8" i="680" l="1"/>
  <c r="R160" i="690"/>
  <c r="S148" i="690" s="1"/>
  <c r="Q160" i="690"/>
  <c r="Q108" i="690"/>
  <c r="R108" i="690"/>
  <c r="S96" i="690" s="1"/>
  <c r="E2" i="689"/>
  <c r="R17" i="689"/>
  <c r="S5" i="689" s="1"/>
  <c r="Q17" i="689"/>
  <c r="R121" i="689"/>
  <c r="S109" i="689" s="1"/>
  <c r="Q121" i="689"/>
  <c r="R30" i="689"/>
  <c r="S18" i="689" s="1"/>
  <c r="Q30" i="689"/>
  <c r="R108" i="689"/>
  <c r="S96" i="689" s="1"/>
  <c r="Q108" i="689"/>
  <c r="R173" i="689"/>
  <c r="S161" i="689" s="1"/>
  <c r="Q173" i="689"/>
  <c r="R30" i="690"/>
  <c r="S18" i="690" s="1"/>
  <c r="Q30" i="690"/>
  <c r="Q134" i="690"/>
  <c r="R134" i="690"/>
  <c r="S122" i="690" s="1"/>
  <c r="R160" i="689"/>
  <c r="S148" i="689" s="1"/>
  <c r="Q160" i="689"/>
  <c r="R121" i="690"/>
  <c r="S109" i="690" s="1"/>
  <c r="Q121" i="690"/>
  <c r="R173" i="690"/>
  <c r="S161" i="690" s="1"/>
  <c r="Q173" i="690"/>
  <c r="R17" i="690"/>
  <c r="S5" i="690" s="1"/>
  <c r="Q17" i="690"/>
  <c r="E2" i="690"/>
  <c r="Q147" i="690"/>
  <c r="R147" i="690"/>
  <c r="S135" i="690" s="1"/>
  <c r="Q134" i="689"/>
  <c r="R134" i="689"/>
  <c r="S122" i="689" s="1"/>
  <c r="R56" i="690"/>
  <c r="S44" i="690" s="1"/>
  <c r="R95" i="689"/>
  <c r="S83" i="689" s="1"/>
  <c r="Q95" i="689"/>
  <c r="Q95" i="690"/>
  <c r="R95" i="690"/>
  <c r="S83" i="690" s="1"/>
  <c r="F8" i="680"/>
</calcChain>
</file>

<file path=xl/sharedStrings.xml><?xml version="1.0" encoding="utf-8"?>
<sst xmlns="http://schemas.openxmlformats.org/spreadsheetml/2006/main" count="2876" uniqueCount="492">
  <si>
    <t>晉欣廠組合室生產人時性分析</t>
    <phoneticPr fontId="3" type="noConversion"/>
  </si>
  <si>
    <t>日期</t>
  </si>
  <si>
    <t>訂單量</t>
  </si>
  <si>
    <t>營業額</t>
  </si>
  <si>
    <t>異常停線</t>
    <phoneticPr fontId="6" type="noConversion"/>
  </si>
  <si>
    <t>短暫停線</t>
    <phoneticPr fontId="6" type="noConversion"/>
  </si>
  <si>
    <t>全溫層</t>
  </si>
  <si>
    <t>4度C(含4度飯糰)</t>
  </si>
  <si>
    <t>18度C 一配</t>
  </si>
  <si>
    <t>18度C 二配</t>
  </si>
  <si>
    <t>排關平均</t>
  </si>
  <si>
    <t>實績平均</t>
  </si>
  <si>
    <t>達成率平均</t>
  </si>
  <si>
    <t>壽司線</t>
  </si>
  <si>
    <t>產線異常
(5分鐘以上)</t>
    <phoneticPr fontId="13" type="noConversion"/>
  </si>
  <si>
    <t/>
  </si>
  <si>
    <t>短暫停線
(5分鐘以下)</t>
    <phoneticPr fontId="13" type="noConversion"/>
  </si>
  <si>
    <t>ET-600</t>
  </si>
  <si>
    <t>八爪機</t>
  </si>
  <si>
    <t>十爪機</t>
  </si>
  <si>
    <t>ET-55</t>
  </si>
  <si>
    <t>伺服包裝機</t>
  </si>
  <si>
    <t>熱麵固定線</t>
  </si>
  <si>
    <t>烤飯糰</t>
  </si>
  <si>
    <t>吸收產線</t>
  </si>
  <si>
    <t>大口固定線</t>
  </si>
  <si>
    <t>連續式
海苔機</t>
  </si>
  <si>
    <t>3300型
飯糰機A</t>
  </si>
  <si>
    <t>3300型
飯糰機B</t>
  </si>
  <si>
    <t>3600型
飯糰機A</t>
  </si>
  <si>
    <t>3600型
飯糰機B</t>
  </si>
  <si>
    <t>夾心型
飯糰機</t>
  </si>
  <si>
    <t>3300型</t>
  </si>
  <si>
    <t>3600型</t>
  </si>
  <si>
    <t>夾心型</t>
  </si>
  <si>
    <t>人時性</t>
  </si>
  <si>
    <t>結束</t>
  </si>
  <si>
    <t>項目</t>
  </si>
  <si>
    <t>➀</t>
  </si>
  <si>
    <t>➁</t>
  </si>
  <si>
    <t>➂</t>
  </si>
  <si>
    <t>➃</t>
  </si>
  <si>
    <t>組合室</t>
  </si>
  <si>
    <t>溫層</t>
  </si>
  <si>
    <t>➁4度C-各編組展開</t>
  </si>
  <si>
    <t>編組</t>
  </si>
  <si>
    <t>4度一組</t>
  </si>
  <si>
    <t xml:space="preserve">4度二組A
</t>
  </si>
  <si>
    <t xml:space="preserve">
4度二組B
</t>
  </si>
  <si>
    <t xml:space="preserve">
4度二組C1
</t>
  </si>
  <si>
    <t xml:space="preserve">
4度二組C2
</t>
  </si>
  <si>
    <t xml:space="preserve">
4度三組
</t>
  </si>
  <si>
    <t xml:space="preserve">
4度四組
</t>
  </si>
  <si>
    <t xml:space="preserve">
4度五組
</t>
  </si>
  <si>
    <t xml:space="preserve">
綜合一組
</t>
  </si>
  <si>
    <t xml:space="preserve">
綜合二組
</t>
  </si>
  <si>
    <t xml:space="preserve">
綜合三組
</t>
  </si>
  <si>
    <t xml:space="preserve">
綜合四組
</t>
  </si>
  <si>
    <t xml:space="preserve">
便當組
</t>
  </si>
  <si>
    <t>排關</t>
  </si>
  <si>
    <t>實績</t>
  </si>
  <si>
    <t>達成率</t>
  </si>
  <si>
    <t>作業
時間</t>
  </si>
  <si>
    <t>開始</t>
  </si>
  <si>
    <t>次數</t>
    <phoneticPr fontId="13" type="noConversion"/>
  </si>
  <si>
    <t>時間/分</t>
    <phoneticPr fontId="13" type="noConversion"/>
  </si>
  <si>
    <t>設備次數</t>
    <phoneticPr fontId="13" type="noConversion"/>
  </si>
  <si>
    <t>配置人數</t>
  </si>
  <si>
    <t>主要應用設備</t>
  </si>
  <si>
    <t>次要應用設備</t>
  </si>
  <si>
    <t>備註</t>
  </si>
  <si>
    <t>➂18度C 一配-各編組展開</t>
  </si>
  <si>
    <t>➃18度C 二配-各編組展開</t>
  </si>
  <si>
    <t>合計次數</t>
  </si>
  <si>
    <t>時間</t>
  </si>
  <si>
    <t>設備次數</t>
  </si>
  <si>
    <t>.</t>
    <phoneticPr fontId="3" type="noConversion"/>
  </si>
  <si>
    <t>出勤人數</t>
  </si>
  <si>
    <t>產線配置圖</t>
  </si>
  <si>
    <t>生產實績</t>
  </si>
  <si>
    <t>平均廠價</t>
  </si>
  <si>
    <t>多次生產數</t>
  </si>
  <si>
    <t>品類</t>
  </si>
  <si>
    <t>廠價</t>
  </si>
  <si>
    <t>生產量</t>
  </si>
  <si>
    <t>營收</t>
  </si>
  <si>
    <t>人數</t>
  </si>
  <si>
    <t>產能/時</t>
  </si>
  <si>
    <t>生產時間</t>
    <rPh sb="0" eb="4">
      <t>カイシジカン</t>
    </rPh>
    <phoneticPr fontId="4"/>
  </si>
  <si>
    <t>前置、換線時間/分</t>
    <rPh sb="0" eb="2">
      <t>キリカエ</t>
    </rPh>
    <phoneticPr fontId="4"/>
  </si>
  <si>
    <t>開始</t>
    <rPh sb="0" eb="2">
      <t>カイシジカン</t>
    </rPh>
    <phoneticPr fontId="4"/>
  </si>
  <si>
    <t>結束</t>
    <rPh sb="0" eb="2">
      <t>シュウリョウジカン</t>
    </rPh>
    <phoneticPr fontId="4"/>
  </si>
  <si>
    <t>椒麻香蔥雞涼拌麵</t>
  </si>
  <si>
    <t>媽媽煮藝-香滷牛肚絲</t>
  </si>
  <si>
    <t>嘉義崇文白醋涼麵</t>
  </si>
  <si>
    <t>韓式泡菜冷麵</t>
  </si>
  <si>
    <t>和風涓絲冷麵</t>
  </si>
  <si>
    <t>台式麻醬涼麵</t>
  </si>
  <si>
    <t>大滿足香辣涼麵</t>
  </si>
  <si>
    <t>大滿足麻醬涼麵</t>
  </si>
  <si>
    <t>毛豆三兄弟</t>
  </si>
  <si>
    <t>打拋風味豬肉拌麵</t>
  </si>
  <si>
    <t>韓式黑嚕嚕炸醬麵</t>
  </si>
  <si>
    <t>愛恨椒芝麵</t>
  </si>
  <si>
    <t>慢燉滷肉油蔥粄條</t>
  </si>
  <si>
    <t>炸醬炒泡麵</t>
  </si>
  <si>
    <t>日式蕎麥沾麵</t>
  </si>
  <si>
    <t>沙茶牛肉炒麵</t>
  </si>
  <si>
    <t>黑胡椒毛豆</t>
  </si>
  <si>
    <t>大口歐風焙煎咖哩漢堡排飯糰</t>
  </si>
  <si>
    <t>大口法式蕈菇起司雞排飯糰</t>
  </si>
  <si>
    <t>古早味炒炊粉</t>
  </si>
  <si>
    <t>淡麗清酒蒸蛤蜊烤飯糰</t>
  </si>
  <si>
    <t>糖燻野郎起司炙燒牛烤飯糰</t>
  </si>
  <si>
    <t>糖燻豬耳絲</t>
  </si>
  <si>
    <t>燻之味-糖燻雞腿</t>
  </si>
  <si>
    <t>Q彈燕麥飯</t>
  </si>
  <si>
    <t>優質池上飯</t>
  </si>
  <si>
    <t>燻之味-糖燻雞胗</t>
  </si>
  <si>
    <t>韓式蒜味炸雞</t>
  </si>
  <si>
    <t>壹號醬壽喜燒牛丼</t>
  </si>
  <si>
    <t>嫩烤香料雞胸排蔬滿盒</t>
  </si>
  <si>
    <t>好吃雞肉便當</t>
  </si>
  <si>
    <t>炙烤醬香燒豚飯</t>
  </si>
  <si>
    <t>新招牌腿排便當</t>
  </si>
  <si>
    <t>香腸腿排雙拼便當</t>
  </si>
  <si>
    <t>鐵道滷排便當</t>
  </si>
  <si>
    <t>懷舊滷雙拼便當</t>
  </si>
  <si>
    <t>益活雞胸補力餐盒</t>
  </si>
  <si>
    <t>嫩烤魚排佐花椰菜義大利麵</t>
  </si>
  <si>
    <t>香辣醬粉絲煲</t>
  </si>
  <si>
    <t>椒麻滷三寶(區)</t>
  </si>
  <si>
    <t>二配香烤魚排青醬燉飯</t>
  </si>
  <si>
    <t>麻油雞飯糰</t>
  </si>
  <si>
    <t>二配香辣醬蒜味香腸蛋炒飯</t>
  </si>
  <si>
    <t>二配排骨蛋炒飯</t>
  </si>
  <si>
    <t>二配叉燒蛋炒飯</t>
  </si>
  <si>
    <t>二配厚香料優格咖哩雞排飯</t>
  </si>
  <si>
    <t>海陸雙拼肉肉餐盒</t>
  </si>
  <si>
    <t>烤蛋白餐盒</t>
  </si>
  <si>
    <t>健身G肉餐盒</t>
  </si>
  <si>
    <t>二配里肌豬排可可咖哩歐姆蛋飯</t>
  </si>
  <si>
    <t>二配黃金雞排蘑菇白醬歐姆蛋飯</t>
  </si>
  <si>
    <t>二配濃起司燻腸紅醬焗烤飯</t>
  </si>
  <si>
    <t>二配西班牙風味海鮮燉飯</t>
  </si>
  <si>
    <t>韓式泡菜豬肉豆腐丼飯</t>
  </si>
  <si>
    <t>日式炙烤親子丼</t>
  </si>
  <si>
    <t>鐵板滑蛋炸豬排丼</t>
  </si>
  <si>
    <t>二配金咖哩濃厚辛口咖哩飯</t>
  </si>
  <si>
    <t>二配金咖哩果香甘口咖哩飯</t>
  </si>
  <si>
    <t>二配泰式綠咖哩雞</t>
  </si>
  <si>
    <t>二配川味麻婆燒豆腐燴飯</t>
  </si>
  <si>
    <t>二配欣手藝-鹽烤花魚</t>
  </si>
  <si>
    <t>二配兩粒飯糰(鮪魚.焦糖鮭魚)</t>
  </si>
  <si>
    <t>二配玉米濃湯焗烤飯</t>
  </si>
  <si>
    <t>二配美味蟹煲</t>
  </si>
  <si>
    <t>二配打拋風味豬肉飯</t>
  </si>
  <si>
    <t>香辣醬雞肉炒飯飯糰</t>
  </si>
  <si>
    <t>大口蒜味香腸燒肉雙拼飯糰</t>
  </si>
  <si>
    <t>大口益活烤雞蛋白青醬飯糰</t>
  </si>
  <si>
    <t>大口義式香草雞腿排飯糰</t>
  </si>
  <si>
    <t>0</t>
  </si>
  <si>
    <t>季節調理麵</t>
  </si>
  <si>
    <t>小菜微波</t>
  </si>
  <si>
    <t>熱食義麵</t>
  </si>
  <si>
    <t>飯糰</t>
  </si>
  <si>
    <t>微波主食</t>
  </si>
  <si>
    <t>便當</t>
  </si>
  <si>
    <t>換線/分</t>
    <rPh sb="0" eb="2">
      <t>キリカエ</t>
    </rPh>
    <phoneticPr fontId="4"/>
  </si>
  <si>
    <t>長野稻荷壽司</t>
  </si>
  <si>
    <t>鮭鮪海饌雙手卷</t>
  </si>
  <si>
    <t>經典人氣雙手卷</t>
  </si>
  <si>
    <t>鮭鮪海饌雙手卷(捲)</t>
  </si>
  <si>
    <t>經典人氣雙手卷(捲)</t>
  </si>
  <si>
    <t>鮭魚奶油醬油飯糰</t>
  </si>
  <si>
    <t>紹興醉雞風味飯糰(區)</t>
  </si>
  <si>
    <t>平均</t>
  </si>
  <si>
    <t>熟成紅鮭飯糰</t>
  </si>
  <si>
    <t>北海道秋鮭親子飯糰</t>
  </si>
  <si>
    <t>贅沢鮭魚肚飯糰</t>
  </si>
  <si>
    <t>蔬食鮪魚飯糰</t>
  </si>
  <si>
    <t>經典肉鬆飯糰</t>
  </si>
  <si>
    <t>明太子龍蝦風味沙拉飯糰</t>
  </si>
  <si>
    <t>鮪魚飯糰</t>
  </si>
  <si>
    <t>二配 夾心型
飯糰機</t>
  </si>
  <si>
    <t>二配雞肉飯飯糰</t>
  </si>
  <si>
    <t>二配鹽蔥燒肉飯糰</t>
  </si>
  <si>
    <t>二配北海道秋鮭親子飯糰</t>
  </si>
  <si>
    <t>二配明太子龍蝦風味沙拉飯糰</t>
  </si>
  <si>
    <t>壽司手卷</t>
  </si>
  <si>
    <t>二配起司棉被海陸白醬焗烤飯</t>
  </si>
  <si>
    <t>愛恨椒芝鮮肉包</t>
  </si>
  <si>
    <t>壹號醬泡菜鹽蔥雞豚雙拼</t>
  </si>
  <si>
    <t>二配港式滑蛋牛肉燴飯</t>
  </si>
  <si>
    <t>青木瓜雞絲泰泰雙手卷</t>
  </si>
  <si>
    <t>陽光蔬彩雙手卷</t>
  </si>
  <si>
    <t>熊本麥味噌炸豬排丼飯</t>
  </si>
  <si>
    <t xml:space="preserve">晉欣廠18度C日報分析                              </t>
    <phoneticPr fontId="6" type="noConversion"/>
  </si>
  <si>
    <t>總生產量</t>
    <phoneticPr fontId="6" type="noConversion"/>
  </si>
  <si>
    <t>出勤人數</t>
    <phoneticPr fontId="6" type="noConversion"/>
  </si>
  <si>
    <t>生產實績</t>
    <phoneticPr fontId="6" type="noConversion"/>
  </si>
  <si>
    <t>日報登錄</t>
    <phoneticPr fontId="6" type="noConversion"/>
  </si>
  <si>
    <t>10月01日  星期四</t>
    <phoneticPr fontId="6" type="noConversion"/>
  </si>
  <si>
    <t>人時性</t>
    <phoneticPr fontId="6" type="noConversion"/>
  </si>
  <si>
    <t>多次生產數</t>
    <phoneticPr fontId="6" type="noConversion"/>
  </si>
  <si>
    <t>線別</t>
    <phoneticPr fontId="3" type="noConversion"/>
  </si>
  <si>
    <t>品類</t>
    <phoneticPr fontId="6" type="noConversion"/>
  </si>
  <si>
    <t>品名</t>
    <phoneticPr fontId="3" type="noConversion"/>
  </si>
  <si>
    <t>生產量</t>
    <phoneticPr fontId="6" type="noConversion"/>
  </si>
  <si>
    <t>營收</t>
    <phoneticPr fontId="3" type="noConversion"/>
  </si>
  <si>
    <t>多次
生產</t>
    <phoneticPr fontId="6" type="noConversion"/>
  </si>
  <si>
    <t>人數</t>
    <phoneticPr fontId="6" type="noConversion"/>
  </si>
  <si>
    <t>產能/時</t>
    <phoneticPr fontId="6" type="noConversion"/>
  </si>
  <si>
    <t>稼動時間/分</t>
    <phoneticPr fontId="6" type="noConversion"/>
  </si>
  <si>
    <t>休息時間</t>
    <phoneticPr fontId="6" type="noConversion"/>
  </si>
  <si>
    <t>開始</t>
    <phoneticPr fontId="6" type="noConversion"/>
  </si>
  <si>
    <t>結束</t>
    <phoneticPr fontId="6" type="noConversion"/>
  </si>
  <si>
    <t>壽司線</t>
    <phoneticPr fontId="6" type="noConversion"/>
  </si>
  <si>
    <t>壽司線</t>
    <phoneticPr fontId="3" type="noConversion"/>
  </si>
  <si>
    <t>平均</t>
    <phoneticPr fontId="6" type="noConversion"/>
  </si>
  <si>
    <t>捲壽司機</t>
    <phoneticPr fontId="3" type="noConversion"/>
  </si>
  <si>
    <t>青木瓜雞絲泰泰雙手卷(捲)</t>
    <phoneticPr fontId="3" type="noConversion"/>
  </si>
  <si>
    <t>陽光蔬彩雙手卷(捲)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</si>
  <si>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</si>
  <si>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</si>
  <si>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</si>
  <si>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</si>
  <si>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</si>
  <si>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</si>
  <si>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</si>
  <si>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</si>
  <si>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熊本麥味噌雞肉飯糰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</si>
  <si>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</si>
  <si>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</si>
  <si>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</si>
  <si>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</si>
  <si>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</si>
  <si>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</si>
  <si>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</si>
  <si>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</si>
  <si>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</si>
  <si>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</si>
  <si>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</si>
  <si>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</si>
  <si>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</si>
  <si>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</si>
  <si>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</si>
  <si>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</si>
  <si>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</si>
  <si>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</si>
  <si>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</si>
  <si>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</si>
  <si>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</si>
  <si>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</si>
  <si>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</si>
  <si>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</si>
  <si>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</si>
  <si>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</si>
  <si>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>10月02日  星期五</t>
    <phoneticPr fontId="6" type="noConversion"/>
  </si>
  <si>
    <t>經典人氣雙手卷(捲)</t>
    <phoneticPr fontId="3" type="noConversion"/>
  </si>
  <si>
    <t xml:space="preserve">晉欣廠四度C日報分析                              </t>
    <phoneticPr fontId="6" type="noConversion"/>
  </si>
  <si>
    <t>人時性差異分析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</si>
  <si>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</si>
  <si>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</si>
  <si>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</si>
  <si>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</si>
  <si>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</si>
  <si>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平均換線時間</t>
    <phoneticPr fontId="3" type="noConversion"/>
  </si>
  <si>
    <t xml:space="preserve">10月01日  星期四 </t>
    <phoneticPr fontId="6" type="noConversion"/>
  </si>
  <si>
    <t>達成率</t>
    <phoneticPr fontId="6" type="noConversion"/>
  </si>
  <si>
    <t>達成率平均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</si>
  <si>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</si>
  <si>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</si>
  <si>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</si>
  <si>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</si>
  <si>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</si>
  <si>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</si>
  <si>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</si>
  <si>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</si>
  <si>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</si>
  <si>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四度二組A
熱麵
固定線
(ET-55)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</si>
  <si>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</si>
  <si>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</si>
  <si>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</si>
  <si>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</si>
  <si>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</si>
  <si>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</si>
  <si>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</si>
  <si>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</si>
  <si>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</si>
  <si>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</si>
  <si>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</si>
  <si>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</si>
  <si>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</si>
  <si>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</si>
  <si>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</si>
  <si>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</si>
  <si>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</si>
  <si>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</si>
  <si>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</si>
  <si>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</si>
  <si>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</si>
  <si>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</si>
  <si>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</si>
  <si>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 xml:space="preserve">10月02日  星期五 </t>
    <phoneticPr fontId="6" type="noConversion"/>
  </si>
  <si>
    <t xml:space="preserve">
綜合四組
</t>
    <phoneticPr fontId="3" type="noConversion"/>
  </si>
  <si>
    <t>平均</t>
    <phoneticPr fontId="6" type="noConversion"/>
  </si>
  <si>
    <t>便當組
大口
固定線
(伺服包裝機)</t>
    <phoneticPr fontId="6" type="noConversion"/>
  </si>
  <si>
    <t xml:space="preserve">10月01日  星期四 </t>
  </si>
  <si>
    <t xml:space="preserve">10月02日  星期五 </t>
  </si>
  <si>
    <t xml:space="preserve">晉欣廠18度C日報分析                              </t>
    <phoneticPr fontId="6" type="noConversion"/>
  </si>
  <si>
    <t>總生產量</t>
    <phoneticPr fontId="6" type="noConversion"/>
  </si>
  <si>
    <t>出勤人數</t>
    <phoneticPr fontId="6" type="noConversion"/>
  </si>
  <si>
    <t>生產實績</t>
    <phoneticPr fontId="6" type="noConversion"/>
  </si>
  <si>
    <t>日報登錄</t>
    <phoneticPr fontId="6" type="noConversion"/>
  </si>
  <si>
    <t>10月03日  星期六</t>
    <phoneticPr fontId="6" type="noConversion"/>
  </si>
  <si>
    <t>人時性</t>
    <phoneticPr fontId="6" type="noConversion"/>
  </si>
  <si>
    <t>多次生產數</t>
    <phoneticPr fontId="6" type="noConversion"/>
  </si>
  <si>
    <t>線別</t>
    <phoneticPr fontId="3" type="noConversion"/>
  </si>
  <si>
    <t>品類</t>
    <phoneticPr fontId="6" type="noConversion"/>
  </si>
  <si>
    <t>品名</t>
    <phoneticPr fontId="3" type="noConversion"/>
  </si>
  <si>
    <t>生產量</t>
    <phoneticPr fontId="6" type="noConversion"/>
  </si>
  <si>
    <t>營收</t>
    <phoneticPr fontId="3" type="noConversion"/>
  </si>
  <si>
    <t>多次
生產</t>
    <phoneticPr fontId="6" type="noConversion"/>
  </si>
  <si>
    <t>人數</t>
    <phoneticPr fontId="6" type="noConversion"/>
  </si>
  <si>
    <t>產能/時</t>
    <phoneticPr fontId="6" type="noConversion"/>
  </si>
  <si>
    <t>稼動時間/分</t>
    <phoneticPr fontId="6" type="noConversion"/>
  </si>
  <si>
    <t>休息時間</t>
    <phoneticPr fontId="6" type="noConversion"/>
  </si>
  <si>
    <t>開始</t>
    <phoneticPr fontId="6" type="noConversion"/>
  </si>
  <si>
    <t>結束</t>
    <phoneticPr fontId="6" type="noConversion"/>
  </si>
  <si>
    <t>壽司線</t>
    <phoneticPr fontId="6" type="noConversion"/>
  </si>
  <si>
    <t>壽司線</t>
    <phoneticPr fontId="3" type="noConversion"/>
  </si>
  <si>
    <t>平均</t>
    <phoneticPr fontId="6" type="noConversion"/>
  </si>
  <si>
    <t>捲壽司機</t>
    <phoneticPr fontId="3" type="noConversion"/>
  </si>
  <si>
    <t>經典人氣雙手卷(捲)</t>
    <phoneticPr fontId="3" type="noConversion"/>
  </si>
  <si>
    <t>青木瓜雞絲泰泰雙手卷(捲)</t>
    <phoneticPr fontId="3" type="noConversion"/>
  </si>
  <si>
    <t>陽光蔬彩雙手卷(捲)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</si>
  <si>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</si>
  <si>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</si>
  <si>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</si>
  <si>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</si>
  <si>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</si>
  <si>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</si>
  <si>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</si>
  <si>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</si>
  <si>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熊本麥味噌雞肉飯糰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</si>
  <si>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</si>
  <si>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</si>
  <si>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</si>
  <si>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</si>
  <si>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</si>
  <si>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</si>
  <si>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</si>
  <si>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</si>
  <si>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</si>
  <si>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</si>
  <si>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</si>
  <si>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</si>
  <si>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</si>
  <si>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</si>
  <si>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</si>
  <si>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</si>
  <si>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</si>
  <si>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</si>
  <si>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</si>
  <si>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</si>
  <si>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</si>
  <si>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</si>
  <si>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</si>
  <si>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</si>
  <si>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</si>
  <si>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</si>
  <si>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 xml:space="preserve">晉欣廠18度C日報分析                              </t>
    <phoneticPr fontId="6" type="noConversion"/>
  </si>
  <si>
    <t>總生產量</t>
    <phoneticPr fontId="6" type="noConversion"/>
  </si>
  <si>
    <t>出勤人數</t>
    <phoneticPr fontId="6" type="noConversion"/>
  </si>
  <si>
    <t>10月04日  星期日</t>
    <phoneticPr fontId="6" type="noConversion"/>
  </si>
  <si>
    <t>壽司線</t>
    <phoneticPr fontId="3" type="noConversion"/>
  </si>
  <si>
    <t>平均</t>
    <phoneticPr fontId="6" type="noConversion"/>
  </si>
  <si>
    <t>捲壽司機</t>
    <phoneticPr fontId="3" type="noConversion"/>
  </si>
  <si>
    <t>經典人氣雙手卷(捲)</t>
    <phoneticPr fontId="3" type="noConversion"/>
  </si>
  <si>
    <t>青木瓜雞絲泰泰雙手卷(捲)</t>
    <phoneticPr fontId="3" type="noConversion"/>
  </si>
  <si>
    <t>陽光蔬彩雙手卷(捲)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</si>
  <si>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</si>
  <si>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</si>
  <si>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</si>
  <si>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</si>
  <si>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</si>
  <si>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</si>
  <si>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</si>
  <si>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</si>
  <si>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熊本麥味噌雞肉飯糰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</si>
  <si>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</si>
  <si>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</si>
  <si>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</si>
  <si>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</si>
  <si>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</si>
  <si>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</si>
  <si>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</si>
  <si>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</si>
  <si>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</si>
  <si>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</si>
  <si>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</si>
  <si>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</si>
  <si>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</si>
  <si>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</si>
  <si>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</si>
  <si>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</si>
  <si>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</si>
  <si>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</si>
  <si>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</si>
  <si>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</si>
  <si>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</si>
  <si>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</si>
  <si>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</si>
  <si>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</si>
  <si>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</si>
  <si>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</si>
  <si>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 xml:space="preserve">晉欣廠四度C日報分析                              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</si>
  <si>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</si>
  <si>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</si>
  <si>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</si>
  <si>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</si>
  <si>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</si>
  <si>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</si>
  <si>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</si>
  <si>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平均換線時間</t>
    <phoneticPr fontId="3" type="noConversion"/>
  </si>
  <si>
    <t xml:space="preserve">10月03日  星期六 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</si>
  <si>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</si>
  <si>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</si>
  <si>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</si>
  <si>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</si>
  <si>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</si>
  <si>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</si>
  <si>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</si>
  <si>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</si>
  <si>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</si>
  <si>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</si>
  <si>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</si>
  <si>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達成率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</si>
  <si>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</si>
  <si>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</si>
  <si>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</si>
  <si>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</si>
  <si>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</si>
  <si>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</si>
  <si>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四度二組A
熱麵
固定線
(ET-55)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</si>
  <si>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</si>
  <si>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</si>
  <si>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</si>
  <si>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</si>
  <si>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</si>
  <si>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</si>
  <si>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</si>
  <si>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</si>
  <si>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</si>
  <si>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</si>
  <si>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</si>
  <si>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</si>
  <si>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</si>
  <si>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</si>
  <si>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</si>
  <si>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</si>
  <si>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</si>
  <si>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</si>
  <si>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</si>
  <si>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</si>
  <si>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</si>
  <si>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平均</t>
    <phoneticPr fontId="6" type="noConversion"/>
  </si>
  <si>
    <t>便當組
大口
固定線
(伺服包裝機)</t>
    <phoneticPr fontId="6" type="noConversion"/>
  </si>
  <si>
    <t xml:space="preserve">
便當組
</t>
    <phoneticPr fontId="3" type="noConversion"/>
  </si>
  <si>
    <t>平均</t>
    <phoneticPr fontId="6" type="noConversion"/>
  </si>
  <si>
    <t xml:space="preserve">10月04日  星期日 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</si>
  <si>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</si>
  <si>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</si>
  <si>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</si>
  <si>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</si>
  <si>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</si>
  <si>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</si>
  <si>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</si>
  <si>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</si>
  <si>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</si>
  <si>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</si>
  <si>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</si>
  <si>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</si>
  <si>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綜合二組
(ET-55)</t>
    <phoneticPr fontId="6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</si>
  <si>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</si>
  <si>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</si>
  <si>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</si>
  <si>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</si>
  <si>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</si>
  <si>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 xml:space="preserve">10月03日  星期六 </t>
  </si>
  <si>
    <t xml:space="preserve">10月04日  星期日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</si>
</sst>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4" formatCode="_-&quot;$&quot;* #,##0.00_-;\-&quot;$&quot;* #,##0.00_-;_-&quot;$&quot;* &quot;-&quot;??_-;_-@_-"/>
    <numFmt numFmtId="43" formatCode="_-* #,##0.00_-;\-* #,##0.00_-;_-* &quot;-&quot;??_-;_-@_-"/>
    <numFmt numFmtId="176" formatCode="_-* #,##0_-;\-* #,##0_-;_-* &quot;-&quot;??_-;_-@_-"/>
    <numFmt numFmtId="177" formatCode="0,000&quot;元&quot;"/>
    <numFmt numFmtId="178" formatCode="0.0"/>
    <numFmt numFmtId="179" formatCode="#,##0.0_ "/>
    <numFmt numFmtId="180" formatCode="0.0%"/>
    <numFmt numFmtId="181" formatCode="&quot;¥&quot;#,##0;[Red]&quot;¥&quot;\-#,##0"/>
    <numFmt numFmtId="182" formatCode="0_ "/>
    <numFmt numFmtId="183" formatCode="0.0_ "/>
    <numFmt numFmtId="184" formatCode="h:mm;@"/>
    <numFmt numFmtId="185" formatCode="0_);[Red]\(0\)"/>
  </numFmts>
  <fonts count="4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26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6"/>
      <color rgb="FFFF0000"/>
      <name val="微軟正黑體"/>
      <family val="2"/>
      <charset val="136"/>
    </font>
    <font>
      <sz val="16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1"/>
      <color indexed="8"/>
      <name val="ＭＳ Ｐゴシック"/>
      <family val="3"/>
      <charset val="128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1"/>
      <color theme="1"/>
      <name val="新細明體"/>
      <family val="2"/>
      <charset val="128"/>
      <scheme val="minor"/>
    </font>
    <font>
      <sz val="12"/>
      <color indexed="8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2"/>
      <color theme="10"/>
      <name val="新細明體"/>
      <family val="1"/>
      <charset val="136"/>
      <scheme val="minor"/>
    </font>
    <font>
      <sz val="11"/>
      <color theme="1"/>
      <name val="新細明體"/>
      <family val="3"/>
      <charset val="128"/>
      <scheme val="minor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4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4"/>
      <color theme="1"/>
      <name val="Meiryo UI"/>
      <family val="2"/>
      <charset val="128"/>
    </font>
    <font>
      <sz val="12"/>
      <name val="微軟正黑體"/>
      <family val="2"/>
      <charset val="136"/>
    </font>
    <font>
      <sz val="18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</fonts>
  <fills count="2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9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medium">
        <color theme="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7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5" fillId="0" borderId="0">
      <alignment vertical="center"/>
    </xf>
    <xf numFmtId="0" fontId="16" fillId="0" borderId="0"/>
    <xf numFmtId="0" fontId="16" fillId="0" borderId="0"/>
    <xf numFmtId="0" fontId="15" fillId="0" borderId="0">
      <alignment vertical="center"/>
    </xf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/>
    <xf numFmtId="0" fontId="1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6" fillId="0" borderId="0"/>
    <xf numFmtId="0" fontId="19" fillId="0" borderId="0"/>
    <xf numFmtId="0" fontId="1" fillId="0" borderId="0">
      <alignment vertical="center"/>
    </xf>
    <xf numFmtId="0" fontId="17" fillId="0" borderId="0">
      <alignment vertical="center"/>
    </xf>
    <xf numFmtId="0" fontId="1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5" fillId="0" borderId="0"/>
    <xf numFmtId="0" fontId="16" fillId="0" borderId="0"/>
    <xf numFmtId="0" fontId="1" fillId="0" borderId="0">
      <alignment vertical="center"/>
    </xf>
    <xf numFmtId="0" fontId="1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5" fillId="0" borderId="0"/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/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5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center"/>
    </xf>
    <xf numFmtId="181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0" borderId="0"/>
    <xf numFmtId="0" fontId="23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686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8" fillId="0" borderId="6" xfId="4" applyFont="1" applyBorder="1" applyAlignment="1">
      <alignment horizontal="center" vertical="center" wrapText="1"/>
    </xf>
    <xf numFmtId="0" fontId="8" fillId="0" borderId="7" xfId="4" applyFont="1" applyBorder="1" applyAlignment="1">
      <alignment horizontal="center" vertical="center"/>
    </xf>
    <xf numFmtId="0" fontId="10" fillId="0" borderId="0" xfId="1" applyFont="1">
      <alignment vertical="center"/>
    </xf>
    <xf numFmtId="0" fontId="4" fillId="0" borderId="2" xfId="1" applyFont="1" applyBorder="1" applyAlignment="1">
      <alignment horizontal="center" vertical="center" wrapText="1"/>
    </xf>
    <xf numFmtId="178" fontId="12" fillId="0" borderId="2" xfId="1" applyNumberFormat="1" applyFont="1" applyBorder="1" applyAlignment="1">
      <alignment horizontal="center" vertical="center"/>
    </xf>
    <xf numFmtId="178" fontId="12" fillId="0" borderId="18" xfId="1" applyNumberFormat="1" applyFont="1" applyBorder="1" applyAlignment="1">
      <alignment horizontal="center" vertical="center"/>
    </xf>
    <xf numFmtId="180" fontId="12" fillId="0" borderId="2" xfId="6" applyNumberFormat="1" applyFont="1" applyBorder="1" applyAlignment="1">
      <alignment horizontal="center" vertical="center"/>
    </xf>
    <xf numFmtId="180" fontId="12" fillId="0" borderId="18" xfId="6" applyNumberFormat="1" applyFont="1" applyBorder="1" applyAlignment="1">
      <alignment horizontal="center" vertical="center"/>
    </xf>
    <xf numFmtId="20" fontId="10" fillId="0" borderId="2" xfId="1" applyNumberFormat="1" applyFont="1" applyBorder="1" applyAlignment="1">
      <alignment horizontal="center" vertical="center" wrapText="1"/>
    </xf>
    <xf numFmtId="20" fontId="10" fillId="0" borderId="18" xfId="1" applyNumberFormat="1" applyFont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 wrapText="1"/>
    </xf>
    <xf numFmtId="180" fontId="10" fillId="0" borderId="18" xfId="6" applyNumberFormat="1" applyFont="1" applyBorder="1" applyAlignment="1">
      <alignment horizontal="center" vertical="center"/>
    </xf>
    <xf numFmtId="0" fontId="10" fillId="0" borderId="26" xfId="1" applyFont="1" applyBorder="1">
      <alignment vertical="center"/>
    </xf>
    <xf numFmtId="0" fontId="10" fillId="0" borderId="26" xfId="1" applyFont="1" applyBorder="1" applyAlignment="1">
      <alignment horizontal="center" vertical="center"/>
    </xf>
    <xf numFmtId="0" fontId="10" fillId="0" borderId="27" xfId="1" applyFont="1" applyBorder="1">
      <alignment vertical="center"/>
    </xf>
    <xf numFmtId="178" fontId="10" fillId="0" borderId="2" xfId="1" applyNumberFormat="1" applyFont="1" applyBorder="1" applyAlignment="1">
      <alignment horizontal="center" vertical="center"/>
    </xf>
    <xf numFmtId="178" fontId="10" fillId="0" borderId="28" xfId="1" applyNumberFormat="1" applyFont="1" applyBorder="1" applyAlignment="1">
      <alignment horizontal="center" vertical="center"/>
    </xf>
    <xf numFmtId="178" fontId="10" fillId="0" borderId="18" xfId="1" applyNumberFormat="1" applyFont="1" applyBorder="1" applyAlignment="1">
      <alignment horizontal="center" vertical="center"/>
    </xf>
    <xf numFmtId="20" fontId="10" fillId="0" borderId="3" xfId="1" applyNumberFormat="1" applyFont="1" applyBorder="1" applyAlignment="1">
      <alignment horizontal="center" vertical="center" wrapText="1"/>
    </xf>
    <xf numFmtId="20" fontId="10" fillId="0" borderId="28" xfId="1" applyNumberFormat="1" applyFont="1" applyBorder="1" applyAlignment="1">
      <alignment horizontal="center" vertical="center" wrapText="1"/>
    </xf>
    <xf numFmtId="180" fontId="10" fillId="0" borderId="2" xfId="6" applyNumberFormat="1" applyFont="1" applyBorder="1" applyAlignment="1">
      <alignment horizontal="center" vertical="center"/>
    </xf>
    <xf numFmtId="49" fontId="10" fillId="0" borderId="28" xfId="6" applyNumberFormat="1" applyFont="1" applyBorder="1" applyAlignment="1">
      <alignment horizontal="center" vertical="center"/>
    </xf>
    <xf numFmtId="0" fontId="10" fillId="0" borderId="29" xfId="1" applyFont="1" applyBorder="1">
      <alignment vertical="center"/>
    </xf>
    <xf numFmtId="0" fontId="4" fillId="0" borderId="0" xfId="1" applyFont="1" applyAlignment="1">
      <alignment horizontal="center" vertical="center"/>
    </xf>
    <xf numFmtId="0" fontId="28" fillId="0" borderId="0" xfId="4" applyFont="1">
      <alignment vertical="center"/>
    </xf>
    <xf numFmtId="0" fontId="10" fillId="0" borderId="2" xfId="1" applyFont="1" applyBorder="1" applyAlignment="1">
      <alignment horizontal="center" vertical="center"/>
    </xf>
    <xf numFmtId="0" fontId="10" fillId="0" borderId="18" xfId="1" applyFont="1" applyBorder="1" applyAlignment="1">
      <alignment horizontal="center" vertical="center"/>
    </xf>
    <xf numFmtId="180" fontId="12" fillId="0" borderId="30" xfId="6" applyNumberFormat="1" applyFont="1" applyBorder="1" applyAlignment="1">
      <alignment horizontal="center" vertical="center"/>
    </xf>
    <xf numFmtId="20" fontId="10" fillId="0" borderId="31" xfId="1" applyNumberFormat="1" applyFont="1" applyBorder="1" applyAlignment="1">
      <alignment horizontal="center" vertical="center" wrapText="1"/>
    </xf>
    <xf numFmtId="0" fontId="11" fillId="8" borderId="2" xfId="2" applyFont="1" applyFill="1" applyBorder="1" applyAlignment="1">
      <alignment horizontal="center" vertical="center"/>
    </xf>
    <xf numFmtId="0" fontId="4" fillId="8" borderId="2" xfId="1" applyFont="1" applyFill="1" applyBorder="1" applyAlignment="1">
      <alignment horizontal="center" vertical="center" wrapText="1"/>
    </xf>
    <xf numFmtId="0" fontId="4" fillId="8" borderId="18" xfId="1" applyFont="1" applyFill="1" applyBorder="1" applyAlignment="1">
      <alignment horizontal="center" vertical="center" wrapText="1"/>
    </xf>
    <xf numFmtId="1" fontId="10" fillId="0" borderId="2" xfId="1" applyNumberFormat="1" applyFont="1" applyBorder="1" applyAlignment="1">
      <alignment horizontal="center" vertical="center"/>
    </xf>
    <xf numFmtId="1" fontId="12" fillId="0" borderId="18" xfId="1" applyNumberFormat="1" applyFont="1" applyBorder="1" applyAlignment="1">
      <alignment horizontal="center" vertical="center"/>
    </xf>
    <xf numFmtId="0" fontId="10" fillId="0" borderId="28" xfId="1" applyFont="1" applyBorder="1" applyAlignment="1">
      <alignment horizontal="center" vertical="center"/>
    </xf>
    <xf numFmtId="0" fontId="10" fillId="0" borderId="28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0" fillId="0" borderId="18" xfId="1" applyFont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 wrapText="1"/>
    </xf>
    <xf numFmtId="178" fontId="10" fillId="0" borderId="23" xfId="1" applyNumberFormat="1" applyFont="1" applyBorder="1" applyAlignment="1">
      <alignment horizontal="center" vertical="center"/>
    </xf>
    <xf numFmtId="178" fontId="12" fillId="0" borderId="23" xfId="1" applyNumberFormat="1" applyFont="1" applyBorder="1" applyAlignment="1">
      <alignment horizontal="center" vertical="center"/>
    </xf>
    <xf numFmtId="180" fontId="12" fillId="0" borderId="23" xfId="6" applyNumberFormat="1" applyFont="1" applyBorder="1" applyAlignment="1">
      <alignment horizontal="center" vertical="center"/>
    </xf>
    <xf numFmtId="20" fontId="10" fillId="0" borderId="23" xfId="1" applyNumberFormat="1" applyFont="1" applyBorder="1" applyAlignment="1">
      <alignment horizontal="center" vertical="center" wrapText="1"/>
    </xf>
    <xf numFmtId="1" fontId="12" fillId="0" borderId="23" xfId="1" applyNumberFormat="1" applyFont="1" applyBorder="1" applyAlignment="1">
      <alignment horizontal="center" vertical="center"/>
    </xf>
    <xf numFmtId="1" fontId="12" fillId="0" borderId="2" xfId="1" applyNumberFormat="1" applyFont="1" applyBorder="1" applyAlignment="1">
      <alignment horizontal="center" vertical="center"/>
    </xf>
    <xf numFmtId="1" fontId="12" fillId="0" borderId="31" xfId="1" applyNumberFormat="1" applyFont="1" applyBorder="1" applyAlignment="1">
      <alignment horizontal="center" vertical="center"/>
    </xf>
    <xf numFmtId="1" fontId="12" fillId="0" borderId="28" xfId="1" applyNumberFormat="1" applyFont="1" applyBorder="1" applyAlignment="1">
      <alignment horizontal="center" vertical="center"/>
    </xf>
    <xf numFmtId="180" fontId="10" fillId="0" borderId="23" xfId="6" applyNumberFormat="1" applyFont="1" applyBorder="1" applyAlignment="1">
      <alignment horizontal="center" vertical="center" wrapText="1"/>
    </xf>
    <xf numFmtId="180" fontId="10" fillId="0" borderId="28" xfId="6" applyNumberFormat="1" applyFont="1" applyBorder="1" applyAlignment="1">
      <alignment horizontal="center" vertical="center"/>
    </xf>
    <xf numFmtId="180" fontId="10" fillId="0" borderId="20" xfId="6" applyNumberFormat="1" applyFont="1" applyBorder="1" applyAlignment="1">
      <alignment horizontal="center" vertical="center"/>
    </xf>
    <xf numFmtId="180" fontId="10" fillId="0" borderId="5" xfId="6" applyNumberFormat="1" applyFont="1" applyBorder="1" applyAlignment="1">
      <alignment horizontal="center" vertical="center"/>
    </xf>
    <xf numFmtId="180" fontId="10" fillId="0" borderId="30" xfId="6" applyNumberFormat="1" applyFont="1" applyBorder="1" applyAlignment="1">
      <alignment horizontal="center" vertical="center"/>
    </xf>
    <xf numFmtId="180" fontId="10" fillId="0" borderId="37" xfId="6" applyNumberFormat="1" applyFont="1" applyBorder="1" applyAlignment="1">
      <alignment horizontal="center" vertical="center"/>
    </xf>
    <xf numFmtId="0" fontId="10" fillId="0" borderId="25" xfId="1" applyFont="1" applyBorder="1">
      <alignment vertical="center"/>
    </xf>
    <xf numFmtId="0" fontId="28" fillId="0" borderId="39" xfId="4" applyFont="1" applyBorder="1">
      <alignment vertical="center"/>
    </xf>
    <xf numFmtId="176" fontId="8" fillId="12" borderId="39" xfId="286" applyNumberFormat="1" applyFont="1" applyFill="1" applyBorder="1" applyAlignment="1">
      <alignment horizontal="center" vertical="center"/>
    </xf>
    <xf numFmtId="43" fontId="28" fillId="0" borderId="39" xfId="286" applyFont="1" applyBorder="1" applyAlignment="1">
      <alignment horizontal="center" vertical="center"/>
    </xf>
    <xf numFmtId="1" fontId="28" fillId="0" borderId="39" xfId="4" applyNumberFormat="1" applyFont="1" applyBorder="1" applyAlignment="1">
      <alignment horizontal="center" vertical="center"/>
    </xf>
    <xf numFmtId="0" fontId="13" fillId="0" borderId="40" xfId="4" applyFont="1" applyBorder="1" applyAlignment="1">
      <alignment horizontal="center" vertical="center" wrapText="1"/>
    </xf>
    <xf numFmtId="0" fontId="31" fillId="0" borderId="0" xfId="4" applyFont="1">
      <alignment vertical="center"/>
    </xf>
    <xf numFmtId="178" fontId="28" fillId="0" borderId="39" xfId="4" applyNumberFormat="1" applyFont="1" applyBorder="1" applyAlignment="1">
      <alignment horizontal="center" vertical="center"/>
    </xf>
    <xf numFmtId="178" fontId="34" fillId="0" borderId="39" xfId="4" applyNumberFormat="1" applyFont="1" applyBorder="1" applyAlignment="1">
      <alignment horizontal="center" vertical="center" wrapText="1"/>
    </xf>
    <xf numFmtId="2" fontId="28" fillId="0" borderId="39" xfId="4" applyNumberFormat="1" applyFont="1" applyBorder="1" applyAlignment="1">
      <alignment horizontal="center" vertical="center"/>
    </xf>
    <xf numFmtId="182" fontId="32" fillId="0" borderId="40" xfId="4" applyNumberFormat="1" applyFont="1" applyBorder="1" applyAlignment="1">
      <alignment horizontal="center" vertical="center"/>
    </xf>
    <xf numFmtId="0" fontId="32" fillId="0" borderId="40" xfId="4" applyFont="1" applyBorder="1" applyAlignment="1">
      <alignment horizontal="center" vertical="center"/>
    </xf>
    <xf numFmtId="0" fontId="37" fillId="3" borderId="39" xfId="4" applyFont="1" applyFill="1" applyBorder="1" applyAlignment="1">
      <alignment horizontal="center" vertical="center" wrapText="1"/>
    </xf>
    <xf numFmtId="0" fontId="31" fillId="0" borderId="47" xfId="4" applyFont="1" applyBorder="1" applyAlignment="1">
      <alignment horizontal="center"/>
    </xf>
    <xf numFmtId="0" fontId="31" fillId="0" borderId="48" xfId="4" applyFont="1" applyBorder="1" applyAlignment="1">
      <alignment horizontal="center"/>
    </xf>
    <xf numFmtId="0" fontId="31" fillId="0" borderId="44" xfId="160" applyFont="1" applyBorder="1" applyAlignment="1"/>
    <xf numFmtId="0" fontId="31" fillId="0" borderId="47" xfId="160" applyFont="1" applyBorder="1" applyAlignment="1"/>
    <xf numFmtId="178" fontId="31" fillId="0" borderId="47" xfId="160" applyNumberFormat="1" applyFont="1" applyBorder="1" applyAlignment="1">
      <alignment horizontal="center"/>
    </xf>
    <xf numFmtId="1" fontId="31" fillId="0" borderId="39" xfId="4" applyNumberFormat="1" applyFont="1" applyBorder="1" applyAlignment="1">
      <alignment horizontal="center" vertical="center"/>
    </xf>
    <xf numFmtId="43" fontId="31" fillId="0" borderId="39" xfId="286" applyFont="1" applyBorder="1" applyAlignment="1">
      <alignment horizontal="center" vertical="center"/>
    </xf>
    <xf numFmtId="1" fontId="31" fillId="4" borderId="39" xfId="4" applyNumberFormat="1" applyFont="1" applyFill="1" applyBorder="1" applyAlignment="1">
      <alignment horizontal="center" vertical="center"/>
    </xf>
    <xf numFmtId="178" fontId="31" fillId="0" borderId="39" xfId="4" applyNumberFormat="1" applyFont="1" applyBorder="1" applyAlignment="1">
      <alignment horizontal="center" vertical="center"/>
    </xf>
    <xf numFmtId="182" fontId="31" fillId="0" borderId="39" xfId="4" applyNumberFormat="1" applyFont="1" applyBorder="1" applyAlignment="1">
      <alignment horizontal="center" vertical="center"/>
    </xf>
    <xf numFmtId="183" fontId="31" fillId="0" borderId="39" xfId="4" applyNumberFormat="1" applyFont="1" applyBorder="1" applyAlignment="1">
      <alignment horizontal="center" vertical="center"/>
    </xf>
    <xf numFmtId="184" fontId="31" fillId="0" borderId="2" xfId="4" applyNumberFormat="1" applyFont="1" applyBorder="1" applyAlignment="1">
      <alignment horizontal="center" vertical="center"/>
    </xf>
    <xf numFmtId="182" fontId="31" fillId="0" borderId="49" xfId="4" applyNumberFormat="1" applyFont="1" applyBorder="1" applyAlignment="1">
      <alignment horizontal="center" vertical="center"/>
    </xf>
    <xf numFmtId="0" fontId="31" fillId="0" borderId="49" xfId="4" applyFont="1" applyBorder="1" applyAlignment="1">
      <alignment horizontal="center" vertical="center"/>
    </xf>
    <xf numFmtId="20" fontId="31" fillId="0" borderId="39" xfId="4" applyNumberFormat="1" applyFont="1" applyBorder="1" applyAlignment="1">
      <alignment horizontal="center" vertical="center"/>
    </xf>
    <xf numFmtId="182" fontId="31" fillId="0" borderId="2" xfId="4" applyNumberFormat="1" applyFont="1" applyBorder="1" applyAlignment="1">
      <alignment horizontal="center" vertical="center"/>
    </xf>
    <xf numFmtId="1" fontId="31" fillId="0" borderId="2" xfId="4" applyNumberFormat="1" applyFont="1" applyBorder="1" applyAlignment="1">
      <alignment horizontal="center" vertical="center"/>
    </xf>
    <xf numFmtId="0" fontId="31" fillId="0" borderId="3" xfId="4" applyFont="1" applyBorder="1" applyAlignment="1">
      <alignment horizontal="center" vertical="center"/>
    </xf>
    <xf numFmtId="0" fontId="31" fillId="14" borderId="1" xfId="160" applyFont="1" applyFill="1" applyBorder="1" applyAlignment="1"/>
    <xf numFmtId="0" fontId="31" fillId="0" borderId="50" xfId="160" applyFont="1" applyBorder="1" applyAlignment="1"/>
    <xf numFmtId="0" fontId="31" fillId="0" borderId="51" xfId="4" applyFont="1" applyBorder="1" applyAlignment="1">
      <alignment horizontal="center" vertical="center"/>
    </xf>
    <xf numFmtId="0" fontId="31" fillId="0" borderId="52" xfId="160" applyFont="1" applyBorder="1" applyAlignment="1"/>
    <xf numFmtId="1" fontId="31" fillId="0" borderId="40" xfId="4" applyNumberFormat="1" applyFont="1" applyBorder="1" applyAlignment="1">
      <alignment horizontal="center" vertical="center"/>
    </xf>
    <xf numFmtId="0" fontId="31" fillId="4" borderId="40" xfId="4" applyFont="1" applyFill="1" applyBorder="1" applyAlignment="1">
      <alignment horizontal="center" vertical="center"/>
    </xf>
    <xf numFmtId="20" fontId="31" fillId="0" borderId="40" xfId="4" applyNumberFormat="1" applyFont="1" applyBorder="1" applyAlignment="1">
      <alignment horizontal="center" vertical="center"/>
    </xf>
    <xf numFmtId="0" fontId="31" fillId="0" borderId="0" xfId="4" applyFont="1" applyAlignment="1">
      <alignment horizontal="center"/>
    </xf>
    <xf numFmtId="0" fontId="31" fillId="0" borderId="52" xfId="4" applyFont="1" applyBorder="1" applyAlignment="1">
      <alignment horizontal="center" vertical="center"/>
    </xf>
    <xf numFmtId="1" fontId="31" fillId="0" borderId="47" xfId="4" applyNumberFormat="1" applyFont="1" applyBorder="1" applyAlignment="1">
      <alignment horizontal="center" vertical="center"/>
    </xf>
    <xf numFmtId="0" fontId="31" fillId="0" borderId="52" xfId="4" applyFont="1" applyBorder="1" applyAlignment="1">
      <alignment horizontal="center"/>
    </xf>
    <xf numFmtId="178" fontId="31" fillId="15" borderId="40" xfId="4" applyNumberFormat="1" applyFont="1" applyFill="1" applyBorder="1" applyAlignment="1">
      <alignment horizontal="center"/>
    </xf>
    <xf numFmtId="1" fontId="31" fillId="15" borderId="40" xfId="4" applyNumberFormat="1" applyFont="1" applyFill="1" applyBorder="1" applyAlignment="1">
      <alignment horizontal="center" vertical="center"/>
    </xf>
    <xf numFmtId="43" fontId="31" fillId="15" borderId="40" xfId="286" applyFont="1" applyFill="1" applyBorder="1" applyAlignment="1">
      <alignment horizontal="center" vertical="center"/>
    </xf>
    <xf numFmtId="0" fontId="31" fillId="15" borderId="40" xfId="4" applyFont="1" applyFill="1" applyBorder="1" applyAlignment="1">
      <alignment horizontal="center" vertical="center"/>
    </xf>
    <xf numFmtId="178" fontId="31" fillId="15" borderId="40" xfId="4" applyNumberFormat="1" applyFont="1" applyFill="1" applyBorder="1" applyAlignment="1">
      <alignment horizontal="center" vertical="center"/>
    </xf>
    <xf numFmtId="1" fontId="31" fillId="15" borderId="2" xfId="4" applyNumberFormat="1" applyFont="1" applyFill="1" applyBorder="1" applyAlignment="1">
      <alignment horizontal="center" vertical="center"/>
    </xf>
    <xf numFmtId="182" fontId="31" fillId="0" borderId="40" xfId="4" applyNumberFormat="1" applyFont="1" applyBorder="1" applyAlignment="1">
      <alignment horizontal="center" vertical="center"/>
    </xf>
    <xf numFmtId="183" fontId="31" fillId="0" borderId="40" xfId="4" applyNumberFormat="1" applyFont="1" applyBorder="1" applyAlignment="1">
      <alignment horizontal="center" vertical="center"/>
    </xf>
    <xf numFmtId="180" fontId="31" fillId="0" borderId="40" xfId="341" applyNumberFormat="1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 wrapText="1"/>
    </xf>
    <xf numFmtId="178" fontId="31" fillId="0" borderId="40" xfId="4" applyNumberFormat="1" applyFont="1" applyBorder="1" applyAlignment="1">
      <alignment horizontal="center" vertical="center"/>
    </xf>
    <xf numFmtId="182" fontId="31" fillId="3" borderId="30" xfId="4" applyNumberFormat="1" applyFont="1" applyFill="1" applyBorder="1" applyAlignment="1">
      <alignment horizontal="center" vertical="center"/>
    </xf>
    <xf numFmtId="0" fontId="31" fillId="3" borderId="30" xfId="4" applyFont="1" applyFill="1" applyBorder="1" applyAlignment="1">
      <alignment horizontal="center" vertical="center"/>
    </xf>
    <xf numFmtId="0" fontId="31" fillId="0" borderId="53" xfId="4" applyFont="1" applyBorder="1" applyAlignment="1">
      <alignment horizontal="center"/>
    </xf>
    <xf numFmtId="0" fontId="31" fillId="0" borderId="3" xfId="4" applyFont="1" applyBorder="1" applyAlignment="1">
      <alignment horizontal="center"/>
    </xf>
    <xf numFmtId="0" fontId="31" fillId="0" borderId="3" xfId="160" applyFont="1" applyBorder="1" applyAlignment="1"/>
    <xf numFmtId="0" fontId="31" fillId="0" borderId="1" xfId="160" applyFont="1" applyBorder="1" applyAlignment="1"/>
    <xf numFmtId="178" fontId="31" fillId="0" borderId="54" xfId="160" applyNumberFormat="1" applyFont="1" applyBorder="1" applyAlignment="1">
      <alignment horizontal="center"/>
    </xf>
    <xf numFmtId="43" fontId="31" fillId="0" borderId="2" xfId="286" applyFont="1" applyBorder="1" applyAlignment="1">
      <alignment horizontal="center" vertical="center"/>
    </xf>
    <xf numFmtId="1" fontId="31" fillId="4" borderId="55" xfId="4" applyNumberFormat="1" applyFont="1" applyFill="1" applyBorder="1" applyAlignment="1">
      <alignment horizontal="center" vertical="center"/>
    </xf>
    <xf numFmtId="178" fontId="31" fillId="0" borderId="2" xfId="4" applyNumberFormat="1" applyFont="1" applyBorder="1" applyAlignment="1">
      <alignment horizontal="center" vertical="center"/>
    </xf>
    <xf numFmtId="183" fontId="31" fillId="0" borderId="2" xfId="4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 wrapText="1"/>
    </xf>
    <xf numFmtId="182" fontId="31" fillId="0" borderId="55" xfId="4" applyNumberFormat="1" applyFont="1" applyBorder="1" applyAlignment="1">
      <alignment horizontal="center" vertical="center"/>
    </xf>
    <xf numFmtId="180" fontId="31" fillId="0" borderId="55" xfId="341" applyNumberFormat="1" applyFont="1" applyBorder="1" applyAlignment="1">
      <alignment horizontal="center" vertical="center"/>
    </xf>
    <xf numFmtId="1" fontId="31" fillId="4" borderId="57" xfId="4" applyNumberFormat="1" applyFont="1" applyFill="1" applyBorder="1" applyAlignment="1">
      <alignment horizontal="center" vertical="center"/>
    </xf>
    <xf numFmtId="1" fontId="31" fillId="0" borderId="49" xfId="4" applyNumberFormat="1" applyFont="1" applyBorder="1" applyAlignment="1">
      <alignment horizontal="center" vertical="center"/>
    </xf>
    <xf numFmtId="178" fontId="31" fillId="0" borderId="49" xfId="4" applyNumberFormat="1" applyFont="1" applyBorder="1" applyAlignment="1">
      <alignment horizontal="center" vertical="center"/>
    </xf>
    <xf numFmtId="20" fontId="31" fillId="0" borderId="2" xfId="4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/>
    </xf>
    <xf numFmtId="0" fontId="31" fillId="14" borderId="44" xfId="160" applyFont="1" applyFill="1" applyBorder="1" applyAlignment="1"/>
    <xf numFmtId="1" fontId="31" fillId="4" borderId="2" xfId="4" applyNumberFormat="1" applyFont="1" applyFill="1" applyBorder="1" applyAlignment="1">
      <alignment horizontal="center" vertical="center"/>
    </xf>
    <xf numFmtId="178" fontId="31" fillId="0" borderId="1" xfId="160" applyNumberFormat="1" applyFont="1" applyBorder="1" applyAlignment="1">
      <alignment horizontal="center"/>
    </xf>
    <xf numFmtId="0" fontId="31" fillId="0" borderId="1" xfId="4" applyFont="1" applyBorder="1" applyAlignment="1">
      <alignment horizontal="center"/>
    </xf>
    <xf numFmtId="0" fontId="11" fillId="0" borderId="2" xfId="1" applyFont="1" applyBorder="1" applyAlignment="1">
      <alignment horizontal="center" vertical="center"/>
    </xf>
    <xf numFmtId="178" fontId="31" fillId="15" borderId="2" xfId="4" applyNumberFormat="1" applyFont="1" applyFill="1" applyBorder="1" applyAlignment="1">
      <alignment horizontal="center"/>
    </xf>
    <xf numFmtId="43" fontId="31" fillId="15" borderId="2" xfId="286" applyFont="1" applyFill="1" applyBorder="1" applyAlignment="1">
      <alignment horizontal="center" vertical="center"/>
    </xf>
    <xf numFmtId="0" fontId="31" fillId="15" borderId="2" xfId="4" applyFont="1" applyFill="1" applyBorder="1" applyAlignment="1">
      <alignment horizontal="center" vertical="center"/>
    </xf>
    <xf numFmtId="178" fontId="31" fillId="15" borderId="2" xfId="4" applyNumberFormat="1" applyFont="1" applyFill="1" applyBorder="1" applyAlignment="1">
      <alignment horizontal="center" vertical="center"/>
    </xf>
    <xf numFmtId="180" fontId="31" fillId="0" borderId="2" xfId="341" applyNumberFormat="1" applyFont="1" applyFill="1" applyBorder="1" applyAlignment="1">
      <alignment horizontal="center" vertical="center"/>
    </xf>
    <xf numFmtId="182" fontId="31" fillId="3" borderId="2" xfId="4" applyNumberFormat="1" applyFont="1" applyFill="1" applyBorder="1" applyAlignment="1">
      <alignment horizontal="center" vertical="center"/>
    </xf>
    <xf numFmtId="0" fontId="31" fillId="3" borderId="2" xfId="4" applyFont="1" applyFill="1" applyBorder="1" applyAlignment="1">
      <alignment horizontal="center" vertical="center"/>
    </xf>
    <xf numFmtId="182" fontId="31" fillId="0" borderId="57" xfId="4" applyNumberFormat="1" applyFont="1" applyBorder="1" applyAlignment="1">
      <alignment horizontal="center" vertical="center"/>
    </xf>
    <xf numFmtId="180" fontId="31" fillId="0" borderId="57" xfId="341" applyNumberFormat="1" applyFont="1" applyBorder="1" applyAlignment="1">
      <alignment horizontal="center" vertical="center"/>
    </xf>
    <xf numFmtId="0" fontId="31" fillId="0" borderId="49" xfId="4" applyFont="1" applyBorder="1" applyAlignment="1">
      <alignment horizontal="center"/>
    </xf>
    <xf numFmtId="0" fontId="31" fillId="0" borderId="62" xfId="160" applyFont="1" applyBorder="1" applyAlignment="1"/>
    <xf numFmtId="178" fontId="31" fillId="0" borderId="63" xfId="160" applyNumberFormat="1" applyFont="1" applyBorder="1" applyAlignment="1">
      <alignment horizontal="center"/>
    </xf>
    <xf numFmtId="1" fontId="4" fillId="0" borderId="2" xfId="136" applyNumberFormat="1" applyFont="1" applyBorder="1" applyAlignment="1">
      <alignment horizontal="center" vertical="center"/>
    </xf>
    <xf numFmtId="43" fontId="31" fillId="0" borderId="49" xfId="286" applyFont="1" applyBorder="1" applyAlignment="1">
      <alignment horizontal="center" vertical="center"/>
    </xf>
    <xf numFmtId="1" fontId="31" fillId="4" borderId="49" xfId="4" applyNumberFormat="1" applyFont="1" applyFill="1" applyBorder="1" applyAlignment="1">
      <alignment horizontal="center" vertical="center"/>
    </xf>
    <xf numFmtId="1" fontId="31" fillId="0" borderId="46" xfId="4" applyNumberFormat="1" applyFont="1" applyBorder="1" applyAlignment="1">
      <alignment horizontal="center" vertical="center"/>
    </xf>
    <xf numFmtId="178" fontId="31" fillId="0" borderId="46" xfId="4" applyNumberFormat="1" applyFont="1" applyBorder="1" applyAlignment="1">
      <alignment horizontal="center" vertical="center"/>
    </xf>
    <xf numFmtId="182" fontId="31" fillId="0" borderId="46" xfId="4" applyNumberFormat="1" applyFont="1" applyBorder="1" applyAlignment="1">
      <alignment horizontal="center" vertical="center"/>
    </xf>
    <xf numFmtId="183" fontId="31" fillId="0" borderId="46" xfId="4" applyNumberFormat="1" applyFont="1" applyBorder="1" applyAlignment="1">
      <alignment horizontal="center" vertical="center"/>
    </xf>
    <xf numFmtId="184" fontId="31" fillId="0" borderId="49" xfId="4" applyNumberFormat="1" applyFont="1" applyBorder="1" applyAlignment="1">
      <alignment horizontal="center" vertical="center"/>
    </xf>
    <xf numFmtId="0" fontId="31" fillId="14" borderId="39" xfId="4" applyFont="1" applyFill="1" applyBorder="1" applyAlignment="1">
      <alignment horizontal="center" vertical="center"/>
    </xf>
    <xf numFmtId="0" fontId="31" fillId="0" borderId="49" xfId="4" applyFont="1" applyBorder="1" applyAlignment="1">
      <alignment horizontal="center" vertical="center" wrapText="1"/>
    </xf>
    <xf numFmtId="180" fontId="31" fillId="0" borderId="61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/>
    </xf>
    <xf numFmtId="0" fontId="31" fillId="0" borderId="51" xfId="4" applyFont="1" applyBorder="1" applyAlignment="1">
      <alignment horizontal="center"/>
    </xf>
    <xf numFmtId="20" fontId="31" fillId="0" borderId="2" xfId="160" applyNumberFormat="1" applyFont="1" applyBorder="1" applyAlignment="1">
      <alignment horizontal="center" vertical="center"/>
    </xf>
    <xf numFmtId="182" fontId="31" fillId="0" borderId="2" xfId="160" applyNumberFormat="1" applyFont="1" applyBorder="1" applyAlignment="1">
      <alignment horizontal="center" vertical="center"/>
    </xf>
    <xf numFmtId="180" fontId="31" fillId="0" borderId="44" xfId="341" applyNumberFormat="1" applyFont="1" applyBorder="1" applyAlignment="1">
      <alignment horizontal="center" vertical="center"/>
    </xf>
    <xf numFmtId="0" fontId="31" fillId="0" borderId="48" xfId="4" applyFont="1" applyBorder="1" applyAlignment="1">
      <alignment horizontal="center" vertical="center"/>
    </xf>
    <xf numFmtId="0" fontId="4" fillId="14" borderId="3" xfId="136" applyFont="1" applyFill="1" applyBorder="1" applyAlignment="1">
      <alignment horizontal="left"/>
    </xf>
    <xf numFmtId="1" fontId="4" fillId="0" borderId="49" xfId="136" applyNumberFormat="1" applyFont="1" applyBorder="1" applyAlignment="1">
      <alignment horizontal="center" vertical="center"/>
    </xf>
    <xf numFmtId="1" fontId="4" fillId="4" borderId="2" xfId="136" applyNumberFormat="1" applyFont="1" applyFill="1" applyBorder="1" applyAlignment="1">
      <alignment horizontal="center" vertical="center"/>
    </xf>
    <xf numFmtId="0" fontId="4" fillId="0" borderId="3" xfId="136" applyFont="1" applyBorder="1" applyAlignment="1">
      <alignment horizontal="left"/>
    </xf>
    <xf numFmtId="0" fontId="31" fillId="0" borderId="53" xfId="4" applyFont="1" applyBorder="1" applyAlignment="1">
      <alignment horizontal="center" vertical="center"/>
    </xf>
    <xf numFmtId="184" fontId="4" fillId="0" borderId="2" xfId="136" applyNumberFormat="1" applyFont="1" applyBorder="1" applyAlignment="1">
      <alignment horizontal="center" vertical="center"/>
    </xf>
    <xf numFmtId="0" fontId="31" fillId="0" borderId="46" xfId="4" applyFont="1" applyBorder="1" applyAlignment="1">
      <alignment horizontal="center"/>
    </xf>
    <xf numFmtId="180" fontId="31" fillId="0" borderId="50" xfId="341" applyNumberFormat="1" applyFont="1" applyBorder="1" applyAlignment="1">
      <alignment horizontal="center" vertical="center"/>
    </xf>
    <xf numFmtId="178" fontId="31" fillId="0" borderId="2" xfId="160" applyNumberFormat="1" applyFont="1" applyBorder="1" applyAlignment="1">
      <alignment horizontal="center"/>
    </xf>
    <xf numFmtId="182" fontId="31" fillId="3" borderId="2" xfId="160" applyNumberFormat="1" applyFont="1" applyFill="1" applyBorder="1" applyAlignment="1">
      <alignment horizontal="center" vertical="center"/>
    </xf>
    <xf numFmtId="0" fontId="4" fillId="0" borderId="10" xfId="136" applyFont="1" applyBorder="1" applyAlignment="1">
      <alignment horizontal="center"/>
    </xf>
    <xf numFmtId="0" fontId="31" fillId="0" borderId="61" xfId="160" applyFont="1" applyBorder="1" applyAlignment="1"/>
    <xf numFmtId="178" fontId="31" fillId="0" borderId="48" xfId="160" applyNumberFormat="1" applyFont="1" applyBorder="1" applyAlignment="1">
      <alignment horizontal="center"/>
    </xf>
    <xf numFmtId="0" fontId="4" fillId="0" borderId="49" xfId="136" applyFont="1" applyBorder="1" applyAlignment="1">
      <alignment horizontal="center" vertical="center"/>
    </xf>
    <xf numFmtId="1" fontId="4" fillId="4" borderId="49" xfId="136" applyNumberFormat="1" applyFont="1" applyFill="1" applyBorder="1" applyAlignment="1">
      <alignment horizontal="center" vertical="center"/>
    </xf>
    <xf numFmtId="178" fontId="4" fillId="0" borderId="49" xfId="136" applyNumberFormat="1" applyFont="1" applyBorder="1" applyAlignment="1">
      <alignment horizontal="center" vertical="center"/>
    </xf>
    <xf numFmtId="183" fontId="31" fillId="0" borderId="49" xfId="4" applyNumberFormat="1" applyFont="1" applyBorder="1" applyAlignment="1">
      <alignment horizontal="center" vertical="center"/>
    </xf>
    <xf numFmtId="180" fontId="31" fillId="0" borderId="62" xfId="341" applyNumberFormat="1" applyFont="1" applyBorder="1" applyAlignment="1">
      <alignment horizontal="center" vertical="center"/>
    </xf>
    <xf numFmtId="0" fontId="4" fillId="0" borderId="2" xfId="4" applyFont="1" applyBorder="1" applyAlignment="1">
      <alignment horizontal="center" vertical="center" wrapText="1"/>
    </xf>
    <xf numFmtId="182" fontId="4" fillId="0" borderId="53" xfId="136" applyNumberFormat="1" applyFont="1" applyBorder="1" applyAlignment="1">
      <alignment horizontal="center" vertical="center"/>
    </xf>
    <xf numFmtId="0" fontId="4" fillId="0" borderId="0" xfId="136" applyFont="1">
      <alignment vertical="center"/>
    </xf>
    <xf numFmtId="0" fontId="4" fillId="0" borderId="2" xfId="136" applyFont="1" applyBorder="1" applyAlignment="1">
      <alignment horizontal="center" vertical="center"/>
    </xf>
    <xf numFmtId="0" fontId="4" fillId="0" borderId="1" xfId="136" applyFont="1" applyBorder="1" applyAlignment="1">
      <alignment horizontal="left"/>
    </xf>
    <xf numFmtId="20" fontId="4" fillId="0" borderId="2" xfId="41" applyNumberFormat="1" applyFont="1" applyBorder="1" applyAlignment="1">
      <alignment horizontal="center" vertical="center"/>
    </xf>
    <xf numFmtId="182" fontId="4" fillId="0" borderId="2" xfId="41" applyNumberFormat="1" applyFont="1" applyBorder="1" applyAlignment="1">
      <alignment horizontal="center" vertical="center"/>
    </xf>
    <xf numFmtId="178" fontId="4" fillId="0" borderId="2" xfId="136" applyNumberFormat="1" applyFont="1" applyBorder="1" applyAlignment="1">
      <alignment horizontal="center" vertical="center"/>
    </xf>
    <xf numFmtId="0" fontId="4" fillId="0" borderId="50" xfId="136" applyFont="1" applyBorder="1" applyAlignment="1">
      <alignment horizontal="center"/>
    </xf>
    <xf numFmtId="178" fontId="4" fillId="0" borderId="2" xfId="136" applyNumberFormat="1" applyFont="1" applyBorder="1" applyAlignment="1">
      <alignment horizontal="center"/>
    </xf>
    <xf numFmtId="0" fontId="31" fillId="0" borderId="50" xfId="4" applyFont="1" applyBorder="1" applyAlignment="1">
      <alignment horizontal="center"/>
    </xf>
    <xf numFmtId="0" fontId="11" fillId="0" borderId="30" xfId="1" applyFont="1" applyBorder="1" applyAlignment="1">
      <alignment horizontal="center" vertical="center"/>
    </xf>
    <xf numFmtId="182" fontId="31" fillId="0" borderId="62" xfId="4" applyNumberFormat="1" applyFont="1" applyBorder="1" applyAlignment="1">
      <alignment horizontal="center" vertical="center"/>
    </xf>
    <xf numFmtId="180" fontId="31" fillId="0" borderId="46" xfId="341" applyNumberFormat="1" applyFont="1" applyFill="1" applyBorder="1" applyAlignment="1">
      <alignment horizontal="center" vertical="center"/>
    </xf>
    <xf numFmtId="184" fontId="31" fillId="0" borderId="46" xfId="4" applyNumberFormat="1" applyFont="1" applyBorder="1" applyAlignment="1">
      <alignment horizontal="center" vertical="center"/>
    </xf>
    <xf numFmtId="20" fontId="31" fillId="0" borderId="46" xfId="4" applyNumberFormat="1" applyFont="1" applyBorder="1" applyAlignment="1">
      <alignment horizontal="center" vertical="center"/>
    </xf>
    <xf numFmtId="182" fontId="31" fillId="0" borderId="44" xfId="4" applyNumberFormat="1" applyFont="1" applyBorder="1" applyAlignment="1">
      <alignment horizontal="center" vertical="center"/>
    </xf>
    <xf numFmtId="182" fontId="31" fillId="0" borderId="47" xfId="4" applyNumberFormat="1" applyFont="1" applyBorder="1" applyAlignment="1">
      <alignment horizontal="center" vertical="center"/>
    </xf>
    <xf numFmtId="184" fontId="31" fillId="0" borderId="39" xfId="4" applyNumberFormat="1" applyFont="1" applyBorder="1" applyAlignment="1">
      <alignment horizontal="center" vertical="center"/>
    </xf>
    <xf numFmtId="184" fontId="4" fillId="14" borderId="49" xfId="136" applyNumberFormat="1" applyFont="1" applyFill="1" applyBorder="1" applyAlignment="1">
      <alignment horizontal="center" vertical="center"/>
    </xf>
    <xf numFmtId="0" fontId="31" fillId="0" borderId="61" xfId="4" applyFont="1" applyBorder="1" applyAlignment="1">
      <alignment horizontal="center"/>
    </xf>
    <xf numFmtId="0" fontId="31" fillId="0" borderId="61" xfId="4" applyFont="1" applyBorder="1" applyAlignment="1">
      <alignment horizontal="center" vertical="center"/>
    </xf>
    <xf numFmtId="1" fontId="31" fillId="4" borderId="40" xfId="4" applyNumberFormat="1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/>
    </xf>
    <xf numFmtId="0" fontId="11" fillId="0" borderId="2" xfId="1" applyFont="1" applyBorder="1" applyAlignment="1">
      <alignment horizontal="center" vertical="center" wrapText="1"/>
    </xf>
    <xf numFmtId="178" fontId="31" fillId="15" borderId="39" xfId="4" applyNumberFormat="1" applyFont="1" applyFill="1" applyBorder="1" applyAlignment="1">
      <alignment horizontal="center"/>
    </xf>
    <xf numFmtId="1" fontId="31" fillId="15" borderId="46" xfId="4" applyNumberFormat="1" applyFont="1" applyFill="1" applyBorder="1" applyAlignment="1">
      <alignment horizontal="center" vertical="center"/>
    </xf>
    <xf numFmtId="43" fontId="31" fillId="15" borderId="39" xfId="286" applyFont="1" applyFill="1" applyBorder="1" applyAlignment="1">
      <alignment horizontal="center" vertical="center"/>
    </xf>
    <xf numFmtId="178" fontId="31" fillId="15" borderId="39" xfId="4" applyNumberFormat="1" applyFont="1" applyFill="1" applyBorder="1" applyAlignment="1">
      <alignment horizontal="center" vertical="center"/>
    </xf>
    <xf numFmtId="180" fontId="31" fillId="0" borderId="39" xfId="341" applyNumberFormat="1" applyFont="1" applyFill="1" applyBorder="1" applyAlignment="1">
      <alignment horizontal="center" vertical="center"/>
    </xf>
    <xf numFmtId="184" fontId="4" fillId="0" borderId="49" xfId="136" applyNumberFormat="1" applyFont="1" applyBorder="1" applyAlignment="1">
      <alignment horizontal="center" vertical="center"/>
    </xf>
    <xf numFmtId="0" fontId="31" fillId="0" borderId="48" xfId="160" applyFont="1" applyBorder="1" applyAlignment="1"/>
    <xf numFmtId="1" fontId="31" fillId="0" borderId="57" xfId="4" applyNumberFormat="1" applyFont="1" applyBorder="1" applyAlignment="1">
      <alignment horizontal="center" vertical="center"/>
    </xf>
    <xf numFmtId="0" fontId="31" fillId="0" borderId="64" xfId="4" applyFont="1" applyBorder="1" applyAlignment="1">
      <alignment horizontal="center"/>
    </xf>
    <xf numFmtId="0" fontId="31" fillId="0" borderId="64" xfId="160" applyFont="1" applyBorder="1" applyAlignment="1"/>
    <xf numFmtId="0" fontId="31" fillId="0" borderId="65" xfId="160" applyFont="1" applyBorder="1" applyAlignment="1"/>
    <xf numFmtId="1" fontId="31" fillId="4" borderId="2" xfId="197" applyNumberFormat="1" applyFont="1" applyFill="1" applyBorder="1" applyAlignment="1">
      <alignment horizontal="center" vertical="center"/>
    </xf>
    <xf numFmtId="1" fontId="31" fillId="0" borderId="2" xfId="197" applyNumberFormat="1" applyFont="1" applyBorder="1" applyAlignment="1">
      <alignment horizontal="center" vertical="center"/>
    </xf>
    <xf numFmtId="20" fontId="31" fillId="0" borderId="39" xfId="160" applyNumberFormat="1" applyFont="1" applyBorder="1" applyAlignment="1">
      <alignment horizontal="center" vertical="center"/>
    </xf>
    <xf numFmtId="178" fontId="31" fillId="0" borderId="65" xfId="4" applyNumberFormat="1" applyFont="1" applyBorder="1" applyAlignment="1">
      <alignment horizontal="center" vertical="center"/>
    </xf>
    <xf numFmtId="183" fontId="31" fillId="0" borderId="57" xfId="4" applyNumberFormat="1" applyFont="1" applyBorder="1" applyAlignment="1">
      <alignment horizontal="center" vertical="center"/>
    </xf>
    <xf numFmtId="178" fontId="31" fillId="0" borderId="1" xfId="4" applyNumberFormat="1" applyFont="1" applyBorder="1" applyAlignment="1">
      <alignment horizontal="center" vertical="center"/>
    </xf>
    <xf numFmtId="178" fontId="31" fillId="15" borderId="44" xfId="4" applyNumberFormat="1" applyFont="1" applyFill="1" applyBorder="1" applyAlignment="1">
      <alignment horizontal="center"/>
    </xf>
    <xf numFmtId="178" fontId="31" fillId="15" borderId="6" xfId="4" applyNumberFormat="1" applyFont="1" applyFill="1" applyBorder="1" applyAlignment="1">
      <alignment horizontal="center" vertical="center"/>
    </xf>
    <xf numFmtId="180" fontId="31" fillId="0" borderId="48" xfId="341" applyNumberFormat="1" applyFont="1" applyBorder="1" applyAlignment="1">
      <alignment horizontal="center" vertical="center"/>
    </xf>
    <xf numFmtId="0" fontId="4" fillId="0" borderId="44" xfId="160" applyFont="1" applyBorder="1" applyAlignment="1"/>
    <xf numFmtId="0" fontId="31" fillId="14" borderId="30" xfId="4" applyFont="1" applyFill="1" applyBorder="1" applyAlignment="1">
      <alignment horizontal="center" vertical="center"/>
    </xf>
    <xf numFmtId="20" fontId="31" fillId="0" borderId="57" xfId="4" applyNumberFormat="1" applyFont="1" applyBorder="1" applyAlignment="1">
      <alignment horizontal="center" vertical="center"/>
    </xf>
    <xf numFmtId="0" fontId="31" fillId="0" borderId="30" xfId="4" applyFont="1" applyBorder="1" applyAlignment="1">
      <alignment horizontal="center" vertical="center"/>
    </xf>
    <xf numFmtId="0" fontId="31" fillId="0" borderId="50" xfId="4" applyFont="1" applyBorder="1" applyAlignment="1">
      <alignment horizontal="center" vertical="center"/>
    </xf>
    <xf numFmtId="0" fontId="31" fillId="0" borderId="1" xfId="4" applyFont="1" applyBorder="1" applyAlignment="1">
      <alignment horizontal="center" vertical="center"/>
    </xf>
    <xf numFmtId="178" fontId="31" fillId="0" borderId="30" xfId="4" applyNumberFormat="1" applyFont="1" applyBorder="1" applyAlignment="1">
      <alignment horizontal="center" vertical="center"/>
    </xf>
    <xf numFmtId="184" fontId="31" fillId="0" borderId="40" xfId="4" applyNumberFormat="1" applyFont="1" applyBorder="1" applyAlignment="1">
      <alignment horizontal="center" vertical="center"/>
    </xf>
    <xf numFmtId="20" fontId="31" fillId="0" borderId="40" xfId="160" applyNumberFormat="1" applyFont="1" applyBorder="1" applyAlignment="1">
      <alignment horizontal="center" vertical="center"/>
    </xf>
    <xf numFmtId="1" fontId="31" fillId="0" borderId="3" xfId="4" applyNumberFormat="1" applyFont="1" applyBorder="1" applyAlignment="1">
      <alignment horizontal="center" vertical="center"/>
    </xf>
    <xf numFmtId="0" fontId="31" fillId="4" borderId="1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/>
    </xf>
    <xf numFmtId="43" fontId="31" fillId="15" borderId="7" xfId="286" applyFont="1" applyFill="1" applyBorder="1" applyAlignment="1">
      <alignment horizontal="center" vertical="center"/>
    </xf>
    <xf numFmtId="1" fontId="31" fillId="15" borderId="7" xfId="4" applyNumberFormat="1" applyFont="1" applyFill="1" applyBorder="1" applyAlignment="1">
      <alignment horizontal="center" vertical="center"/>
    </xf>
    <xf numFmtId="178" fontId="31" fillId="15" borderId="7" xfId="4" applyNumberFormat="1" applyFont="1" applyFill="1" applyBorder="1" applyAlignment="1">
      <alignment horizontal="center" vertical="center"/>
    </xf>
    <xf numFmtId="182" fontId="31" fillId="0" borderId="7" xfId="4" applyNumberFormat="1" applyFont="1" applyBorder="1" applyAlignment="1">
      <alignment horizontal="center" vertical="center"/>
    </xf>
    <xf numFmtId="183" fontId="31" fillId="0" borderId="7" xfId="4" applyNumberFormat="1" applyFont="1" applyBorder="1" applyAlignment="1">
      <alignment horizontal="center" vertical="center"/>
    </xf>
    <xf numFmtId="180" fontId="31" fillId="0" borderId="7" xfId="341" applyNumberFormat="1" applyFont="1" applyFill="1" applyBorder="1" applyAlignment="1">
      <alignment horizontal="center" vertical="center"/>
    </xf>
    <xf numFmtId="0" fontId="31" fillId="14" borderId="3" xfId="4" applyFont="1" applyFill="1" applyBorder="1" applyAlignment="1">
      <alignment horizontal="center"/>
    </xf>
    <xf numFmtId="0" fontId="31" fillId="14" borderId="3" xfId="160" applyFont="1" applyFill="1" applyBorder="1" applyAlignment="1"/>
    <xf numFmtId="178" fontId="31" fillId="14" borderId="1" xfId="160" applyNumberFormat="1" applyFont="1" applyFill="1" applyBorder="1" applyAlignment="1">
      <alignment horizontal="center"/>
    </xf>
    <xf numFmtId="1" fontId="31" fillId="14" borderId="2" xfId="4" applyNumberFormat="1" applyFont="1" applyFill="1" applyBorder="1" applyAlignment="1">
      <alignment horizontal="center" vertical="center"/>
    </xf>
    <xf numFmtId="43" fontId="31" fillId="14" borderId="39" xfId="286" applyFont="1" applyFill="1" applyBorder="1" applyAlignment="1">
      <alignment horizontal="center" vertical="center"/>
    </xf>
    <xf numFmtId="184" fontId="31" fillId="14" borderId="2" xfId="4" applyNumberFormat="1" applyFont="1" applyFill="1" applyBorder="1" applyAlignment="1">
      <alignment horizontal="center" vertical="center"/>
    </xf>
    <xf numFmtId="0" fontId="31" fillId="14" borderId="2" xfId="4" applyFont="1" applyFill="1" applyBorder="1" applyAlignment="1">
      <alignment horizontal="center" vertical="center"/>
    </xf>
    <xf numFmtId="182" fontId="31" fillId="14" borderId="2" xfId="4" applyNumberFormat="1" applyFont="1" applyFill="1" applyBorder="1" applyAlignment="1">
      <alignment horizontal="center" vertical="center"/>
    </xf>
    <xf numFmtId="180" fontId="31" fillId="14" borderId="2" xfId="341" applyNumberFormat="1" applyFont="1" applyFill="1" applyBorder="1" applyAlignment="1">
      <alignment horizontal="center" vertical="center"/>
    </xf>
    <xf numFmtId="0" fontId="31" fillId="14" borderId="0" xfId="4" applyFont="1" applyFill="1">
      <alignment vertical="center"/>
    </xf>
    <xf numFmtId="20" fontId="31" fillId="0" borderId="39" xfId="197" applyNumberFormat="1" applyFont="1" applyBorder="1" applyAlignment="1">
      <alignment horizontal="center" vertical="center"/>
    </xf>
    <xf numFmtId="182" fontId="31" fillId="0" borderId="2" xfId="197" applyNumberFormat="1" applyFont="1" applyBorder="1" applyAlignment="1">
      <alignment horizontal="center" vertical="center"/>
    </xf>
    <xf numFmtId="0" fontId="31" fillId="0" borderId="0" xfId="197" applyFont="1">
      <alignment vertical="center"/>
    </xf>
    <xf numFmtId="20" fontId="31" fillId="0" borderId="40" xfId="197" applyNumberFormat="1" applyFont="1" applyBorder="1" applyAlignment="1">
      <alignment horizontal="center" vertical="center"/>
    </xf>
    <xf numFmtId="20" fontId="31" fillId="0" borderId="2" xfId="197" applyNumberFormat="1" applyFont="1" applyBorder="1" applyAlignment="1">
      <alignment horizontal="center" vertical="center"/>
    </xf>
    <xf numFmtId="0" fontId="31" fillId="0" borderId="2" xfId="197" applyFont="1" applyBorder="1" applyAlignment="1">
      <alignment horizontal="center" vertical="center"/>
    </xf>
    <xf numFmtId="0" fontId="31" fillId="0" borderId="57" xfId="197" applyFont="1" applyBorder="1" applyAlignment="1">
      <alignment horizontal="center" vertical="center"/>
    </xf>
    <xf numFmtId="0" fontId="31" fillId="0" borderId="3" xfId="197" applyFont="1" applyBorder="1" applyAlignment="1">
      <alignment horizontal="center" vertical="center"/>
    </xf>
    <xf numFmtId="43" fontId="31" fillId="0" borderId="40" xfId="286" applyFont="1" applyBorder="1" applyAlignment="1">
      <alignment horizontal="center" vertical="center"/>
    </xf>
    <xf numFmtId="178" fontId="31" fillId="0" borderId="2" xfId="197" applyNumberFormat="1" applyFont="1" applyBorder="1" applyAlignment="1">
      <alignment horizontal="center" vertical="center"/>
    </xf>
    <xf numFmtId="178" fontId="31" fillId="15" borderId="49" xfId="4" applyNumberFormat="1" applyFont="1" applyFill="1" applyBorder="1" applyAlignment="1">
      <alignment horizontal="center"/>
    </xf>
    <xf numFmtId="0" fontId="31" fillId="14" borderId="64" xfId="160" applyFont="1" applyFill="1" applyBorder="1" applyAlignment="1"/>
    <xf numFmtId="184" fontId="4" fillId="0" borderId="39" xfId="4" applyNumberFormat="1" applyFont="1" applyBorder="1" applyAlignment="1">
      <alignment horizontal="center" vertical="center"/>
    </xf>
    <xf numFmtId="0" fontId="4" fillId="0" borderId="39" xfId="4" applyFont="1" applyBorder="1" applyAlignment="1">
      <alignment horizontal="center" vertical="center"/>
    </xf>
    <xf numFmtId="0" fontId="31" fillId="4" borderId="46" xfId="4" applyFont="1" applyFill="1" applyBorder="1" applyAlignment="1">
      <alignment horizontal="center" vertical="center"/>
    </xf>
    <xf numFmtId="1" fontId="31" fillId="0" borderId="44" xfId="4" applyNumberFormat="1" applyFont="1" applyBorder="1" applyAlignment="1">
      <alignment horizontal="center" vertical="center"/>
    </xf>
    <xf numFmtId="43" fontId="31" fillId="0" borderId="68" xfId="286" applyFont="1" applyBorder="1" applyAlignment="1">
      <alignment horizontal="center" vertical="center"/>
    </xf>
    <xf numFmtId="1" fontId="31" fillId="0" borderId="3" xfId="197" applyNumberFormat="1" applyFont="1" applyBorder="1" applyAlignment="1">
      <alignment horizontal="center" vertical="center"/>
    </xf>
    <xf numFmtId="0" fontId="31" fillId="15" borderId="69" xfId="4" applyFont="1" applyFill="1" applyBorder="1" applyAlignment="1"/>
    <xf numFmtId="0" fontId="31" fillId="15" borderId="54" xfId="4" applyFont="1" applyFill="1" applyBorder="1" applyAlignment="1"/>
    <xf numFmtId="1" fontId="31" fillId="15" borderId="39" xfId="4" applyNumberFormat="1" applyFont="1" applyFill="1" applyBorder="1" applyAlignment="1">
      <alignment horizontal="center" vertical="center"/>
    </xf>
    <xf numFmtId="43" fontId="31" fillId="15" borderId="46" xfId="286" applyFont="1" applyFill="1" applyBorder="1" applyAlignment="1">
      <alignment horizontal="center" vertical="center"/>
    </xf>
    <xf numFmtId="0" fontId="31" fillId="15" borderId="39" xfId="4" applyFont="1" applyFill="1" applyBorder="1" applyAlignment="1">
      <alignment horizontal="center" vertical="center"/>
    </xf>
    <xf numFmtId="178" fontId="31" fillId="0" borderId="57" xfId="4" applyNumberFormat="1" applyFont="1" applyBorder="1" applyAlignment="1">
      <alignment horizontal="center" vertical="center"/>
    </xf>
    <xf numFmtId="0" fontId="31" fillId="0" borderId="57" xfId="4" applyFont="1" applyBorder="1" applyAlignment="1">
      <alignment horizontal="center" vertical="center"/>
    </xf>
    <xf numFmtId="0" fontId="40" fillId="0" borderId="44" xfId="160" applyFont="1" applyBorder="1" applyAlignment="1"/>
    <xf numFmtId="0" fontId="40" fillId="0" borderId="3" xfId="160" applyFont="1" applyBorder="1" applyAlignment="1"/>
    <xf numFmtId="178" fontId="31" fillId="0" borderId="51" xfId="160" applyNumberFormat="1" applyFont="1" applyBorder="1" applyAlignment="1">
      <alignment horizontal="center"/>
    </xf>
    <xf numFmtId="43" fontId="31" fillId="0" borderId="50" xfId="286" applyFont="1" applyBorder="1" applyAlignment="1">
      <alignment horizontal="center" vertical="center"/>
    </xf>
    <xf numFmtId="0" fontId="31" fillId="0" borderId="57" xfId="4" applyFont="1" applyBorder="1" applyAlignment="1">
      <alignment horizontal="center" vertical="center" wrapText="1"/>
    </xf>
    <xf numFmtId="0" fontId="31" fillId="15" borderId="49" xfId="4" applyFont="1" applyFill="1" applyBorder="1" applyAlignment="1">
      <alignment horizontal="center" vertical="center"/>
    </xf>
    <xf numFmtId="1" fontId="31" fillId="15" borderId="49" xfId="4" applyNumberFormat="1" applyFont="1" applyFill="1" applyBorder="1" applyAlignment="1">
      <alignment horizontal="center" vertical="center"/>
    </xf>
    <xf numFmtId="178" fontId="31" fillId="15" borderId="49" xfId="4" applyNumberFormat="1" applyFont="1" applyFill="1" applyBorder="1" applyAlignment="1">
      <alignment horizontal="center" vertical="center"/>
    </xf>
    <xf numFmtId="180" fontId="31" fillId="0" borderId="62" xfId="341" applyNumberFormat="1" applyFont="1" applyFill="1" applyBorder="1" applyAlignment="1">
      <alignment horizontal="center" vertical="center"/>
    </xf>
    <xf numFmtId="43" fontId="31" fillId="0" borderId="46" xfId="286" applyFont="1" applyBorder="1" applyAlignment="1">
      <alignment horizontal="center" vertical="center"/>
    </xf>
    <xf numFmtId="184" fontId="31" fillId="0" borderId="47" xfId="4" applyNumberFormat="1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 wrapText="1"/>
    </xf>
    <xf numFmtId="0" fontId="31" fillId="14" borderId="46" xfId="4" applyFont="1" applyFill="1" applyBorder="1" applyAlignment="1">
      <alignment horizontal="center" vertical="center"/>
    </xf>
    <xf numFmtId="0" fontId="31" fillId="14" borderId="70" xfId="4" applyFont="1" applyFill="1" applyBorder="1" applyAlignment="1">
      <alignment horizontal="center" vertical="center"/>
    </xf>
    <xf numFmtId="0" fontId="31" fillId="0" borderId="51" xfId="160" applyFont="1" applyBorder="1" applyAlignment="1"/>
    <xf numFmtId="184" fontId="31" fillId="0" borderId="50" xfId="4" applyNumberFormat="1" applyFont="1" applyBorder="1" applyAlignment="1">
      <alignment horizontal="center" vertical="center"/>
    </xf>
    <xf numFmtId="0" fontId="31" fillId="14" borderId="3" xfId="4" applyFont="1" applyFill="1" applyBorder="1" applyAlignment="1">
      <alignment horizontal="center" vertical="center"/>
    </xf>
    <xf numFmtId="0" fontId="31" fillId="0" borderId="45" xfId="160" applyFont="1" applyBorder="1" applyAlignment="1"/>
    <xf numFmtId="0" fontId="31" fillId="0" borderId="0" xfId="4" applyFont="1" applyAlignment="1">
      <alignment horizontal="center" vertical="center"/>
    </xf>
    <xf numFmtId="0" fontId="31" fillId="0" borderId="0" xfId="160" applyFont="1" applyAlignment="1"/>
    <xf numFmtId="0" fontId="31" fillId="0" borderId="7" xfId="4" applyFont="1" applyBorder="1" applyAlignment="1">
      <alignment horizontal="center"/>
    </xf>
    <xf numFmtId="178" fontId="31" fillId="15" borderId="70" xfId="4" applyNumberFormat="1" applyFont="1" applyFill="1" applyBorder="1" applyAlignment="1">
      <alignment horizontal="center"/>
    </xf>
    <xf numFmtId="180" fontId="31" fillId="0" borderId="6" xfId="341" applyNumberFormat="1" applyFont="1" applyFill="1" applyBorder="1" applyAlignment="1">
      <alignment horizontal="center" vertical="center"/>
    </xf>
    <xf numFmtId="180" fontId="31" fillId="0" borderId="70" xfId="341" applyNumberFormat="1" applyFont="1" applyBorder="1" applyAlignment="1">
      <alignment horizontal="center" vertical="center"/>
    </xf>
    <xf numFmtId="0" fontId="31" fillId="0" borderId="39" xfId="197" applyFont="1" applyBorder="1" applyAlignment="1">
      <alignment horizontal="center" vertical="center"/>
    </xf>
    <xf numFmtId="184" fontId="31" fillId="0" borderId="52" xfId="4" applyNumberFormat="1" applyFont="1" applyBorder="1" applyAlignment="1">
      <alignment horizontal="center" vertical="center"/>
    </xf>
    <xf numFmtId="0" fontId="31" fillId="0" borderId="39" xfId="197" applyFont="1" applyBorder="1" applyAlignment="1">
      <alignment horizontal="center" vertical="center" wrapText="1"/>
    </xf>
    <xf numFmtId="182" fontId="31" fillId="0" borderId="40" xfId="197" applyNumberFormat="1" applyFont="1" applyBorder="1" applyAlignment="1">
      <alignment horizontal="center" vertical="center"/>
    </xf>
    <xf numFmtId="1" fontId="31" fillId="4" borderId="1" xfId="197" applyNumberFormat="1" applyFont="1" applyFill="1" applyBorder="1" applyAlignment="1">
      <alignment horizontal="center" vertical="center"/>
    </xf>
    <xf numFmtId="182" fontId="31" fillId="0" borderId="52" xfId="4" applyNumberFormat="1" applyFont="1" applyBorder="1" applyAlignment="1">
      <alignment horizontal="center" vertical="center"/>
    </xf>
    <xf numFmtId="178" fontId="31" fillId="0" borderId="7" xfId="4" applyNumberFormat="1" applyFont="1" applyBorder="1" applyAlignment="1">
      <alignment horizontal="center" vertical="center"/>
    </xf>
    <xf numFmtId="0" fontId="31" fillId="0" borderId="40" xfId="197" applyFont="1" applyBorder="1" applyAlignment="1">
      <alignment horizontal="center" vertical="center" wrapText="1"/>
    </xf>
    <xf numFmtId="0" fontId="31" fillId="0" borderId="30" xfId="4" applyFont="1" applyBorder="1" applyAlignment="1">
      <alignment horizontal="center"/>
    </xf>
    <xf numFmtId="1" fontId="31" fillId="15" borderId="30" xfId="4" applyNumberFormat="1" applyFont="1" applyFill="1" applyBorder="1" applyAlignment="1">
      <alignment horizontal="center" vertical="center"/>
    </xf>
    <xf numFmtId="178" fontId="31" fillId="15" borderId="30" xfId="4" applyNumberFormat="1" applyFont="1" applyFill="1" applyBorder="1" applyAlignment="1">
      <alignment horizontal="center" vertical="center"/>
    </xf>
    <xf numFmtId="180" fontId="31" fillId="0" borderId="50" xfId="341" applyNumberFormat="1" applyFont="1" applyFill="1" applyBorder="1" applyAlignment="1">
      <alignment horizontal="center" vertical="center"/>
    </xf>
    <xf numFmtId="184" fontId="31" fillId="0" borderId="30" xfId="4" applyNumberFormat="1" applyFont="1" applyBorder="1" applyAlignment="1">
      <alignment horizontal="center" vertical="center"/>
    </xf>
    <xf numFmtId="1" fontId="31" fillId="0" borderId="30" xfId="4" applyNumberFormat="1" applyFont="1" applyBorder="1" applyAlignment="1">
      <alignment horizontal="center" vertical="center"/>
    </xf>
    <xf numFmtId="0" fontId="31" fillId="0" borderId="2" xfId="160" applyFont="1" applyBorder="1" applyAlignment="1"/>
    <xf numFmtId="0" fontId="31" fillId="0" borderId="30" xfId="160" applyFont="1" applyBorder="1" applyAlignment="1"/>
    <xf numFmtId="0" fontId="31" fillId="0" borderId="0" xfId="4" applyFont="1" applyAlignment="1">
      <alignment vertical="center" wrapText="1"/>
    </xf>
    <xf numFmtId="0" fontId="10" fillId="0" borderId="73" xfId="97" applyFont="1" applyBorder="1" applyAlignment="1">
      <alignment vertical="center"/>
    </xf>
    <xf numFmtId="0" fontId="10" fillId="0" borderId="74" xfId="97" applyFont="1" applyBorder="1" applyAlignment="1">
      <alignment vertical="center"/>
    </xf>
    <xf numFmtId="0" fontId="10" fillId="0" borderId="2" xfId="97" applyFont="1" applyBorder="1" applyAlignment="1">
      <alignment vertical="center"/>
    </xf>
    <xf numFmtId="0" fontId="10" fillId="0" borderId="75" xfId="97" applyFont="1" applyBorder="1" applyAlignment="1">
      <alignment horizontal="left" vertical="center"/>
    </xf>
    <xf numFmtId="176" fontId="10" fillId="12" borderId="76" xfId="237" applyNumberFormat="1" applyFont="1" applyFill="1" applyBorder="1" applyAlignment="1">
      <alignment horizontal="center" vertical="center"/>
    </xf>
    <xf numFmtId="2" fontId="4" fillId="14" borderId="76" xfId="97" applyNumberFormat="1" applyFont="1" applyFill="1" applyBorder="1" applyAlignment="1">
      <alignment horizontal="center" vertical="center"/>
    </xf>
    <xf numFmtId="43" fontId="10" fillId="0" borderId="77" xfId="237" applyFont="1" applyBorder="1" applyAlignment="1">
      <alignment horizontal="center" vertical="center"/>
    </xf>
    <xf numFmtId="0" fontId="10" fillId="0" borderId="77" xfId="97" applyFont="1" applyBorder="1" applyAlignment="1">
      <alignment horizontal="center" vertical="center"/>
    </xf>
    <xf numFmtId="1" fontId="10" fillId="0" borderId="76" xfId="97" applyNumberFormat="1" applyFont="1" applyBorder="1" applyAlignment="1">
      <alignment horizontal="center" vertical="center"/>
    </xf>
    <xf numFmtId="0" fontId="4" fillId="0" borderId="0" xfId="97" applyFont="1">
      <alignment vertical="center"/>
    </xf>
    <xf numFmtId="0" fontId="10" fillId="0" borderId="2" xfId="97" applyFont="1" applyBorder="1" applyAlignment="1">
      <alignment horizontal="left" vertical="center"/>
    </xf>
    <xf numFmtId="178" fontId="10" fillId="0" borderId="3" xfId="97" applyNumberFormat="1" applyFont="1" applyBorder="1" applyAlignment="1">
      <alignment horizontal="center" vertical="center"/>
    </xf>
    <xf numFmtId="2" fontId="42" fillId="0" borderId="3" xfId="97" applyNumberFormat="1" applyFont="1" applyBorder="1" applyAlignment="1">
      <alignment horizontal="center" vertical="center"/>
    </xf>
    <xf numFmtId="43" fontId="10" fillId="0" borderId="2" xfId="97" applyNumberFormat="1" applyFont="1" applyBorder="1" applyAlignment="1">
      <alignment horizontal="center" vertical="center"/>
    </xf>
    <xf numFmtId="0" fontId="10" fillId="0" borderId="2" xfId="97" applyFont="1" applyBorder="1" applyAlignment="1">
      <alignment horizontal="center" vertical="center"/>
    </xf>
    <xf numFmtId="0" fontId="10" fillId="0" borderId="3" xfId="97" applyFont="1" applyBorder="1" applyAlignment="1">
      <alignment horizontal="center" vertical="center"/>
    </xf>
    <xf numFmtId="0" fontId="4" fillId="0" borderId="39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/>
    </xf>
    <xf numFmtId="0" fontId="4" fillId="0" borderId="66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2" fontId="4" fillId="0" borderId="2" xfId="160" applyNumberFormat="1" applyFont="1" applyFill="1" applyBorder="1" applyAlignment="1">
      <alignment horizontal="center" vertical="top"/>
    </xf>
    <xf numFmtId="43" fontId="4" fillId="0" borderId="3" xfId="237" applyFont="1" applyBorder="1" applyAlignment="1">
      <alignment horizontal="center" vertical="center"/>
    </xf>
    <xf numFmtId="1" fontId="4" fillId="4" borderId="39" xfId="97" applyNumberFormat="1" applyFont="1" applyFill="1" applyBorder="1" applyAlignment="1">
      <alignment horizontal="center" vertical="center"/>
    </xf>
    <xf numFmtId="1" fontId="4" fillId="0" borderId="39" xfId="97" applyNumberFormat="1" applyFont="1" applyBorder="1" applyAlignment="1">
      <alignment horizontal="center" vertical="center"/>
    </xf>
    <xf numFmtId="178" fontId="4" fillId="0" borderId="39" xfId="97" applyNumberFormat="1" applyFont="1" applyBorder="1" applyAlignment="1">
      <alignment horizontal="center" vertical="center"/>
    </xf>
    <xf numFmtId="184" fontId="4" fillId="0" borderId="39" xfId="97" applyNumberFormat="1" applyFont="1" applyBorder="1" applyAlignment="1">
      <alignment horizontal="center" vertical="center"/>
    </xf>
    <xf numFmtId="20" fontId="4" fillId="0" borderId="39" xfId="97" applyNumberFormat="1" applyFont="1" applyBorder="1" applyAlignment="1">
      <alignment horizontal="center" vertical="center"/>
    </xf>
    <xf numFmtId="0" fontId="4" fillId="0" borderId="5" xfId="97" applyFont="1" applyBorder="1" applyAlignment="1">
      <alignment horizontal="center" vertical="center"/>
    </xf>
    <xf numFmtId="0" fontId="4" fillId="0" borderId="4" xfId="97" applyFont="1" applyBorder="1" applyAlignment="1">
      <alignment horizontal="left" vertical="center"/>
    </xf>
    <xf numFmtId="0" fontId="4" fillId="0" borderId="66" xfId="160" applyFont="1" applyFill="1" applyBorder="1" applyAlignment="1">
      <alignment vertical="top"/>
    </xf>
    <xf numFmtId="0" fontId="4" fillId="0" borderId="2" xfId="97" applyFont="1" applyBorder="1" applyAlignment="1">
      <alignment horizontal="center"/>
    </xf>
    <xf numFmtId="2" fontId="4" fillId="15" borderId="2" xfId="97" applyNumberFormat="1" applyFont="1" applyFill="1" applyBorder="1" applyAlignment="1">
      <alignment horizontal="right"/>
    </xf>
    <xf numFmtId="178" fontId="4" fillId="15" borderId="5" xfId="97" applyNumberFormat="1" applyFont="1" applyFill="1" applyBorder="1" applyAlignment="1">
      <alignment horizontal="center" vertical="center"/>
    </xf>
    <xf numFmtId="43" fontId="4" fillId="15" borderId="3" xfId="237" applyFont="1" applyFill="1" applyBorder="1" applyAlignment="1">
      <alignment horizontal="center" vertical="center"/>
    </xf>
    <xf numFmtId="0" fontId="4" fillId="15" borderId="3" xfId="97" applyFont="1" applyFill="1" applyBorder="1" applyAlignment="1">
      <alignment horizontal="center" vertical="center" wrapText="1"/>
    </xf>
    <xf numFmtId="1" fontId="4" fillId="15" borderId="39" xfId="97" applyNumberFormat="1" applyFont="1" applyFill="1" applyBorder="1" applyAlignment="1">
      <alignment horizontal="center" vertical="center"/>
    </xf>
    <xf numFmtId="178" fontId="4" fillId="15" borderId="39" xfId="97" applyNumberFormat="1" applyFont="1" applyFill="1" applyBorder="1" applyAlignment="1">
      <alignment horizontal="center" vertical="center"/>
    </xf>
    <xf numFmtId="43" fontId="4" fillId="0" borderId="10" xfId="237" applyFont="1" applyBorder="1" applyAlignment="1">
      <alignment horizontal="center" vertical="center"/>
    </xf>
    <xf numFmtId="0" fontId="4" fillId="0" borderId="10" xfId="97" applyFont="1" applyBorder="1" applyAlignment="1">
      <alignment horizontal="center" vertical="center" wrapText="1"/>
    </xf>
    <xf numFmtId="0" fontId="4" fillId="15" borderId="3" xfId="97" applyFont="1" applyFill="1" applyBorder="1" applyAlignment="1">
      <alignment horizontal="center" vertical="center"/>
    </xf>
    <xf numFmtId="0" fontId="4" fillId="0" borderId="2" xfId="97" applyFont="1" applyBorder="1" applyAlignment="1">
      <alignment horizontal="center" vertical="top"/>
    </xf>
    <xf numFmtId="0" fontId="4" fillId="0" borderId="53" xfId="97" applyFont="1" applyBorder="1" applyAlignment="1">
      <alignment horizontal="left" vertical="center"/>
    </xf>
    <xf numFmtId="0" fontId="4" fillId="0" borderId="53" xfId="97" applyFont="1" applyBorder="1" applyAlignment="1">
      <alignment horizontal="left" vertical="top"/>
    </xf>
    <xf numFmtId="0" fontId="4" fillId="0" borderId="1" xfId="97" applyFont="1" applyBorder="1" applyAlignment="1">
      <alignment horizontal="left" vertical="center"/>
    </xf>
    <xf numFmtId="0" fontId="4" fillId="0" borderId="53" xfId="97" applyFont="1" applyBorder="1" applyAlignment="1">
      <alignment vertical="top"/>
    </xf>
    <xf numFmtId="0" fontId="4" fillId="0" borderId="1" xfId="97" applyFont="1" applyBorder="1" applyAlignment="1">
      <alignment horizontal="center" vertical="center"/>
    </xf>
    <xf numFmtId="1" fontId="4" fillId="15" borderId="1" xfId="97" applyNumberFormat="1" applyFont="1" applyFill="1" applyBorder="1" applyAlignment="1">
      <alignment horizontal="center" vertical="center"/>
    </xf>
    <xf numFmtId="0" fontId="4" fillId="14" borderId="39" xfId="97" applyFont="1" applyFill="1" applyBorder="1" applyAlignment="1">
      <alignment horizontal="center" vertical="center" wrapText="1"/>
    </xf>
    <xf numFmtId="0" fontId="4" fillId="0" borderId="91" xfId="97" applyFont="1" applyBorder="1" applyAlignment="1">
      <alignment horizontal="left" vertical="top"/>
    </xf>
    <xf numFmtId="0" fontId="4" fillId="0" borderId="30" xfId="97" applyFont="1" applyBorder="1" applyAlignment="1">
      <alignment horizontal="center" vertical="center"/>
    </xf>
    <xf numFmtId="43" fontId="4" fillId="0" borderId="4" xfId="237" applyFont="1" applyBorder="1" applyAlignment="1">
      <alignment horizontal="center" vertical="center"/>
    </xf>
    <xf numFmtId="0" fontId="4" fillId="0" borderId="92" xfId="97" applyFont="1" applyBorder="1" applyAlignment="1">
      <alignment vertical="center"/>
    </xf>
    <xf numFmtId="0" fontId="4" fillId="0" borderId="47" xfId="97" applyFont="1" applyBorder="1" applyAlignment="1">
      <alignment horizontal="left" vertical="top"/>
    </xf>
    <xf numFmtId="43" fontId="4" fillId="15" borderId="39" xfId="237" applyFont="1" applyFill="1" applyBorder="1" applyAlignment="1">
      <alignment horizontal="center" vertical="center"/>
    </xf>
    <xf numFmtId="0" fontId="4" fillId="15" borderId="44" xfId="97" applyFont="1" applyFill="1" applyBorder="1" applyAlignment="1">
      <alignment horizontal="center" vertical="center" wrapText="1"/>
    </xf>
    <xf numFmtId="184" fontId="4" fillId="0" borderId="39" xfId="97" applyNumberFormat="1" applyFont="1" applyBorder="1" applyAlignment="1">
      <alignment horizontal="left" vertical="center"/>
    </xf>
    <xf numFmtId="0" fontId="4" fillId="0" borderId="94" xfId="97" applyFont="1" applyFill="1" applyBorder="1" applyAlignment="1">
      <alignment vertical="center"/>
    </xf>
    <xf numFmtId="0" fontId="4" fillId="0" borderId="1" xfId="97" applyFont="1" applyBorder="1" applyAlignment="1">
      <alignment vertical="top"/>
    </xf>
    <xf numFmtId="0" fontId="4" fillId="0" borderId="2" xfId="97" applyFont="1" applyFill="1" applyBorder="1" applyAlignment="1">
      <alignment horizontal="center" vertical="top"/>
    </xf>
    <xf numFmtId="1" fontId="4" fillId="0" borderId="2" xfId="97" applyNumberFormat="1" applyFont="1" applyBorder="1" applyAlignment="1">
      <alignment horizontal="center" vertical="center"/>
    </xf>
    <xf numFmtId="0" fontId="4" fillId="0" borderId="66" xfId="97" applyFont="1" applyBorder="1" applyAlignment="1">
      <alignment horizontal="left" vertical="top"/>
    </xf>
    <xf numFmtId="0" fontId="4" fillId="0" borderId="0" xfId="97" applyFont="1" applyBorder="1" applyAlignment="1">
      <alignment horizontal="left" vertical="top"/>
    </xf>
    <xf numFmtId="0" fontId="4" fillId="0" borderId="48" xfId="97" applyFont="1" applyFill="1" applyBorder="1" applyAlignment="1">
      <alignment vertical="center"/>
    </xf>
    <xf numFmtId="0" fontId="4" fillId="0" borderId="95" xfId="97" applyFont="1" applyFill="1" applyBorder="1" applyAlignment="1">
      <alignment vertical="center"/>
    </xf>
    <xf numFmtId="0" fontId="4" fillId="0" borderId="96" xfId="97" applyFont="1" applyBorder="1" applyAlignment="1"/>
    <xf numFmtId="0" fontId="4" fillId="0" borderId="94" xfId="97" applyFont="1" applyBorder="1" applyAlignment="1"/>
    <xf numFmtId="0" fontId="4" fillId="0" borderId="49" xfId="97" applyFont="1" applyBorder="1" applyAlignment="1">
      <alignment horizontal="center" vertical="center"/>
    </xf>
    <xf numFmtId="0" fontId="4" fillId="0" borderId="53" xfId="97" applyFont="1" applyBorder="1" applyAlignment="1"/>
    <xf numFmtId="0" fontId="4" fillId="15" borderId="2" xfId="97" applyFont="1" applyFill="1" applyBorder="1" applyAlignment="1">
      <alignment horizontal="center" vertical="center"/>
    </xf>
    <xf numFmtId="0" fontId="4" fillId="0" borderId="1" xfId="97" applyFont="1" applyBorder="1" applyAlignment="1">
      <alignment horizontal="left" vertical="top"/>
    </xf>
    <xf numFmtId="43" fontId="4" fillId="0" borderId="2" xfId="237" applyFont="1" applyBorder="1" applyAlignment="1">
      <alignment horizontal="center" vertical="center"/>
    </xf>
    <xf numFmtId="43" fontId="11" fillId="0" borderId="2" xfId="237" applyFont="1" applyBorder="1" applyAlignment="1">
      <alignment horizontal="center" vertical="center"/>
    </xf>
    <xf numFmtId="184" fontId="4" fillId="0" borderId="39" xfId="97" quotePrefix="1" applyNumberFormat="1" applyFont="1" applyBorder="1" applyAlignment="1">
      <alignment horizontal="center" vertical="center"/>
    </xf>
    <xf numFmtId="178" fontId="4" fillId="15" borderId="2" xfId="97" applyNumberFormat="1" applyFont="1" applyFill="1" applyBorder="1" applyAlignment="1">
      <alignment horizontal="center" vertical="center"/>
    </xf>
    <xf numFmtId="43" fontId="4" fillId="15" borderId="2" xfId="237" applyFont="1" applyFill="1" applyBorder="1" applyAlignment="1">
      <alignment horizontal="center" vertical="center"/>
    </xf>
    <xf numFmtId="0" fontId="4" fillId="0" borderId="3" xfId="97" applyFont="1" applyBorder="1" applyAlignment="1">
      <alignment vertical="top"/>
    </xf>
    <xf numFmtId="43" fontId="4" fillId="15" borderId="4" xfId="237" applyFont="1" applyFill="1" applyBorder="1" applyAlignment="1">
      <alignment horizontal="center" vertical="center"/>
    </xf>
    <xf numFmtId="2" fontId="4" fillId="15" borderId="2" xfId="160" applyNumberFormat="1" applyFont="1" applyFill="1" applyBorder="1" applyAlignment="1">
      <alignment horizontal="center" vertical="top"/>
    </xf>
    <xf numFmtId="0" fontId="4" fillId="15" borderId="49" xfId="97" applyFont="1" applyFill="1" applyBorder="1" applyAlignment="1">
      <alignment horizontal="center" vertical="center"/>
    </xf>
    <xf numFmtId="0" fontId="4" fillId="0" borderId="97" xfId="97" applyFont="1" applyBorder="1" applyAlignment="1"/>
    <xf numFmtId="2" fontId="4" fillId="0" borderId="0" xfId="97" applyNumberFormat="1" applyFont="1">
      <alignment vertical="center"/>
    </xf>
    <xf numFmtId="0" fontId="4" fillId="0" borderId="0" xfId="97" applyFont="1" applyAlignment="1">
      <alignment vertical="center" wrapText="1"/>
    </xf>
    <xf numFmtId="0" fontId="4" fillId="0" borderId="2" xfId="97" applyFont="1" applyBorder="1">
      <alignment vertical="center"/>
    </xf>
    <xf numFmtId="2" fontId="31" fillId="26" borderId="0" xfId="4" applyNumberFormat="1" applyFont="1" applyFill="1">
      <alignment vertical="center"/>
    </xf>
    <xf numFmtId="178" fontId="12" fillId="0" borderId="28" xfId="1" applyNumberFormat="1" applyFont="1" applyBorder="1" applyAlignment="1">
      <alignment horizontal="center" vertical="center"/>
    </xf>
    <xf numFmtId="178" fontId="31" fillId="0" borderId="0" xfId="4" applyNumberFormat="1" applyFont="1">
      <alignment vertical="center"/>
    </xf>
    <xf numFmtId="0" fontId="31" fillId="27" borderId="0" xfId="4" applyFont="1" applyFill="1">
      <alignment vertical="center"/>
    </xf>
    <xf numFmtId="0" fontId="31" fillId="6" borderId="0" xfId="4" applyFont="1" applyFill="1">
      <alignment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185" fontId="4" fillId="0" borderId="2" xfId="366" applyNumberFormat="1" applyFont="1" applyBorder="1" applyAlignment="1">
      <alignment horizontal="center" vertical="center"/>
    </xf>
    <xf numFmtId="185" fontId="4" fillId="0" borderId="5" xfId="366" applyNumberFormat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4" fillId="0" borderId="1" xfId="97" applyFont="1" applyBorder="1" applyAlignment="1"/>
    <xf numFmtId="0" fontId="35" fillId="3" borderId="39" xfId="97" applyFont="1" applyFill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9" xfId="97" applyFont="1" applyBorder="1" applyAlignment="1">
      <alignment horizontal="center" vertical="center" wrapText="1"/>
    </xf>
    <xf numFmtId="0" fontId="31" fillId="0" borderId="2" xfId="4" applyFont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28" fillId="0" borderId="39" xfId="4" applyFont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10" fillId="0" borderId="23" xfId="1" applyFont="1" applyBorder="1" applyAlignment="1">
      <alignment horizontal="center" vertical="center"/>
    </xf>
    <xf numFmtId="0" fontId="10" fillId="0" borderId="31" xfId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/>
    </xf>
    <xf numFmtId="0" fontId="10" fillId="0" borderId="38" xfId="1" applyFont="1" applyBorder="1" applyAlignment="1">
      <alignment horizontal="center" vertical="center"/>
    </xf>
    <xf numFmtId="0" fontId="10" fillId="5" borderId="12" xfId="1" applyFont="1" applyFill="1" applyBorder="1" applyAlignment="1">
      <alignment horizontal="center" vertical="center"/>
    </xf>
    <xf numFmtId="0" fontId="10" fillId="5" borderId="15" xfId="1" applyFont="1" applyFill="1" applyBorder="1" applyAlignment="1">
      <alignment horizontal="center" vertical="center"/>
    </xf>
    <xf numFmtId="0" fontId="10" fillId="5" borderId="16" xfId="1" applyFont="1" applyFill="1" applyBorder="1" applyAlignment="1">
      <alignment horizontal="center" vertical="center"/>
    </xf>
    <xf numFmtId="0" fontId="10" fillId="9" borderId="32" xfId="1" applyFont="1" applyFill="1" applyBorder="1" applyAlignment="1">
      <alignment horizontal="center" vertical="center"/>
    </xf>
    <xf numFmtId="0" fontId="10" fillId="9" borderId="33" xfId="1" applyFont="1" applyFill="1" applyBorder="1" applyAlignment="1">
      <alignment horizontal="center" vertical="center"/>
    </xf>
    <xf numFmtId="0" fontId="10" fillId="9" borderId="34" xfId="1" applyFont="1" applyFill="1" applyBorder="1" applyAlignment="1">
      <alignment horizontal="center" vertical="center"/>
    </xf>
    <xf numFmtId="0" fontId="10" fillId="0" borderId="17" xfId="1" applyFont="1" applyBorder="1" applyAlignment="1">
      <alignment horizontal="center" vertical="center"/>
    </xf>
    <xf numFmtId="0" fontId="10" fillId="0" borderId="35" xfId="1" applyFont="1" applyBorder="1" applyAlignment="1">
      <alignment horizontal="center" vertical="center"/>
    </xf>
    <xf numFmtId="0" fontId="10" fillId="0" borderId="19" xfId="1" applyFont="1" applyBorder="1" applyAlignment="1">
      <alignment horizontal="center" vertical="center"/>
    </xf>
    <xf numFmtId="0" fontId="10" fillId="0" borderId="36" xfId="1" applyFont="1" applyBorder="1" applyAlignment="1">
      <alignment horizontal="center" vertical="center"/>
    </xf>
    <xf numFmtId="0" fontId="10" fillId="0" borderId="20" xfId="1" applyFont="1" applyBorder="1" applyAlignment="1">
      <alignment horizontal="center" vertical="center" textRotation="255"/>
    </xf>
    <xf numFmtId="0" fontId="10" fillId="0" borderId="21" xfId="1" applyFont="1" applyBorder="1" applyAlignment="1">
      <alignment horizontal="center" vertical="center" textRotation="255"/>
    </xf>
    <xf numFmtId="0" fontId="10" fillId="0" borderId="22" xfId="1" applyFont="1" applyBorder="1" applyAlignment="1">
      <alignment horizontal="center" vertical="center" textRotation="255"/>
    </xf>
    <xf numFmtId="0" fontId="10" fillId="0" borderId="20" xfId="1" applyFont="1" applyBorder="1" applyAlignment="1">
      <alignment horizontal="center" vertical="center" wrapText="1"/>
    </xf>
    <xf numFmtId="0" fontId="10" fillId="0" borderId="22" xfId="1" applyFont="1" applyBorder="1" applyAlignment="1">
      <alignment horizontal="center" vertical="center" wrapText="1"/>
    </xf>
    <xf numFmtId="0" fontId="10" fillId="0" borderId="12" xfId="1" applyFont="1" applyBorder="1" applyAlignment="1">
      <alignment horizontal="center" vertical="center"/>
    </xf>
    <xf numFmtId="0" fontId="10" fillId="0" borderId="16" xfId="1" applyFont="1" applyBorder="1" applyAlignment="1">
      <alignment horizontal="center" vertical="center"/>
    </xf>
    <xf numFmtId="0" fontId="11" fillId="8" borderId="20" xfId="2" applyFont="1" applyFill="1" applyBorder="1" applyAlignment="1">
      <alignment horizontal="center" vertical="center" wrapText="1"/>
    </xf>
    <xf numFmtId="0" fontId="4" fillId="8" borderId="22" xfId="2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25" xfId="1" applyFont="1" applyBorder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10" fillId="4" borderId="14" xfId="1" applyFont="1" applyFill="1" applyBorder="1" applyAlignment="1">
      <alignment horizontal="center" vertical="center"/>
    </xf>
    <xf numFmtId="0" fontId="10" fillId="4" borderId="15" xfId="1" applyFont="1" applyFill="1" applyBorder="1" applyAlignment="1">
      <alignment horizontal="center" vertical="center"/>
    </xf>
    <xf numFmtId="0" fontId="10" fillId="4" borderId="16" xfId="1" applyFont="1" applyFill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1" fontId="9" fillId="0" borderId="2" xfId="1" applyNumberFormat="1" applyFont="1" applyBorder="1" applyAlignment="1">
      <alignment horizontal="center" vertical="center"/>
    </xf>
    <xf numFmtId="0" fontId="12" fillId="0" borderId="3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78" fontId="12" fillId="7" borderId="3" xfId="1" applyNumberFormat="1" applyFont="1" applyFill="1" applyBorder="1" applyAlignment="1">
      <alignment horizontal="center" vertical="center"/>
    </xf>
    <xf numFmtId="178" fontId="12" fillId="7" borderId="1" xfId="1" applyNumberFormat="1" applyFont="1" applyFill="1" applyBorder="1" applyAlignment="1">
      <alignment horizontal="center" vertical="center"/>
    </xf>
    <xf numFmtId="178" fontId="12" fillId="7" borderId="3" xfId="236" applyNumberFormat="1" applyFont="1" applyFill="1" applyBorder="1" applyAlignment="1">
      <alignment horizontal="center" vertical="center"/>
    </xf>
    <xf numFmtId="178" fontId="12" fillId="7" borderId="1" xfId="236" applyNumberFormat="1" applyFont="1" applyFill="1" applyBorder="1" applyAlignment="1">
      <alignment horizontal="center" vertical="center"/>
    </xf>
    <xf numFmtId="179" fontId="12" fillId="7" borderId="3" xfId="236" applyNumberFormat="1" applyFont="1" applyFill="1" applyBorder="1" applyAlignment="1">
      <alignment horizontal="center" vertical="center"/>
    </xf>
    <xf numFmtId="179" fontId="12" fillId="7" borderId="1" xfId="236" applyNumberFormat="1" applyFont="1" applyFill="1" applyBorder="1" applyAlignment="1">
      <alignment horizontal="center" vertical="center"/>
    </xf>
    <xf numFmtId="180" fontId="12" fillId="0" borderId="3" xfId="317" applyNumberFormat="1" applyFont="1" applyFill="1" applyBorder="1" applyAlignment="1">
      <alignment horizontal="center" vertical="center"/>
    </xf>
    <xf numFmtId="180" fontId="12" fillId="0" borderId="1" xfId="317" applyNumberFormat="1" applyFont="1" applyFill="1" applyBorder="1" applyAlignment="1">
      <alignment horizontal="center" vertical="center"/>
    </xf>
    <xf numFmtId="178" fontId="10" fillId="0" borderId="3" xfId="236" applyNumberFormat="1" applyFont="1" applyBorder="1" applyAlignment="1">
      <alignment horizontal="center" vertical="center"/>
    </xf>
    <xf numFmtId="178" fontId="10" fillId="0" borderId="1" xfId="236" applyNumberFormat="1" applyFont="1" applyBorder="1" applyAlignment="1">
      <alignment horizontal="center" vertical="center"/>
    </xf>
    <xf numFmtId="179" fontId="10" fillId="0" borderId="3" xfId="236" applyNumberFormat="1" applyFont="1" applyBorder="1" applyAlignment="1">
      <alignment horizontal="center" vertical="center"/>
    </xf>
    <xf numFmtId="179" fontId="10" fillId="0" borderId="1" xfId="236" applyNumberFormat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7" fillId="3" borderId="1" xfId="4" applyFont="1" applyFill="1" applyBorder="1" applyAlignment="1">
      <alignment horizontal="center" vertical="center"/>
    </xf>
    <xf numFmtId="0" fontId="7" fillId="3" borderId="2" xfId="4" applyFont="1" applyFill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10" fillId="0" borderId="8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10" fillId="0" borderId="3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176" fontId="10" fillId="4" borderId="3" xfId="236" applyNumberFormat="1" applyFont="1" applyFill="1" applyBorder="1" applyAlignment="1">
      <alignment horizontal="center" vertical="center"/>
    </xf>
    <xf numFmtId="176" fontId="10" fillId="4" borderId="1" xfId="236" applyNumberFormat="1" applyFont="1" applyFill="1" applyBorder="1" applyAlignment="1">
      <alignment horizontal="center" vertical="center"/>
    </xf>
    <xf numFmtId="176" fontId="10" fillId="5" borderId="3" xfId="236" applyNumberFormat="1" applyFont="1" applyFill="1" applyBorder="1" applyAlignment="1">
      <alignment horizontal="center" vertical="center"/>
    </xf>
    <xf numFmtId="176" fontId="10" fillId="5" borderId="1" xfId="236" applyNumberFormat="1" applyFont="1" applyFill="1" applyBorder="1" applyAlignment="1">
      <alignment horizontal="center" vertical="center"/>
    </xf>
    <xf numFmtId="176" fontId="10" fillId="6" borderId="3" xfId="236" applyNumberFormat="1" applyFont="1" applyFill="1" applyBorder="1" applyAlignment="1">
      <alignment horizontal="center" vertical="center"/>
    </xf>
    <xf numFmtId="176" fontId="10" fillId="6" borderId="1" xfId="236" applyNumberFormat="1" applyFont="1" applyFill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30" fillId="0" borderId="3" xfId="2" applyFont="1" applyBorder="1" applyAlignment="1">
      <alignment horizontal="center" vertical="center"/>
    </xf>
    <xf numFmtId="0" fontId="30" fillId="0" borderId="1" xfId="2" applyFont="1" applyBorder="1" applyAlignment="1">
      <alignment horizontal="center" vertical="center"/>
    </xf>
    <xf numFmtId="177" fontId="10" fillId="0" borderId="3" xfId="236" applyNumberFormat="1" applyFont="1" applyBorder="1" applyAlignment="1">
      <alignment horizontal="center" vertical="center"/>
    </xf>
    <xf numFmtId="177" fontId="10" fillId="0" borderId="1" xfId="236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9" fillId="2" borderId="3" xfId="2" applyFont="1" applyFill="1" applyBorder="1" applyAlignment="1">
      <alignment horizontal="center" vertical="center"/>
    </xf>
    <xf numFmtId="0" fontId="29" fillId="2" borderId="1" xfId="2" applyFont="1" applyFill="1" applyBorder="1" applyAlignment="1">
      <alignment horizontal="center" vertical="center"/>
    </xf>
    <xf numFmtId="176" fontId="10" fillId="0" borderId="3" xfId="236" applyNumberFormat="1" applyFont="1" applyBorder="1" applyAlignment="1">
      <alignment horizontal="center" vertical="center"/>
    </xf>
    <xf numFmtId="176" fontId="10" fillId="0" borderId="1" xfId="236" applyNumberFormat="1" applyFont="1" applyBorder="1" applyAlignment="1">
      <alignment horizontal="center" vertical="center"/>
    </xf>
    <xf numFmtId="0" fontId="4" fillId="25" borderId="90" xfId="97" applyFont="1" applyFill="1" applyBorder="1" applyAlignment="1">
      <alignment horizontal="center" vertical="center" wrapText="1"/>
    </xf>
    <xf numFmtId="0" fontId="4" fillId="15" borderId="53" xfId="97" applyFont="1" applyFill="1" applyBorder="1" applyAlignment="1"/>
    <xf numFmtId="0" fontId="4" fillId="15" borderId="97" xfId="97" applyFont="1" applyFill="1" applyBorder="1" applyAlignment="1"/>
    <xf numFmtId="0" fontId="4" fillId="6" borderId="2" xfId="97" applyFont="1" applyFill="1" applyBorder="1" applyAlignment="1">
      <alignment horizontal="center" vertical="center" wrapText="1"/>
    </xf>
    <xf numFmtId="0" fontId="4" fillId="15" borderId="2" xfId="97" applyFont="1" applyFill="1" applyBorder="1" applyAlignment="1"/>
    <xf numFmtId="0" fontId="4" fillId="23" borderId="90" xfId="97" applyFont="1" applyFill="1" applyBorder="1" applyAlignment="1">
      <alignment horizontal="center" vertical="center" wrapText="1"/>
    </xf>
    <xf numFmtId="0" fontId="4" fillId="0" borderId="3" xfId="97" applyFont="1" applyBorder="1" applyAlignment="1"/>
    <xf numFmtId="0" fontId="4" fillId="0" borderId="1" xfId="97" applyFont="1" applyBorder="1" applyAlignment="1"/>
    <xf numFmtId="0" fontId="4" fillId="15" borderId="3" xfId="97" applyFont="1" applyFill="1" applyBorder="1" applyAlignment="1"/>
    <xf numFmtId="0" fontId="4" fillId="15" borderId="1" xfId="97" applyFont="1" applyFill="1" applyBorder="1" applyAlignment="1"/>
    <xf numFmtId="0" fontId="4" fillId="24" borderId="2" xfId="97" applyFont="1" applyFill="1" applyBorder="1" applyAlignment="1">
      <alignment horizontal="center" vertical="center" wrapText="1"/>
    </xf>
    <xf numFmtId="0" fontId="4" fillId="24" borderId="2" xfId="97" applyFont="1" applyFill="1" applyBorder="1" applyAlignment="1">
      <alignment horizontal="center" vertical="center"/>
    </xf>
    <xf numFmtId="0" fontId="4" fillId="15" borderId="30" xfId="97" applyFont="1" applyFill="1" applyBorder="1" applyAlignment="1"/>
    <xf numFmtId="0" fontId="4" fillId="17" borderId="85" xfId="97" applyFont="1" applyFill="1" applyBorder="1" applyAlignment="1">
      <alignment horizontal="center" vertical="center" wrapText="1"/>
    </xf>
    <xf numFmtId="0" fontId="4" fillId="17" borderId="87" xfId="97" applyFont="1" applyFill="1" applyBorder="1" applyAlignment="1">
      <alignment horizontal="center" vertical="center" wrapText="1"/>
    </xf>
    <xf numFmtId="0" fontId="4" fillId="17" borderId="88" xfId="97" applyFont="1" applyFill="1" applyBorder="1" applyAlignment="1">
      <alignment horizontal="center" vertical="center" wrapText="1"/>
    </xf>
    <xf numFmtId="0" fontId="4" fillId="9" borderId="85" xfId="97" applyFont="1" applyFill="1" applyBorder="1" applyAlignment="1">
      <alignment horizontal="center" vertical="center" wrapText="1"/>
    </xf>
    <xf numFmtId="0" fontId="4" fillId="9" borderId="87" xfId="97" applyFont="1" applyFill="1" applyBorder="1" applyAlignment="1">
      <alignment horizontal="center" vertical="center" wrapText="1"/>
    </xf>
    <xf numFmtId="0" fontId="4" fillId="9" borderId="88" xfId="97" applyFont="1" applyFill="1" applyBorder="1" applyAlignment="1">
      <alignment horizontal="center" vertical="center" wrapText="1"/>
    </xf>
    <xf numFmtId="0" fontId="4" fillId="9" borderId="86" xfId="97" applyFont="1" applyFill="1" applyBorder="1" applyAlignment="1">
      <alignment horizontal="center" vertical="center" wrapText="1"/>
    </xf>
    <xf numFmtId="0" fontId="4" fillId="15" borderId="39" xfId="97" applyFont="1" applyFill="1" applyBorder="1" applyAlignment="1"/>
    <xf numFmtId="0" fontId="4" fillId="7" borderId="93" xfId="97" applyFont="1" applyFill="1" applyBorder="1" applyAlignment="1">
      <alignment horizontal="center" vertical="center" wrapText="1"/>
    </xf>
    <xf numFmtId="0" fontId="4" fillId="7" borderId="88" xfId="97" applyFont="1" applyFill="1" applyBorder="1" applyAlignment="1">
      <alignment horizontal="center" vertical="center" wrapText="1"/>
    </xf>
    <xf numFmtId="0" fontId="4" fillId="7" borderId="89" xfId="97" applyFont="1" applyFill="1" applyBorder="1" applyAlignment="1">
      <alignment horizontal="center" vertical="center" wrapText="1"/>
    </xf>
    <xf numFmtId="0" fontId="4" fillId="22" borderId="93" xfId="97" applyFont="1" applyFill="1" applyBorder="1" applyAlignment="1">
      <alignment horizontal="center" vertical="center" wrapText="1"/>
    </xf>
    <xf numFmtId="0" fontId="4" fillId="22" borderId="88" xfId="97" applyFont="1" applyFill="1" applyBorder="1" applyAlignment="1">
      <alignment horizontal="center" vertical="center" wrapText="1"/>
    </xf>
    <xf numFmtId="0" fontId="4" fillId="22" borderId="89" xfId="97" applyFont="1" applyFill="1" applyBorder="1" applyAlignment="1">
      <alignment horizontal="center" vertical="center" wrapText="1"/>
    </xf>
    <xf numFmtId="0" fontId="4" fillId="8" borderId="90" xfId="97" applyFont="1" applyFill="1" applyBorder="1" applyAlignment="1">
      <alignment horizontal="center" vertical="center" wrapText="1"/>
    </xf>
    <xf numFmtId="0" fontId="4" fillId="8" borderId="90" xfId="97" applyFont="1" applyFill="1" applyBorder="1" applyAlignment="1">
      <alignment horizontal="center" vertical="center"/>
    </xf>
    <xf numFmtId="0" fontId="35" fillId="3" borderId="46" xfId="97" applyFont="1" applyFill="1" applyBorder="1" applyAlignment="1">
      <alignment horizontal="center" vertical="center"/>
    </xf>
    <xf numFmtId="0" fontId="35" fillId="3" borderId="39" xfId="97" applyFont="1" applyFill="1" applyBorder="1" applyAlignment="1">
      <alignment horizontal="center" vertical="center"/>
    </xf>
    <xf numFmtId="0" fontId="4" fillId="13" borderId="46" xfId="97" applyFont="1" applyFill="1" applyBorder="1" applyAlignment="1">
      <alignment horizontal="center" vertical="center"/>
    </xf>
    <xf numFmtId="0" fontId="4" fillId="13" borderId="39" xfId="97" applyFont="1" applyFill="1" applyBorder="1" applyAlignment="1">
      <alignment horizontal="center" vertical="center"/>
    </xf>
    <xf numFmtId="0" fontId="4" fillId="21" borderId="46" xfId="97" applyFont="1" applyFill="1" applyBorder="1" applyAlignment="1">
      <alignment horizontal="center" vertical="center"/>
    </xf>
    <xf numFmtId="0" fontId="4" fillId="21" borderId="39" xfId="97" applyFont="1" applyFill="1" applyBorder="1" applyAlignment="1">
      <alignment horizontal="center" vertical="center"/>
    </xf>
    <xf numFmtId="0" fontId="4" fillId="4" borderId="87" xfId="97" applyFont="1" applyFill="1" applyBorder="1" applyAlignment="1">
      <alignment horizontal="center" vertical="center"/>
    </xf>
    <xf numFmtId="0" fontId="4" fillId="4" borderId="88" xfId="97" applyFont="1" applyFill="1" applyBorder="1" applyAlignment="1">
      <alignment horizontal="center" vertical="center"/>
    </xf>
    <xf numFmtId="0" fontId="4" fillId="4" borderId="86" xfId="97" applyFont="1" applyFill="1" applyBorder="1" applyAlignment="1">
      <alignment horizontal="center" vertical="center"/>
    </xf>
    <xf numFmtId="0" fontId="4" fillId="13" borderId="87" xfId="97" applyFont="1" applyFill="1" applyBorder="1" applyAlignment="1">
      <alignment horizontal="center" vertical="center" wrapText="1"/>
    </xf>
    <xf numFmtId="0" fontId="4" fillId="13" borderId="88" xfId="97" applyFont="1" applyFill="1" applyBorder="1" applyAlignment="1">
      <alignment horizontal="center" vertical="center" wrapText="1"/>
    </xf>
    <xf numFmtId="0" fontId="4" fillId="13" borderId="89" xfId="97" applyFont="1" applyFill="1" applyBorder="1" applyAlignment="1">
      <alignment horizontal="center" vertical="center" wrapText="1"/>
    </xf>
    <xf numFmtId="0" fontId="41" fillId="0" borderId="78" xfId="97" applyFont="1" applyBorder="1" applyAlignment="1">
      <alignment horizontal="center" vertical="center"/>
    </xf>
    <xf numFmtId="0" fontId="41" fillId="0" borderId="79" xfId="97" applyFont="1" applyBorder="1" applyAlignment="1">
      <alignment horizontal="center" vertical="center"/>
    </xf>
    <xf numFmtId="0" fontId="41" fillId="0" borderId="80" xfId="97" applyFont="1" applyBorder="1" applyAlignment="1">
      <alignment horizontal="center" vertical="center"/>
    </xf>
    <xf numFmtId="0" fontId="41" fillId="0" borderId="82" xfId="97" applyFont="1" applyBorder="1" applyAlignment="1">
      <alignment horizontal="center" vertical="center"/>
    </xf>
    <xf numFmtId="0" fontId="41" fillId="0" borderId="83" xfId="97" applyFont="1" applyBorder="1" applyAlignment="1">
      <alignment horizontal="center" vertical="center"/>
    </xf>
    <xf numFmtId="0" fontId="41" fillId="0" borderId="84" xfId="97" applyFont="1" applyBorder="1" applyAlignment="1">
      <alignment horizontal="center" vertical="center"/>
    </xf>
    <xf numFmtId="0" fontId="10" fillId="0" borderId="81" xfId="97" applyFont="1" applyBorder="1" applyAlignment="1">
      <alignment horizontal="left" vertical="center"/>
    </xf>
    <xf numFmtId="0" fontId="10" fillId="0" borderId="1" xfId="97" applyFont="1" applyBorder="1" applyAlignment="1">
      <alignment horizontal="left" vertical="center"/>
    </xf>
    <xf numFmtId="0" fontId="4" fillId="0" borderId="85" xfId="97" applyFont="1" applyBorder="1" applyAlignment="1">
      <alignment horizontal="center" vertical="center"/>
    </xf>
    <xf numFmtId="0" fontId="4" fillId="0" borderId="86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2" fontId="4" fillId="0" borderId="2" xfId="97" applyNumberFormat="1" applyFont="1" applyBorder="1" applyAlignment="1">
      <alignment horizontal="center" vertical="center"/>
    </xf>
    <xf numFmtId="0" fontId="35" fillId="3" borderId="2" xfId="97" applyFont="1" applyFill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46" xfId="97" applyFont="1" applyBorder="1" applyAlignment="1">
      <alignment horizontal="center" vertical="center"/>
    </xf>
    <xf numFmtId="0" fontId="4" fillId="0" borderId="46" xfId="97" applyFont="1" applyBorder="1" applyAlignment="1">
      <alignment horizontal="center" vertical="center" wrapText="1"/>
    </xf>
    <xf numFmtId="0" fontId="4" fillId="0" borderId="39" xfId="97" applyFont="1" applyBorder="1" applyAlignment="1">
      <alignment horizontal="center" vertical="center" wrapText="1"/>
    </xf>
    <xf numFmtId="0" fontId="31" fillId="15" borderId="2" xfId="4" applyFont="1" applyFill="1" applyBorder="1" applyAlignment="1"/>
    <xf numFmtId="0" fontId="31" fillId="0" borderId="2" xfId="4" applyFont="1" applyBorder="1" applyAlignment="1">
      <alignment horizontal="center" vertical="center"/>
    </xf>
    <xf numFmtId="0" fontId="38" fillId="7" borderId="2" xfId="4" applyFont="1" applyFill="1" applyBorder="1" applyAlignment="1">
      <alignment horizontal="center" vertical="center" wrapText="1"/>
    </xf>
    <xf numFmtId="180" fontId="31" fillId="0" borderId="2" xfId="341" applyNumberFormat="1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/>
    </xf>
    <xf numFmtId="180" fontId="31" fillId="0" borderId="30" xfId="341" applyNumberFormat="1" applyFont="1" applyBorder="1" applyAlignment="1">
      <alignment horizontal="center" vertical="center"/>
    </xf>
    <xf numFmtId="0" fontId="31" fillId="19" borderId="40" xfId="4" applyFont="1" applyFill="1" applyBorder="1" applyAlignment="1">
      <alignment horizontal="center" vertical="center" wrapText="1"/>
    </xf>
    <xf numFmtId="0" fontId="31" fillId="19" borderId="7" xfId="4" applyFont="1" applyFill="1" applyBorder="1" applyAlignment="1">
      <alignment horizontal="center" vertical="center" wrapText="1"/>
    </xf>
    <xf numFmtId="0" fontId="31" fillId="19" borderId="70" xfId="4" applyFont="1" applyFill="1" applyBorder="1" applyAlignment="1">
      <alignment horizontal="center" vertical="center" wrapText="1"/>
    </xf>
    <xf numFmtId="0" fontId="31" fillId="19" borderId="71" xfId="4" applyFont="1" applyFill="1" applyBorder="1" applyAlignment="1">
      <alignment horizontal="center" vertical="center" wrapText="1"/>
    </xf>
    <xf numFmtId="180" fontId="31" fillId="0" borderId="7" xfId="341" applyNumberFormat="1" applyFont="1" applyBorder="1" applyAlignment="1">
      <alignment horizontal="center" vertical="center"/>
    </xf>
    <xf numFmtId="180" fontId="31" fillId="0" borderId="6" xfId="341" applyNumberFormat="1" applyFont="1" applyBorder="1" applyAlignment="1">
      <alignment horizontal="center" vertical="center"/>
    </xf>
    <xf numFmtId="180" fontId="31" fillId="0" borderId="68" xfId="341" applyNumberFormat="1" applyFont="1" applyBorder="1" applyAlignment="1">
      <alignment horizontal="center" vertical="center"/>
    </xf>
    <xf numFmtId="0" fontId="31" fillId="15" borderId="52" xfId="4" applyFont="1" applyFill="1" applyBorder="1" applyAlignment="1"/>
    <xf numFmtId="0" fontId="31" fillId="15" borderId="40" xfId="4" applyFont="1" applyFill="1" applyBorder="1" applyAlignment="1"/>
    <xf numFmtId="0" fontId="31" fillId="20" borderId="0" xfId="4" applyFont="1" applyFill="1" applyAlignment="1">
      <alignment horizontal="center" vertical="center" wrapText="1"/>
    </xf>
    <xf numFmtId="180" fontId="40" fillId="0" borderId="30" xfId="341" applyNumberFormat="1" applyFont="1" applyBorder="1" applyAlignment="1">
      <alignment horizontal="center" vertical="center"/>
    </xf>
    <xf numFmtId="180" fontId="40" fillId="0" borderId="7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1" fillId="13" borderId="66" xfId="4" applyFont="1" applyFill="1" applyBorder="1" applyAlignment="1">
      <alignment horizontal="center" vertical="center" wrapText="1"/>
    </xf>
    <xf numFmtId="0" fontId="31" fillId="13" borderId="0" xfId="4" applyFont="1" applyFill="1" applyAlignment="1">
      <alignment horizontal="center" vertical="center" wrapText="1"/>
    </xf>
    <xf numFmtId="0" fontId="31" fillId="13" borderId="63" xfId="4" applyFont="1" applyFill="1" applyBorder="1" applyAlignment="1">
      <alignment horizontal="center" vertical="center" wrapText="1"/>
    </xf>
    <xf numFmtId="180" fontId="31" fillId="0" borderId="67" xfId="341" applyNumberFormat="1" applyFont="1" applyBorder="1" applyAlignment="1">
      <alignment horizontal="center" vertical="center"/>
    </xf>
    <xf numFmtId="0" fontId="31" fillId="18" borderId="39" xfId="4" applyFont="1" applyFill="1" applyBorder="1" applyAlignment="1">
      <alignment horizontal="center" vertical="center" wrapText="1"/>
    </xf>
    <xf numFmtId="180" fontId="31" fillId="0" borderId="47" xfId="341" applyNumberFormat="1" applyFont="1" applyBorder="1" applyAlignment="1">
      <alignment horizontal="center" vertical="center"/>
    </xf>
    <xf numFmtId="0" fontId="31" fillId="17" borderId="40" xfId="4" applyFont="1" applyFill="1" applyBorder="1" applyAlignment="1">
      <alignment horizontal="center" vertical="center" wrapText="1"/>
    </xf>
    <xf numFmtId="0" fontId="31" fillId="17" borderId="7" xfId="4" applyFont="1" applyFill="1" applyBorder="1" applyAlignment="1">
      <alignment horizontal="center" vertical="center" wrapText="1"/>
    </xf>
    <xf numFmtId="180" fontId="31" fillId="0" borderId="52" xfId="341" applyNumberFormat="1" applyFont="1" applyBorder="1" applyAlignment="1">
      <alignment horizontal="center" vertical="center"/>
    </xf>
    <xf numFmtId="0" fontId="31" fillId="7" borderId="2" xfId="4" applyFont="1" applyFill="1" applyBorder="1" applyAlignment="1">
      <alignment horizontal="center" vertical="center" wrapText="1"/>
    </xf>
    <xf numFmtId="0" fontId="31" fillId="5" borderId="44" xfId="4" applyFont="1" applyFill="1" applyBorder="1" applyAlignment="1">
      <alignment horizontal="center" vertical="center" wrapText="1"/>
    </xf>
    <xf numFmtId="0" fontId="31" fillId="5" borderId="44" xfId="4" applyFont="1" applyFill="1" applyBorder="1" applyAlignment="1">
      <alignment horizontal="center" vertical="center"/>
    </xf>
    <xf numFmtId="0" fontId="31" fillId="5" borderId="39" xfId="4" applyFont="1" applyFill="1" applyBorder="1" applyAlignment="1">
      <alignment horizontal="center" vertical="center"/>
    </xf>
    <xf numFmtId="0" fontId="31" fillId="9" borderId="39" xfId="4" applyFont="1" applyFill="1" applyBorder="1" applyAlignment="1">
      <alignment horizontal="center" vertical="center" wrapText="1"/>
    </xf>
    <xf numFmtId="0" fontId="31" fillId="9" borderId="39" xfId="4" applyFont="1" applyFill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0" fontId="31" fillId="5" borderId="61" xfId="4" applyFont="1" applyFill="1" applyBorder="1" applyAlignment="1">
      <alignment horizontal="center" vertical="center" wrapText="1"/>
    </xf>
    <xf numFmtId="180" fontId="31" fillId="0" borderId="49" xfId="341" applyNumberFormat="1" applyFont="1" applyBorder="1" applyAlignment="1">
      <alignment horizontal="center" vertical="center"/>
    </xf>
    <xf numFmtId="0" fontId="31" fillId="15" borderId="30" xfId="4" applyFont="1" applyFill="1" applyBorder="1" applyAlignment="1"/>
    <xf numFmtId="0" fontId="39" fillId="16" borderId="51" xfId="136" applyFont="1" applyFill="1" applyBorder="1" applyAlignment="1">
      <alignment horizontal="center" vertical="center" wrapText="1"/>
    </xf>
    <xf numFmtId="0" fontId="39" fillId="16" borderId="0" xfId="136" applyFont="1" applyFill="1" applyAlignment="1">
      <alignment horizontal="center" vertical="center" wrapText="1"/>
    </xf>
    <xf numFmtId="0" fontId="39" fillId="16" borderId="63" xfId="136" applyFont="1" applyFill="1" applyBorder="1" applyAlignment="1">
      <alignment horizontal="center" vertical="center" wrapText="1"/>
    </xf>
    <xf numFmtId="180" fontId="31" fillId="0" borderId="56" xfId="341" applyNumberFormat="1" applyFont="1" applyBorder="1" applyAlignment="1">
      <alignment horizontal="center" vertical="center"/>
    </xf>
    <xf numFmtId="180" fontId="31" fillId="0" borderId="58" xfId="341" applyNumberFormat="1" applyFont="1" applyBorder="1" applyAlignment="1">
      <alignment horizontal="center" vertical="center"/>
    </xf>
    <xf numFmtId="180" fontId="31" fillId="0" borderId="59" xfId="341" applyNumberFormat="1" applyFont="1" applyBorder="1" applyAlignment="1">
      <alignment horizontal="center" vertical="center"/>
    </xf>
    <xf numFmtId="180" fontId="31" fillId="0" borderId="60" xfId="341" applyNumberFormat="1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 wrapText="1"/>
    </xf>
    <xf numFmtId="0" fontId="31" fillId="4" borderId="2" xfId="4" applyFont="1" applyFill="1" applyBorder="1" applyAlignment="1">
      <alignment horizontal="center" vertical="center"/>
    </xf>
    <xf numFmtId="0" fontId="31" fillId="4" borderId="30" xfId="4" applyFont="1" applyFill="1" applyBorder="1" applyAlignment="1">
      <alignment horizontal="center" vertical="center"/>
    </xf>
    <xf numFmtId="0" fontId="31" fillId="15" borderId="49" xfId="4" applyFont="1" applyFill="1" applyBorder="1" applyAlignment="1"/>
    <xf numFmtId="0" fontId="8" fillId="0" borderId="2" xfId="4" applyFont="1" applyBorder="1" applyAlignment="1">
      <alignment horizontal="center" vertical="center" wrapText="1"/>
    </xf>
    <xf numFmtId="0" fontId="8" fillId="0" borderId="2" xfId="4" applyFont="1" applyBorder="1" applyAlignment="1">
      <alignment horizontal="center" vertical="center"/>
    </xf>
    <xf numFmtId="0" fontId="35" fillId="3" borderId="44" xfId="4" applyFont="1" applyFill="1" applyBorder="1" applyAlignment="1">
      <alignment horizontal="center" vertical="center" wrapText="1"/>
    </xf>
    <xf numFmtId="0" fontId="35" fillId="3" borderId="45" xfId="4" applyFont="1" applyFill="1" applyBorder="1" applyAlignment="1">
      <alignment horizontal="center" vertical="center" wrapText="1"/>
    </xf>
    <xf numFmtId="0" fontId="31" fillId="13" borderId="39" xfId="4" applyFont="1" applyFill="1" applyBorder="1" applyAlignment="1">
      <alignment horizontal="center" vertical="center"/>
    </xf>
    <xf numFmtId="0" fontId="31" fillId="7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2" fillId="0" borderId="39" xfId="4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 wrapText="1"/>
    </xf>
    <xf numFmtId="0" fontId="35" fillId="3" borderId="39" xfId="4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6" fillId="3" borderId="44" xfId="4" applyFont="1" applyFill="1" applyBorder="1" applyAlignment="1">
      <alignment horizontal="center" vertical="center" wrapText="1"/>
    </xf>
    <xf numFmtId="0" fontId="36" fillId="3" borderId="45" xfId="4" applyFont="1" applyFill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33" fillId="0" borderId="41" xfId="98" applyFont="1" applyBorder="1" applyAlignment="1">
      <alignment horizontal="center" vertical="center" wrapText="1"/>
    </xf>
    <xf numFmtId="0" fontId="33" fillId="0" borderId="42" xfId="98" applyFont="1" applyBorder="1" applyAlignment="1">
      <alignment horizontal="center" vertical="center" wrapText="1"/>
    </xf>
    <xf numFmtId="0" fontId="33" fillId="0" borderId="43" xfId="98" applyFont="1" applyBorder="1" applyAlignment="1">
      <alignment horizontal="center" vertical="center" wrapText="1"/>
    </xf>
    <xf numFmtId="0" fontId="33" fillId="0" borderId="0" xfId="98" applyFont="1" applyAlignment="1">
      <alignment horizontal="center" vertical="center" wrapText="1"/>
    </xf>
    <xf numFmtId="0" fontId="28" fillId="0" borderId="39" xfId="4" applyFont="1" applyBorder="1" applyAlignment="1">
      <alignment horizontal="center" vertical="center"/>
    </xf>
  </cellXfs>
  <cellStyles count="367">
    <cellStyle name="パーセント 2" xfId="7"/>
    <cellStyle name="一般" xfId="0" builtinId="0"/>
    <cellStyle name="一般 10" xfId="8"/>
    <cellStyle name="一般 10 2" xfId="9"/>
    <cellStyle name="一般 11" xfId="10"/>
    <cellStyle name="一般 12" xfId="11"/>
    <cellStyle name="一般 13" xfId="12"/>
    <cellStyle name="一般 14" xfId="13"/>
    <cellStyle name="一般 15" xfId="14"/>
    <cellStyle name="一般 15 2" xfId="15"/>
    <cellStyle name="一般 16" xfId="16"/>
    <cellStyle name="一般 17" xfId="17"/>
    <cellStyle name="一般 18" xfId="18"/>
    <cellStyle name="一般 19" xfId="19"/>
    <cellStyle name="一般 2" xfId="20"/>
    <cellStyle name="一般 2 13" xfId="21"/>
    <cellStyle name="一般 2 17" xfId="22"/>
    <cellStyle name="一般 2 17 10" xfId="23"/>
    <cellStyle name="一般 2 17 11" xfId="24"/>
    <cellStyle name="一般 2 17 12" xfId="25"/>
    <cellStyle name="一般 2 17 13" xfId="26"/>
    <cellStyle name="一般 2 17 13 2" xfId="27"/>
    <cellStyle name="一般 2 17 13 3" xfId="28"/>
    <cellStyle name="一般 2 17 14" xfId="29"/>
    <cellStyle name="一般 2 17 14 2" xfId="30"/>
    <cellStyle name="一般 2 17 15" xfId="31"/>
    <cellStyle name="一般 2 17 16" xfId="32"/>
    <cellStyle name="一般 2 17 17" xfId="33"/>
    <cellStyle name="一般 2 17 2" xfId="1"/>
    <cellStyle name="一般 2 17 3" xfId="34"/>
    <cellStyle name="一般 2 17 4" xfId="35"/>
    <cellStyle name="一般 2 17 5" xfId="36"/>
    <cellStyle name="一般 2 17 6" xfId="37"/>
    <cellStyle name="一般 2 17 7" xfId="38"/>
    <cellStyle name="一般 2 17 8" xfId="39"/>
    <cellStyle name="一般 2 17 9" xfId="40"/>
    <cellStyle name="一般 2 18" xfId="41"/>
    <cellStyle name="一般 2 18 10" xfId="42"/>
    <cellStyle name="一般 2 18 11" xfId="43"/>
    <cellStyle name="一般 2 18 12" xfId="44"/>
    <cellStyle name="一般 2 18 13" xfId="45"/>
    <cellStyle name="一般 2 18 13 2" xfId="46"/>
    <cellStyle name="一般 2 18 13 3" xfId="47"/>
    <cellStyle name="一般 2 18 14" xfId="48"/>
    <cellStyle name="一般 2 18 14 2" xfId="49"/>
    <cellStyle name="一般 2 18 15" xfId="50"/>
    <cellStyle name="一般 2 18 16" xfId="51"/>
    <cellStyle name="一般 2 18 17" xfId="52"/>
    <cellStyle name="一般 2 18 17 2" xfId="53"/>
    <cellStyle name="一般 2 18 19" xfId="54"/>
    <cellStyle name="一般 2 18 2" xfId="55"/>
    <cellStyle name="一般 2 18 21" xfId="56"/>
    <cellStyle name="一般 2 18 22" xfId="57"/>
    <cellStyle name="一般 2 18 23" xfId="58"/>
    <cellStyle name="一般 2 18 3" xfId="59"/>
    <cellStyle name="一般 2 18 4" xfId="60"/>
    <cellStyle name="一般 2 18 5" xfId="61"/>
    <cellStyle name="一般 2 18 6" xfId="62"/>
    <cellStyle name="一般 2 18 7" xfId="63"/>
    <cellStyle name="一般 2 18 8" xfId="64"/>
    <cellStyle name="一般 2 18 9" xfId="65"/>
    <cellStyle name="一般 2 19" xfId="66"/>
    <cellStyle name="一般 2 19 10" xfId="67"/>
    <cellStyle name="一般 2 19 11" xfId="68"/>
    <cellStyle name="一般 2 19 11 2" xfId="69"/>
    <cellStyle name="一般 2 19 12" xfId="70"/>
    <cellStyle name="一般 2 19 12 2" xfId="71"/>
    <cellStyle name="一般 2 19 13" xfId="72"/>
    <cellStyle name="一般 2 19 13 2" xfId="73"/>
    <cellStyle name="一般 2 19 13 3" xfId="74"/>
    <cellStyle name="一般 2 19 14" xfId="75"/>
    <cellStyle name="一般 2 19 14 2" xfId="76"/>
    <cellStyle name="一般 2 19 15" xfId="77"/>
    <cellStyle name="一般 2 19 16" xfId="78"/>
    <cellStyle name="一般 2 19 17" xfId="79"/>
    <cellStyle name="一般 2 19 17 2" xfId="80"/>
    <cellStyle name="一般 2 19 18" xfId="81"/>
    <cellStyle name="一般 2 19 19" xfId="82"/>
    <cellStyle name="一般 2 19 2" xfId="83"/>
    <cellStyle name="一般 2 19 20" xfId="84"/>
    <cellStyle name="一般 2 19 21" xfId="85"/>
    <cellStyle name="一般 2 19 21 2" xfId="86"/>
    <cellStyle name="一般 2 19 22" xfId="87"/>
    <cellStyle name="一般 2 19 23" xfId="88"/>
    <cellStyle name="一般 2 19 3" xfId="89"/>
    <cellStyle name="一般 2 19 4" xfId="90"/>
    <cellStyle name="一般 2 19 5" xfId="91"/>
    <cellStyle name="一般 2 19 6" xfId="92"/>
    <cellStyle name="一般 2 19 7" xfId="93"/>
    <cellStyle name="一般 2 19 8" xfId="94"/>
    <cellStyle name="一般 2 19 9" xfId="95"/>
    <cellStyle name="一般 2 19 9 2" xfId="96"/>
    <cellStyle name="一般 2 2" xfId="97"/>
    <cellStyle name="一般 2 2 10" xfId="98"/>
    <cellStyle name="一般 2 2 10 2" xfId="99"/>
    <cellStyle name="一般 2 2 11" xfId="100"/>
    <cellStyle name="一般 2 2 11 2" xfId="101"/>
    <cellStyle name="一般 2 2 11 3" xfId="102"/>
    <cellStyle name="一般 2 2 11 4" xfId="103"/>
    <cellStyle name="一般 2 2 12" xfId="104"/>
    <cellStyle name="一般 2 2 12 2" xfId="105"/>
    <cellStyle name="一般 2 2 12 3" xfId="106"/>
    <cellStyle name="一般 2 2 12 4" xfId="107"/>
    <cellStyle name="一般 2 2 13" xfId="108"/>
    <cellStyle name="一般 2 2 13 2" xfId="109"/>
    <cellStyle name="一般 2 2 13 3" xfId="110"/>
    <cellStyle name="一般 2 2 13 4" xfId="111"/>
    <cellStyle name="一般 2 2 13 5" xfId="112"/>
    <cellStyle name="一般 2 2 14" xfId="113"/>
    <cellStyle name="一般 2 2 14 2" xfId="114"/>
    <cellStyle name="一般 2 2 14 3" xfId="115"/>
    <cellStyle name="一般 2 2 15" xfId="116"/>
    <cellStyle name="一般 2 2 15 2" xfId="117"/>
    <cellStyle name="一般 2 2 16" xfId="118"/>
    <cellStyle name="一般 2 2 17" xfId="119"/>
    <cellStyle name="一般 2 2 17 2" xfId="120"/>
    <cellStyle name="一般 2 2 18" xfId="121"/>
    <cellStyle name="一般 2 2 19" xfId="122"/>
    <cellStyle name="一般 2 2 2" xfId="123"/>
    <cellStyle name="一般 2 2 2 2" xfId="2"/>
    <cellStyle name="一般 2 2 2 3" xfId="124"/>
    <cellStyle name="一般 2 2 2 4" xfId="125"/>
    <cellStyle name="一般 2 2 2 5" xfId="126"/>
    <cellStyle name="一般 2 2 20" xfId="127"/>
    <cellStyle name="一般 2 2 21" xfId="128"/>
    <cellStyle name="一般 2 2 21 2" xfId="129"/>
    <cellStyle name="一般 2 2 22" xfId="130"/>
    <cellStyle name="一般 2 2 23" xfId="131"/>
    <cellStyle name="一般 2 2 3" xfId="132"/>
    <cellStyle name="一般 2 2 3 2" xfId="133"/>
    <cellStyle name="一般 2 2 3 3" xfId="134"/>
    <cellStyle name="一般 2 2 3 4" xfId="135"/>
    <cellStyle name="一般 2 2 4" xfId="136"/>
    <cellStyle name="一般 2 2 4 2" xfId="137"/>
    <cellStyle name="一般 2 2 4 2 2" xfId="138"/>
    <cellStyle name="一般 2 2 4 2 3" xfId="139"/>
    <cellStyle name="一般 2 2 4 3" xfId="140"/>
    <cellStyle name="一般 2 2 4 3 2" xfId="141"/>
    <cellStyle name="一般 2 2 4 4" xfId="142"/>
    <cellStyle name="一般 2 2 4 5" xfId="143"/>
    <cellStyle name="一般 2 2 5" xfId="144"/>
    <cellStyle name="一般 2 2 5 2" xfId="145"/>
    <cellStyle name="一般 2 2 5 3" xfId="146"/>
    <cellStyle name="一般 2 2 6" xfId="147"/>
    <cellStyle name="一般 2 2 6 2" xfId="148"/>
    <cellStyle name="一般 2 2 6 3" xfId="149"/>
    <cellStyle name="一般 2 2 6 4" xfId="150"/>
    <cellStyle name="一般 2 2 7" xfId="151"/>
    <cellStyle name="一般 2 2 7 2" xfId="152"/>
    <cellStyle name="一般 2 2 8" xfId="153"/>
    <cellStyle name="一般 2 2 8 2" xfId="154"/>
    <cellStyle name="一般 2 2 9" xfId="155"/>
    <cellStyle name="一般 2 2 9 2" xfId="156"/>
    <cellStyle name="一般 2 2 9 3" xfId="157"/>
    <cellStyle name="一般 2 3" xfId="158"/>
    <cellStyle name="一般 2 4" xfId="159"/>
    <cellStyle name="一般 2 4 2" xfId="160"/>
    <cellStyle name="一般 2 5" xfId="161"/>
    <cellStyle name="一般 2 6" xfId="162"/>
    <cellStyle name="一般 2 7" xfId="163"/>
    <cellStyle name="一般 2 8" xfId="4"/>
    <cellStyle name="一般 2 8 10" xfId="164"/>
    <cellStyle name="一般 2 8 11" xfId="165"/>
    <cellStyle name="一般 2 8 11 2" xfId="166"/>
    <cellStyle name="一般 2 8 12" xfId="167"/>
    <cellStyle name="一般 2 8 12 2" xfId="168"/>
    <cellStyle name="一般 2 8 13" xfId="169"/>
    <cellStyle name="一般 2 8 13 2" xfId="170"/>
    <cellStyle name="一般 2 8 13 3" xfId="171"/>
    <cellStyle name="一般 2 8 14" xfId="172"/>
    <cellStyle name="一般 2 8 14 10" xfId="173"/>
    <cellStyle name="一般 2 8 14 11" xfId="174"/>
    <cellStyle name="一般 2 8 14 2" xfId="175"/>
    <cellStyle name="一般 2 8 14 2 2" xfId="176"/>
    <cellStyle name="一般 2 8 14 3" xfId="177"/>
    <cellStyle name="一般 2 8 14 3 2" xfId="178"/>
    <cellStyle name="一般 2 8 14 4" xfId="179"/>
    <cellStyle name="一般 2 8 14 5" xfId="180"/>
    <cellStyle name="一般 2 8 14 6" xfId="181"/>
    <cellStyle name="一般 2 8 14 7" xfId="182"/>
    <cellStyle name="一般 2 8 14 7 2" xfId="183"/>
    <cellStyle name="一般 2 8 14 8" xfId="184"/>
    <cellStyle name="一般 2 8 14 9" xfId="185"/>
    <cellStyle name="一般 2 8 15" xfId="186"/>
    <cellStyle name="一般 2 8 16" xfId="187"/>
    <cellStyle name="一般 2 8 17" xfId="188"/>
    <cellStyle name="一般 2 8 18" xfId="189"/>
    <cellStyle name="一般 2 8 19" xfId="190"/>
    <cellStyle name="一般 2 8 2" xfId="191"/>
    <cellStyle name="一般 2 8 2 2" xfId="192"/>
    <cellStyle name="一般 2 8 2 3" xfId="193"/>
    <cellStyle name="一般 2 8 20" xfId="194"/>
    <cellStyle name="一般 2 8 21" xfId="195"/>
    <cellStyle name="一般 2 8 22" xfId="196"/>
    <cellStyle name="一般 2 8 23" xfId="197"/>
    <cellStyle name="一般 2 8 23 2" xfId="198"/>
    <cellStyle name="一般 2 8 23 3" xfId="199"/>
    <cellStyle name="一般 2 8 24" xfId="200"/>
    <cellStyle name="一般 2 8 3" xfId="201"/>
    <cellStyle name="一般 2 8 3 2" xfId="202"/>
    <cellStyle name="一般 2 8 4" xfId="203"/>
    <cellStyle name="一般 2 8 5" xfId="204"/>
    <cellStyle name="一般 2 8 6" xfId="205"/>
    <cellStyle name="一般 2 8 7" xfId="206"/>
    <cellStyle name="一般 2 8 8" xfId="207"/>
    <cellStyle name="一般 2 8 9" xfId="208"/>
    <cellStyle name="一般 2 8 9 2" xfId="209"/>
    <cellStyle name="一般 20" xfId="210"/>
    <cellStyle name="一般 21" xfId="211"/>
    <cellStyle name="一般 22" xfId="212"/>
    <cellStyle name="一般 23" xfId="213"/>
    <cellStyle name="一般 24" xfId="214"/>
    <cellStyle name="一般 3" xfId="215"/>
    <cellStyle name="一般 3 2" xfId="216"/>
    <cellStyle name="一般 3 2 2" xfId="217"/>
    <cellStyle name="一般 3 3" xfId="218"/>
    <cellStyle name="一般 3 4" xfId="219"/>
    <cellStyle name="一般 3 5" xfId="220"/>
    <cellStyle name="一般 3 5 2" xfId="221"/>
    <cellStyle name="一般 3 6" xfId="222"/>
    <cellStyle name="一般 3 7" xfId="223"/>
    <cellStyle name="一般 4" xfId="224"/>
    <cellStyle name="一般 4 2" xfId="225"/>
    <cellStyle name="一般 4 3" xfId="226"/>
    <cellStyle name="一般 5" xfId="227"/>
    <cellStyle name="一般 5 2" xfId="228"/>
    <cellStyle name="一般 6" xfId="229"/>
    <cellStyle name="一般 6 2" xfId="230"/>
    <cellStyle name="一般 7" xfId="231"/>
    <cellStyle name="一般 8" xfId="232"/>
    <cellStyle name="一般 8 2" xfId="233"/>
    <cellStyle name="一般 9" xfId="234"/>
    <cellStyle name="一般 9 2" xfId="235"/>
    <cellStyle name="千分位" xfId="366" builtinId="3"/>
    <cellStyle name="千分位 10" xfId="236"/>
    <cellStyle name="千分位 2" xfId="237"/>
    <cellStyle name="千分位 2 10" xfId="238"/>
    <cellStyle name="千分位 2 10 2" xfId="239"/>
    <cellStyle name="千分位 2 11" xfId="240"/>
    <cellStyle name="千分位 2 11 2" xfId="241"/>
    <cellStyle name="千分位 2 11 3" xfId="242"/>
    <cellStyle name="千分位 2 11 4" xfId="243"/>
    <cellStyle name="千分位 2 12" xfId="244"/>
    <cellStyle name="千分位 2 12 2" xfId="245"/>
    <cellStyle name="千分位 2 12 3" xfId="246"/>
    <cellStyle name="千分位 2 12 4" xfId="247"/>
    <cellStyle name="千分位 2 13" xfId="248"/>
    <cellStyle name="千分位 2 13 2" xfId="249"/>
    <cellStyle name="千分位 2 13 3" xfId="250"/>
    <cellStyle name="千分位 2 13 4" xfId="251"/>
    <cellStyle name="千分位 2 13 5" xfId="252"/>
    <cellStyle name="千分位 2 14" xfId="253"/>
    <cellStyle name="千分位 2 14 2" xfId="254"/>
    <cellStyle name="千分位 2 14 3" xfId="255"/>
    <cellStyle name="千分位 2 15" xfId="256"/>
    <cellStyle name="千分位 2 15 2" xfId="257"/>
    <cellStyle name="千分位 2 16" xfId="258"/>
    <cellStyle name="千分位 2 17" xfId="259"/>
    <cellStyle name="千分位 2 17 2" xfId="260"/>
    <cellStyle name="千分位 2 18" xfId="261"/>
    <cellStyle name="千分位 2 19" xfId="262"/>
    <cellStyle name="千分位 2 2" xfId="263"/>
    <cellStyle name="千分位 2 2 2" xfId="264"/>
    <cellStyle name="千分位 2 2 3" xfId="265"/>
    <cellStyle name="千分位 2 20" xfId="266"/>
    <cellStyle name="千分位 2 21" xfId="267"/>
    <cellStyle name="千分位 2 21 2" xfId="268"/>
    <cellStyle name="千分位 2 22" xfId="269"/>
    <cellStyle name="千分位 2 23" xfId="270"/>
    <cellStyle name="千分位 2 24" xfId="271"/>
    <cellStyle name="千分位 2 3" xfId="272"/>
    <cellStyle name="千分位 2 3 2" xfId="273"/>
    <cellStyle name="千分位 2 3 3" xfId="274"/>
    <cellStyle name="千分位 2 4" xfId="275"/>
    <cellStyle name="千分位 2 4 2" xfId="276"/>
    <cellStyle name="千分位 2 5" xfId="277"/>
    <cellStyle name="千分位 2 5 2" xfId="278"/>
    <cellStyle name="千分位 2 5 3" xfId="279"/>
    <cellStyle name="千分位 2 6" xfId="280"/>
    <cellStyle name="千分位 2 6 2" xfId="281"/>
    <cellStyle name="千分位 2 6 3" xfId="282"/>
    <cellStyle name="千分位 2 6 4" xfId="283"/>
    <cellStyle name="千分位 2 7" xfId="284"/>
    <cellStyle name="千分位 2 7 2" xfId="285"/>
    <cellStyle name="千分位 2 8" xfId="286"/>
    <cellStyle name="千分位 2 8 2" xfId="287"/>
    <cellStyle name="千分位 2 8 2 2" xfId="288"/>
    <cellStyle name="千分位 2 8 3" xfId="289"/>
    <cellStyle name="千分位 2 8 3 2" xfId="290"/>
    <cellStyle name="千分位 2 8 3 3" xfId="291"/>
    <cellStyle name="千分位 2 8 4" xfId="292"/>
    <cellStyle name="千分位 2 8 5" xfId="293"/>
    <cellStyle name="千分位 2 8 6" xfId="294"/>
    <cellStyle name="千分位 2 9" xfId="295"/>
    <cellStyle name="千分位 2 9 2" xfId="296"/>
    <cellStyle name="千分位 2 9 3" xfId="297"/>
    <cellStyle name="千分位 3" xfId="298"/>
    <cellStyle name="千分位 4" xfId="299"/>
    <cellStyle name="千分位 5" xfId="300"/>
    <cellStyle name="千分位 5 2" xfId="301"/>
    <cellStyle name="千分位 6" xfId="302"/>
    <cellStyle name="千分位 7" xfId="303"/>
    <cellStyle name="千分位 8" xfId="304"/>
    <cellStyle name="千分位 9" xfId="3"/>
    <cellStyle name="好_1001024-晉欣重要管制流程 (3)" xfId="305"/>
    <cellStyle name="好_Sheet1" xfId="306"/>
    <cellStyle name="好_工作日報表---" xfId="307"/>
    <cellStyle name="好_晉欣重要管制流程-油炸作業" xfId="308"/>
    <cellStyle name="好_晉欣重要管制流程-原物料驗收" xfId="309"/>
    <cellStyle name="好_晉欣重要管制流程-烤箱作業" xfId="310"/>
    <cellStyle name="好_晉欣重要管制流程-理貨作業" xfId="311"/>
    <cellStyle name="好_晉欣重要管制流程-煮麵作業" xfId="312"/>
    <cellStyle name="好_晉欣重要管制流程-飯糰機操作&amp;丼飯作業&amp;三明治&amp;標籤&amp;炊飯&amp;美生菜" xfId="313"/>
    <cellStyle name="好_晉欣重要管制流程-準備室作業" xfId="314"/>
    <cellStyle name="好_晉欣重要管制流程-補料作業" xfId="315"/>
    <cellStyle name="好_配料相關一、二--------" xfId="316"/>
    <cellStyle name="百分比 2" xfId="317"/>
    <cellStyle name="百分比 2 2" xfId="318"/>
    <cellStyle name="百分比 2 2 2" xfId="319"/>
    <cellStyle name="百分比 2 2 2 2" xfId="6"/>
    <cellStyle name="百分比 2 3" xfId="320"/>
    <cellStyle name="百分比 2 4" xfId="321"/>
    <cellStyle name="百分比 2 5" xfId="5"/>
    <cellStyle name="百分比 3" xfId="322"/>
    <cellStyle name="百分比 3 2" xfId="323"/>
    <cellStyle name="百分比 3 3" xfId="324"/>
    <cellStyle name="百分比 4" xfId="325"/>
    <cellStyle name="百分比 4 2" xfId="326"/>
    <cellStyle name="百分比 4 2 2" xfId="327"/>
    <cellStyle name="百分比 4 2 2 2" xfId="328"/>
    <cellStyle name="百分比 4 2 3" xfId="329"/>
    <cellStyle name="百分比 4 3" xfId="330"/>
    <cellStyle name="百分比 4 3 2" xfId="331"/>
    <cellStyle name="百分比 4 3 2 2" xfId="332"/>
    <cellStyle name="百分比 4 3 2 2 2" xfId="333"/>
    <cellStyle name="百分比 4 3 2 2 2 2" xfId="334"/>
    <cellStyle name="百分比 4 3 2 2 2 2 2" xfId="335"/>
    <cellStyle name="百分比 4 4" xfId="336"/>
    <cellStyle name="百分比 5" xfId="337"/>
    <cellStyle name="百分比 5 2" xfId="338"/>
    <cellStyle name="百分比 5 3" xfId="339"/>
    <cellStyle name="百分比 6" xfId="340"/>
    <cellStyle name="百分比 7" xfId="341"/>
    <cellStyle name="桁区切り 2" xfId="342"/>
    <cellStyle name="貨幣 2" xfId="343"/>
    <cellStyle name="通貨 2" xfId="344"/>
    <cellStyle name="超連結 2" xfId="345"/>
    <cellStyle name="標準 2" xfId="346"/>
    <cellStyle name="標準 3" xfId="347"/>
    <cellStyle name="標準 3 2" xfId="348"/>
    <cellStyle name="標準 4" xfId="349"/>
    <cellStyle name="標準 4 2" xfId="350"/>
    <cellStyle name="標準 5" xfId="351"/>
    <cellStyle name="標準 6" xfId="352"/>
    <cellStyle name="標準 7" xfId="353"/>
    <cellStyle name="壞_1001024-晉欣重要管制流程 (3)" xfId="354"/>
    <cellStyle name="壞_Sheet1" xfId="355"/>
    <cellStyle name="壞_工作日報表---" xfId="356"/>
    <cellStyle name="壞_晉欣重要管制流程-油炸作業" xfId="357"/>
    <cellStyle name="壞_晉欣重要管制流程-原物料驗收" xfId="358"/>
    <cellStyle name="壞_晉欣重要管制流程-烤箱作業" xfId="359"/>
    <cellStyle name="壞_晉欣重要管制流程-理貨作業" xfId="360"/>
    <cellStyle name="壞_晉欣重要管制流程-煮麵作業" xfId="361"/>
    <cellStyle name="壞_晉欣重要管制流程-飯糰機操作&amp;丼飯作業&amp;三明治&amp;標籤&amp;炊飯&amp;美生菜" xfId="362"/>
    <cellStyle name="壞_晉欣重要管制流程-準備室作業" xfId="363"/>
    <cellStyle name="壞_晉欣重要管制流程-補料作業" xfId="364"/>
    <cellStyle name="壞_配料相關一、二--------" xfId="365"/>
  </cellStyles>
  <dxfs count="116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N36" sqref="N36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544" t="s">
        <v>0</v>
      </c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6"/>
      <c r="N1" s="1"/>
      <c r="O1" s="1"/>
    </row>
    <row r="2" spans="2:17" ht="27.75" customHeight="1">
      <c r="B2" s="544"/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6"/>
      <c r="N2" s="1"/>
      <c r="O2" s="1"/>
    </row>
    <row r="3" spans="2:17" ht="46.5" customHeight="1">
      <c r="B3" s="537" t="s">
        <v>1</v>
      </c>
      <c r="C3" s="498"/>
      <c r="D3" s="547" t="s">
        <v>308</v>
      </c>
      <c r="E3" s="548"/>
      <c r="F3" s="537" t="s">
        <v>2</v>
      </c>
      <c r="G3" s="498"/>
      <c r="H3" s="549">
        <v>266534.3</v>
      </c>
      <c r="I3" s="550"/>
      <c r="J3" s="537" t="s">
        <v>3</v>
      </c>
      <c r="K3" s="498"/>
      <c r="L3" s="542">
        <v>8171065.4040349992</v>
      </c>
      <c r="M3" s="543"/>
      <c r="N3" s="27"/>
      <c r="O3" s="27"/>
      <c r="P3" s="27"/>
      <c r="Q3" s="27"/>
    </row>
    <row r="4" spans="2:17" ht="24" customHeight="1">
      <c r="B4" s="537" t="s">
        <v>37</v>
      </c>
      <c r="C4" s="498"/>
      <c r="D4" s="529" t="s">
        <v>37</v>
      </c>
      <c r="E4" s="530"/>
      <c r="F4" s="540" t="s">
        <v>38</v>
      </c>
      <c r="G4" s="541"/>
      <c r="H4" s="540" t="s">
        <v>39</v>
      </c>
      <c r="I4" s="541"/>
      <c r="J4" s="540" t="s">
        <v>40</v>
      </c>
      <c r="K4" s="541"/>
      <c r="L4" s="542" t="s">
        <v>41</v>
      </c>
      <c r="M4" s="543"/>
      <c r="N4" s="523" t="s">
        <v>4</v>
      </c>
      <c r="O4" s="524"/>
      <c r="P4" s="524" t="s">
        <v>5</v>
      </c>
      <c r="Q4" s="524"/>
    </row>
    <row r="5" spans="2:17" ht="24" customHeight="1">
      <c r="B5" s="525" t="s">
        <v>35</v>
      </c>
      <c r="C5" s="504"/>
      <c r="D5" s="529" t="s">
        <v>42</v>
      </c>
      <c r="E5" s="530"/>
      <c r="F5" s="529" t="s">
        <v>6</v>
      </c>
      <c r="G5" s="530"/>
      <c r="H5" s="531" t="s">
        <v>7</v>
      </c>
      <c r="I5" s="532"/>
      <c r="J5" s="533" t="s">
        <v>8</v>
      </c>
      <c r="K5" s="534"/>
      <c r="L5" s="535" t="s">
        <v>9</v>
      </c>
      <c r="M5" s="536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526"/>
      <c r="C6" s="527"/>
      <c r="D6" s="537" t="s">
        <v>10</v>
      </c>
      <c r="E6" s="498"/>
      <c r="F6" s="538">
        <f>AVERAGE(D13:O13,P13:Q13,D30:F30,G30:H30,J30:M30)</f>
        <v>438.93392791619266</v>
      </c>
      <c r="G6" s="539"/>
      <c r="H6" s="517">
        <f>AVERAGE(D13:P13,Q13)</f>
        <v>140.59971761193441</v>
      </c>
      <c r="I6" s="518"/>
      <c r="J6" s="517">
        <f>AVERAGE(D30:F30,G30:H30)</f>
        <v>820.90558090558079</v>
      </c>
      <c r="K6" s="518"/>
      <c r="L6" s="519">
        <f>AVERAGE(J30:M30)</f>
        <v>1005.6390977443609</v>
      </c>
      <c r="M6" s="520"/>
      <c r="N6" s="521">
        <v>0</v>
      </c>
      <c r="O6" s="506">
        <v>0</v>
      </c>
      <c r="P6" s="522">
        <v>3</v>
      </c>
      <c r="Q6" s="506">
        <v>3</v>
      </c>
    </row>
    <row r="7" spans="2:17" s="5" customFormat="1" ht="39.6" customHeight="1">
      <c r="B7" s="526"/>
      <c r="C7" s="527"/>
      <c r="D7" s="507" t="s">
        <v>11</v>
      </c>
      <c r="E7" s="508"/>
      <c r="F7" s="509">
        <f>AVERAGE(D14:O14,P14:Q14,D31:F31,J31:M31,G31:H31)</f>
        <v>383.31724004142336</v>
      </c>
      <c r="G7" s="510"/>
      <c r="H7" s="511">
        <f>AVERAGE(D14:P14,Q14)</f>
        <v>126.30821071268285</v>
      </c>
      <c r="I7" s="512"/>
      <c r="J7" s="511">
        <f>AVERAGE(D31:F31,G31:H31)</f>
        <v>746.59880378240473</v>
      </c>
      <c r="K7" s="512"/>
      <c r="L7" s="513">
        <f>AVERAGE(J31:M31)</f>
        <v>828.7468880157885</v>
      </c>
      <c r="M7" s="514"/>
      <c r="N7" s="521"/>
      <c r="O7" s="506"/>
      <c r="P7" s="522"/>
      <c r="Q7" s="506"/>
    </row>
    <row r="8" spans="2:17" s="5" customFormat="1" ht="39.6" customHeight="1">
      <c r="B8" s="528"/>
      <c r="C8" s="505"/>
      <c r="D8" s="507" t="s">
        <v>12</v>
      </c>
      <c r="E8" s="508"/>
      <c r="F8" s="515">
        <f>AVERAGE(D15:O15,P15:Q15,D32:F32,G32:H32,J32:M32)</f>
        <v>0.88112937606291009</v>
      </c>
      <c r="G8" s="516"/>
      <c r="H8" s="515">
        <f>AVERAGE(D15:O15,P15:Q15)</f>
        <v>0.89353056296644418</v>
      </c>
      <c r="I8" s="516"/>
      <c r="J8" s="515">
        <f>AVERAGE(D32:F32,G32:H32)</f>
        <v>0.89231464674025884</v>
      </c>
      <c r="K8" s="516"/>
      <c r="L8" s="515">
        <f>AVERAGE(J32:M32)</f>
        <v>0.82374363355385571</v>
      </c>
      <c r="M8" s="516"/>
      <c r="N8" s="521"/>
      <c r="O8" s="506"/>
      <c r="P8" s="522"/>
      <c r="Q8" s="506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494" t="s">
        <v>43</v>
      </c>
      <c r="C10" s="500"/>
      <c r="D10" s="501" t="s">
        <v>44</v>
      </c>
      <c r="E10" s="502"/>
      <c r="F10" s="502"/>
      <c r="G10" s="502"/>
      <c r="H10" s="502"/>
      <c r="I10" s="502"/>
      <c r="J10" s="502"/>
      <c r="K10" s="502"/>
      <c r="L10" s="502"/>
      <c r="M10" s="502"/>
      <c r="N10" s="502"/>
      <c r="O10" s="502"/>
      <c r="P10" s="502"/>
      <c r="Q10" s="503"/>
    </row>
    <row r="11" spans="2:17" ht="17.25" customHeight="1">
      <c r="B11" s="485" t="s">
        <v>45</v>
      </c>
      <c r="C11" s="504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487"/>
      <c r="C12" s="505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489" t="s">
        <v>35</v>
      </c>
      <c r="C13" s="13" t="s">
        <v>59</v>
      </c>
      <c r="D13" s="18">
        <v>145.19860036119712</v>
      </c>
      <c r="E13" s="18">
        <v>107.88281979458452</v>
      </c>
      <c r="F13" s="18">
        <v>140.54871871048343</v>
      </c>
      <c r="G13" s="18">
        <v>314.46258503401361</v>
      </c>
      <c r="H13" s="18">
        <v>232.14285714285714</v>
      </c>
      <c r="I13" s="18">
        <v>83.968524251805988</v>
      </c>
      <c r="J13" s="18">
        <v>92.084512752469408</v>
      </c>
      <c r="K13" s="18">
        <v>75.633900928792571</v>
      </c>
      <c r="L13" s="18">
        <v>108.79830218800808</v>
      </c>
      <c r="M13" s="18">
        <v>81.156479160865132</v>
      </c>
      <c r="N13" s="18">
        <v>86.023341646600159</v>
      </c>
      <c r="O13" s="18">
        <v>157.26190476190476</v>
      </c>
      <c r="P13" s="18">
        <v>193.23349983349979</v>
      </c>
      <c r="Q13" s="20">
        <v>150</v>
      </c>
    </row>
    <row r="14" spans="2:17" ht="39.9" customHeight="1">
      <c r="B14" s="490"/>
      <c r="C14" s="13" t="s">
        <v>60</v>
      </c>
      <c r="D14" s="18">
        <v>125.94543453103559</v>
      </c>
      <c r="E14" s="18">
        <v>94.634878975513644</v>
      </c>
      <c r="F14" s="18">
        <v>126.16868322798486</v>
      </c>
      <c r="G14" s="18">
        <v>283.68064961498555</v>
      </c>
      <c r="H14" s="18">
        <v>227.20195380477776</v>
      </c>
      <c r="I14" s="18">
        <v>75.631903825290124</v>
      </c>
      <c r="J14" s="18">
        <v>73.989888991783502</v>
      </c>
      <c r="K14" s="18">
        <v>66.287463904004809</v>
      </c>
      <c r="L14" s="18">
        <v>100.15268850475388</v>
      </c>
      <c r="M14" s="18">
        <v>77.663249372297813</v>
      </c>
      <c r="N14" s="18">
        <v>78.526576479548908</v>
      </c>
      <c r="O14" s="18">
        <v>129.83076134277457</v>
      </c>
      <c r="P14" s="18">
        <v>179.39682885313195</v>
      </c>
      <c r="Q14" s="8">
        <v>129.20398854967689</v>
      </c>
    </row>
    <row r="15" spans="2:17" ht="39.9" customHeight="1">
      <c r="B15" s="491"/>
      <c r="C15" s="28" t="s">
        <v>61</v>
      </c>
      <c r="D15" s="9">
        <f t="shared" ref="D15:Q15" si="0">D14/D13</f>
        <v>0.86740116101486364</v>
      </c>
      <c r="E15" s="9">
        <f t="shared" si="0"/>
        <v>0.87720064376982576</v>
      </c>
      <c r="F15" s="9">
        <f t="shared" si="0"/>
        <v>0.89768647046779537</v>
      </c>
      <c r="G15" s="9">
        <f t="shared" si="0"/>
        <v>0.90211256637829096</v>
      </c>
      <c r="H15" s="9">
        <f t="shared" si="0"/>
        <v>0.97871610869750425</v>
      </c>
      <c r="I15" s="9">
        <f t="shared" si="0"/>
        <v>0.90071731638969987</v>
      </c>
      <c r="J15" s="9">
        <f t="shared" si="0"/>
        <v>0.80349981533457515</v>
      </c>
      <c r="K15" s="9">
        <f t="shared" si="0"/>
        <v>0.87642529460979146</v>
      </c>
      <c r="L15" s="9">
        <f t="shared" si="0"/>
        <v>0.92053539890434866</v>
      </c>
      <c r="M15" s="9">
        <f t="shared" si="0"/>
        <v>0.95695685884002957</v>
      </c>
      <c r="N15" s="9">
        <f t="shared" si="0"/>
        <v>0.91285196525090417</v>
      </c>
      <c r="O15" s="9">
        <f t="shared" si="0"/>
        <v>0.82557032193740076</v>
      </c>
      <c r="P15" s="30">
        <f t="shared" si="0"/>
        <v>0.9283940362706764</v>
      </c>
      <c r="Q15" s="10">
        <f t="shared" si="0"/>
        <v>0.86135992366451264</v>
      </c>
    </row>
    <row r="16" spans="2:17" ht="22.8" customHeight="1">
      <c r="B16" s="492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0.16666666666666666</v>
      </c>
      <c r="H16" s="11">
        <v>0.16666666666666666</v>
      </c>
      <c r="I16" s="11">
        <v>0.25</v>
      </c>
      <c r="J16" s="11">
        <v>0.29166666666666669</v>
      </c>
      <c r="K16" s="11">
        <v>0.29166666666666669</v>
      </c>
      <c r="L16" s="11">
        <v>0.5</v>
      </c>
      <c r="M16" s="11">
        <v>0.5</v>
      </c>
      <c r="N16" s="11">
        <v>0.5</v>
      </c>
      <c r="O16" s="21">
        <v>0.45833333333333331</v>
      </c>
      <c r="P16" s="11">
        <v>0.16666666666666666</v>
      </c>
      <c r="Q16" s="31">
        <v>0.42361111111111105</v>
      </c>
    </row>
    <row r="17" spans="2:23" ht="22.8" customHeight="1">
      <c r="B17" s="493"/>
      <c r="C17" s="28" t="s">
        <v>36</v>
      </c>
      <c r="D17" s="11">
        <v>0.68958333333333321</v>
      </c>
      <c r="E17" s="11">
        <v>0.53333333333333333</v>
      </c>
      <c r="F17" s="11">
        <v>0.59930555555555554</v>
      </c>
      <c r="G17" s="11">
        <v>0.62777777777777755</v>
      </c>
      <c r="H17" s="11">
        <v>0.63055555555555542</v>
      </c>
      <c r="I17" s="11">
        <v>0.68472222222222223</v>
      </c>
      <c r="J17" s="11">
        <v>0.67500000000000004</v>
      </c>
      <c r="K17" s="11">
        <v>0.68680555555555545</v>
      </c>
      <c r="L17" s="11">
        <v>0.92222222222222205</v>
      </c>
      <c r="M17" s="11">
        <v>0.93055555555555558</v>
      </c>
      <c r="N17" s="11">
        <v>0.96388888888888857</v>
      </c>
      <c r="O17" s="21">
        <v>0.77569444444444435</v>
      </c>
      <c r="P17" s="11">
        <v>0.59375</v>
      </c>
      <c r="Q17" s="31">
        <v>0.64652777777777759</v>
      </c>
    </row>
    <row r="18" spans="2:23" ht="22.8" customHeight="1">
      <c r="B18" s="496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497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496" t="s">
        <v>16</v>
      </c>
      <c r="C20" s="32" t="s">
        <v>64</v>
      </c>
      <c r="D20" s="33" t="s">
        <v>15</v>
      </c>
      <c r="E20" s="33" t="s">
        <v>15</v>
      </c>
      <c r="F20" s="33" t="s">
        <v>15</v>
      </c>
      <c r="G20" s="33" t="s">
        <v>15</v>
      </c>
      <c r="H20" s="33" t="s">
        <v>15</v>
      </c>
      <c r="I20" s="33">
        <v>1</v>
      </c>
      <c r="J20" s="33" t="s">
        <v>15</v>
      </c>
      <c r="K20" s="33">
        <v>1</v>
      </c>
      <c r="L20" s="33" t="s">
        <v>15</v>
      </c>
      <c r="M20" s="33">
        <v>1</v>
      </c>
      <c r="N20" s="33" t="s">
        <v>15</v>
      </c>
      <c r="O20" s="33" t="s">
        <v>15</v>
      </c>
      <c r="P20" s="33" t="s">
        <v>15</v>
      </c>
      <c r="Q20" s="34"/>
    </row>
    <row r="21" spans="2:23" ht="22.8" customHeight="1">
      <c r="B21" s="497"/>
      <c r="C21" s="32" t="s">
        <v>66</v>
      </c>
      <c r="D21" s="33" t="s">
        <v>15</v>
      </c>
      <c r="E21" s="33" t="s">
        <v>15</v>
      </c>
      <c r="F21" s="33">
        <v>1</v>
      </c>
      <c r="G21" s="33" t="s">
        <v>15</v>
      </c>
      <c r="H21" s="33" t="s">
        <v>15</v>
      </c>
      <c r="I21" s="33" t="s">
        <v>15</v>
      </c>
      <c r="J21" s="33" t="s">
        <v>15</v>
      </c>
      <c r="K21" s="33" t="s">
        <v>15</v>
      </c>
      <c r="L21" s="33" t="s">
        <v>15</v>
      </c>
      <c r="M21" s="33" t="s">
        <v>15</v>
      </c>
      <c r="N21" s="33" t="s">
        <v>15</v>
      </c>
      <c r="O21" s="33">
        <v>1</v>
      </c>
      <c r="P21" s="33">
        <v>1</v>
      </c>
      <c r="Q21" s="34"/>
    </row>
    <row r="22" spans="2:23" ht="22.8" customHeight="1">
      <c r="B22" s="475" t="s">
        <v>67</v>
      </c>
      <c r="C22" s="498"/>
      <c r="D22" s="35">
        <v>17.75</v>
      </c>
      <c r="E22" s="35">
        <v>16.571428571428573</v>
      </c>
      <c r="F22" s="35">
        <v>14.333333333333334</v>
      </c>
      <c r="G22" s="35">
        <v>6</v>
      </c>
      <c r="H22" s="35">
        <v>6.5</v>
      </c>
      <c r="I22" s="35">
        <v>17.666666666666668</v>
      </c>
      <c r="J22" s="35">
        <v>17.142857142857142</v>
      </c>
      <c r="K22" s="35">
        <v>19</v>
      </c>
      <c r="L22" s="35">
        <v>15.2</v>
      </c>
      <c r="M22" s="35">
        <v>18.666666666666668</v>
      </c>
      <c r="N22" s="35">
        <v>17.444444444444443</v>
      </c>
      <c r="O22" s="35">
        <v>12.166666666666666</v>
      </c>
      <c r="P22" s="35">
        <v>11.857142857142858</v>
      </c>
      <c r="Q22" s="36">
        <v>12.4</v>
      </c>
    </row>
    <row r="23" spans="2:23" ht="22.8" customHeight="1">
      <c r="B23" s="475" t="s">
        <v>68</v>
      </c>
      <c r="C23" s="498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475" t="s">
        <v>69</v>
      </c>
      <c r="C24" s="498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477" t="s">
        <v>70</v>
      </c>
      <c r="C25" s="499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494"/>
      <c r="C27" s="495"/>
      <c r="D27" s="479" t="s">
        <v>71</v>
      </c>
      <c r="E27" s="480"/>
      <c r="F27" s="480"/>
      <c r="G27" s="480"/>
      <c r="H27" s="481"/>
      <c r="I27" s="482" t="s">
        <v>72</v>
      </c>
      <c r="J27" s="483"/>
      <c r="K27" s="483"/>
      <c r="L27" s="483"/>
      <c r="M27" s="484"/>
      <c r="N27" s="27"/>
      <c r="O27" s="27"/>
      <c r="P27" s="27"/>
      <c r="Q27" s="27"/>
    </row>
    <row r="28" spans="2:23" ht="17.25" customHeight="1">
      <c r="B28" s="485" t="s">
        <v>45</v>
      </c>
      <c r="C28" s="486"/>
      <c r="D28" s="37">
        <v>1</v>
      </c>
      <c r="E28" s="408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487"/>
      <c r="C29" s="488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489" t="s">
        <v>35</v>
      </c>
      <c r="C30" s="41" t="s">
        <v>59</v>
      </c>
      <c r="D30" s="19">
        <v>216.21621621621622</v>
      </c>
      <c r="E30" s="410">
        <v>942.85714285714289</v>
      </c>
      <c r="F30" s="18">
        <v>860.86956521739125</v>
      </c>
      <c r="G30" s="18">
        <v>939.13043478260863</v>
      </c>
      <c r="H30" s="409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490"/>
      <c r="C31" s="41" t="s">
        <v>60</v>
      </c>
      <c r="D31" s="43">
        <v>172.80351479678527</v>
      </c>
      <c r="E31" s="7">
        <v>852.48679551933583</v>
      </c>
      <c r="F31" s="7">
        <v>778.12503113055902</v>
      </c>
      <c r="G31" s="7">
        <v>885.13986928104725</v>
      </c>
      <c r="H31" s="409">
        <v>1044.4388081842965</v>
      </c>
      <c r="I31" s="403">
        <v>0</v>
      </c>
      <c r="J31" s="7">
        <v>731.33333333333314</v>
      </c>
      <c r="K31" s="7">
        <v>807.45454545454663</v>
      </c>
      <c r="L31" s="7">
        <v>835.16336225547161</v>
      </c>
      <c r="M31" s="8">
        <v>941.03631101980227</v>
      </c>
      <c r="N31" s="27"/>
      <c r="O31" s="27"/>
      <c r="P31" s="27"/>
      <c r="Q31" s="27"/>
    </row>
    <row r="32" spans="2:23" ht="39.9" customHeight="1">
      <c r="B32" s="491"/>
      <c r="C32" s="407" t="s">
        <v>61</v>
      </c>
      <c r="D32" s="44">
        <f t="shared" ref="D32:M32" si="1">D31/D30</f>
        <v>0.79921625593513179</v>
      </c>
      <c r="E32" s="9">
        <f t="shared" si="1"/>
        <v>0.9041526619144471</v>
      </c>
      <c r="F32" s="9">
        <f t="shared" si="1"/>
        <v>0.90388261191933628</v>
      </c>
      <c r="G32" s="9">
        <f t="shared" si="1"/>
        <v>0.9425100459937078</v>
      </c>
      <c r="H32" s="9">
        <f t="shared" si="1"/>
        <v>0.91181165793867147</v>
      </c>
      <c r="I32" s="43">
        <f t="shared" si="1"/>
        <v>0</v>
      </c>
      <c r="J32" s="9">
        <f t="shared" si="1"/>
        <v>0.77565656565656538</v>
      </c>
      <c r="K32" s="9">
        <f t="shared" si="1"/>
        <v>0.85639118457300401</v>
      </c>
      <c r="L32" s="9">
        <f t="shared" si="1"/>
        <v>0.83516336225547161</v>
      </c>
      <c r="M32" s="10">
        <f t="shared" si="1"/>
        <v>0.82776342173038164</v>
      </c>
      <c r="N32" s="27"/>
      <c r="O32" s="27"/>
      <c r="P32" s="27"/>
      <c r="Q32" s="27"/>
    </row>
    <row r="33" spans="2:17" ht="28.8" customHeight="1">
      <c r="B33" s="492" t="s">
        <v>62</v>
      </c>
      <c r="C33" s="407" t="s">
        <v>63</v>
      </c>
      <c r="D33" s="45">
        <v>0.17013888888888887</v>
      </c>
      <c r="E33" s="11">
        <v>0.17361111111111113</v>
      </c>
      <c r="F33" s="11">
        <v>0.18055555555555555</v>
      </c>
      <c r="G33" s="11">
        <v>3223.2000000000062</v>
      </c>
      <c r="H33" s="31">
        <v>0.17708333333333334</v>
      </c>
      <c r="I33" s="45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493"/>
      <c r="C34" s="407" t="s">
        <v>36</v>
      </c>
      <c r="D34" s="45">
        <v>0.42013888888888884</v>
      </c>
      <c r="E34" s="11">
        <v>0.38750000000000001</v>
      </c>
      <c r="F34" s="11">
        <v>0.3034722222222222</v>
      </c>
      <c r="G34" s="11">
        <v>1108.3333333333337</v>
      </c>
      <c r="H34" s="31">
        <v>0.4680555555555555</v>
      </c>
      <c r="I34" s="22">
        <v>0</v>
      </c>
      <c r="J34" s="11">
        <v>0.79583333333333339</v>
      </c>
      <c r="K34" s="11">
        <v>0.92569444444444438</v>
      </c>
      <c r="L34" s="11">
        <v>0.97916666666666663</v>
      </c>
      <c r="M34" s="12">
        <v>46297.090277777781</v>
      </c>
      <c r="N34" s="27"/>
      <c r="O34" s="27"/>
      <c r="P34" s="27"/>
      <c r="Q34" s="27"/>
    </row>
    <row r="35" spans="2:17" ht="28.8" customHeight="1">
      <c r="B35" s="475" t="s">
        <v>67</v>
      </c>
      <c r="C35" s="476"/>
      <c r="D35" s="46">
        <v>9.25</v>
      </c>
      <c r="E35" s="47">
        <v>3.5</v>
      </c>
      <c r="F35" s="47">
        <v>3.8333333333333335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475" t="s">
        <v>68</v>
      </c>
      <c r="C36" s="476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475" t="s">
        <v>69</v>
      </c>
      <c r="C37" s="476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477" t="s">
        <v>70</v>
      </c>
      <c r="C38" s="478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115" priority="1" operator="lessThan">
      <formula>0.8</formula>
    </cfRule>
  </conditionalFormatting>
  <conditionalFormatting sqref="D15:Q15">
    <cfRule type="cellIs" dxfId="114" priority="3" operator="lessThan">
      <formula>0.8</formula>
    </cfRule>
  </conditionalFormatting>
  <conditionalFormatting sqref="J32:M32">
    <cfRule type="cellIs" dxfId="113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I9" sqref="I9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197</v>
      </c>
      <c r="B1" s="320"/>
      <c r="C1" s="321"/>
      <c r="D1" s="322" t="s">
        <v>198</v>
      </c>
      <c r="E1" s="323">
        <f>SUM(G5:G124)</f>
        <v>109349.4</v>
      </c>
      <c r="F1" s="324" t="s">
        <v>3</v>
      </c>
      <c r="G1" s="325">
        <f>SUM(H5:H124)</f>
        <v>1970794.0614285714</v>
      </c>
      <c r="H1" s="326" t="s">
        <v>199</v>
      </c>
      <c r="I1" s="327">
        <f>+J16+J64+J24+J38+J51+J81+J100+J91+J57+J124+J111</f>
        <v>50.583333333333336</v>
      </c>
      <c r="J1" s="592" t="s">
        <v>200</v>
      </c>
      <c r="K1" s="593"/>
      <c r="L1" s="594"/>
      <c r="M1" s="592" t="s">
        <v>201</v>
      </c>
      <c r="N1" s="593"/>
      <c r="O1" s="593"/>
      <c r="P1" s="593"/>
      <c r="Q1" s="593"/>
      <c r="R1" s="594"/>
    </row>
    <row r="2" spans="1:18" ht="26.25" customHeight="1" thickBot="1">
      <c r="A2" s="598" t="s">
        <v>202</v>
      </c>
      <c r="B2" s="599"/>
      <c r="C2" s="329"/>
      <c r="D2" s="417" t="s">
        <v>203</v>
      </c>
      <c r="E2" s="330">
        <f>AVERAGE(L16,L24,L38,L51,L100,L111,L91)</f>
        <v>615.22436729138701</v>
      </c>
      <c r="F2" s="331" t="s">
        <v>80</v>
      </c>
      <c r="G2" s="332">
        <f>G1/E1</f>
        <v>18.022906951739756</v>
      </c>
      <c r="H2" s="333" t="s">
        <v>204</v>
      </c>
      <c r="I2" s="334">
        <f>COUNT(I5:I124)</f>
        <v>0</v>
      </c>
      <c r="J2" s="595"/>
      <c r="K2" s="596"/>
      <c r="L2" s="597"/>
      <c r="M2" s="595"/>
      <c r="N2" s="596"/>
      <c r="O2" s="596"/>
      <c r="P2" s="596"/>
      <c r="Q2" s="596"/>
      <c r="R2" s="597"/>
    </row>
    <row r="3" spans="1:18" ht="23.25" customHeight="1">
      <c r="A3" s="600" t="s">
        <v>205</v>
      </c>
      <c r="B3" s="602" t="s">
        <v>206</v>
      </c>
      <c r="C3" s="419"/>
      <c r="D3" s="603" t="s">
        <v>207</v>
      </c>
      <c r="E3" s="603"/>
      <c r="F3" s="604" t="s">
        <v>83</v>
      </c>
      <c r="G3" s="605" t="s">
        <v>208</v>
      </c>
      <c r="H3" s="606" t="s">
        <v>209</v>
      </c>
      <c r="I3" s="607" t="s">
        <v>210</v>
      </c>
      <c r="J3" s="580" t="s">
        <v>211</v>
      </c>
      <c r="K3" s="582" t="s">
        <v>212</v>
      </c>
      <c r="L3" s="584" t="s">
        <v>203</v>
      </c>
      <c r="M3" s="609" t="s">
        <v>88</v>
      </c>
      <c r="N3" s="609"/>
      <c r="O3" s="580" t="s">
        <v>168</v>
      </c>
      <c r="P3" s="610" t="s">
        <v>213</v>
      </c>
      <c r="Q3" s="580" t="s">
        <v>214</v>
      </c>
      <c r="R3" s="580"/>
    </row>
    <row r="4" spans="1:18" ht="15.75" customHeight="1">
      <c r="A4" s="601"/>
      <c r="B4" s="602"/>
      <c r="C4" s="419"/>
      <c r="D4" s="603"/>
      <c r="E4" s="603"/>
      <c r="F4" s="604"/>
      <c r="G4" s="605"/>
      <c r="H4" s="606"/>
      <c r="I4" s="608"/>
      <c r="J4" s="581"/>
      <c r="K4" s="583"/>
      <c r="L4" s="585"/>
      <c r="M4" s="423" t="s">
        <v>90</v>
      </c>
      <c r="N4" s="423" t="s">
        <v>91</v>
      </c>
      <c r="O4" s="581"/>
      <c r="P4" s="611"/>
      <c r="Q4" s="335" t="s">
        <v>215</v>
      </c>
      <c r="R4" s="335" t="s">
        <v>216</v>
      </c>
    </row>
    <row r="5" spans="1:18">
      <c r="A5" s="586" t="s">
        <v>217</v>
      </c>
      <c r="B5" s="336" t="s">
        <v>189</v>
      </c>
      <c r="C5" s="336"/>
      <c r="D5" s="337" t="s">
        <v>170</v>
      </c>
      <c r="E5" s="338"/>
      <c r="F5" s="339">
        <v>29.85</v>
      </c>
      <c r="G5" s="415">
        <v>319.40000000000003</v>
      </c>
      <c r="H5" s="340">
        <f>F5*G5</f>
        <v>9534.090000000002</v>
      </c>
      <c r="I5" s="421"/>
      <c r="J5" s="341">
        <v>10</v>
      </c>
      <c r="K5" s="342">
        <f t="shared" ref="K5:K9" si="0">G5/P5*60</f>
        <v>1742.1818181818246</v>
      </c>
      <c r="L5" s="343">
        <f t="shared" ref="L5:L9" si="1">K5/J5</f>
        <v>174.21818181818247</v>
      </c>
      <c r="M5" s="344">
        <v>0.42361111111111105</v>
      </c>
      <c r="N5" s="344">
        <v>0.43124999999999991</v>
      </c>
      <c r="O5" s="335">
        <v>5</v>
      </c>
      <c r="P5" s="424">
        <f t="shared" ref="P5:P9" si="2">(N5-M5)*24*60</f>
        <v>10.999999999999961</v>
      </c>
      <c r="Q5" s="345"/>
      <c r="R5" s="345"/>
    </row>
    <row r="6" spans="1:18">
      <c r="A6" s="586"/>
      <c r="B6" s="336" t="s">
        <v>189</v>
      </c>
      <c r="C6" s="336"/>
      <c r="D6" s="337" t="s">
        <v>171</v>
      </c>
      <c r="E6" s="338"/>
      <c r="F6" s="339">
        <v>29.52</v>
      </c>
      <c r="G6" s="415">
        <v>278</v>
      </c>
      <c r="H6" s="340">
        <f t="shared" ref="H6:H15" si="3">F6*G6</f>
        <v>8206.56</v>
      </c>
      <c r="I6" s="421"/>
      <c r="J6" s="341">
        <v>13</v>
      </c>
      <c r="K6" s="342">
        <f t="shared" si="0"/>
        <v>1853.3333333333399</v>
      </c>
      <c r="L6" s="343">
        <f t="shared" si="1"/>
        <v>142.56410256410305</v>
      </c>
      <c r="M6" s="344">
        <v>0.43472222222222212</v>
      </c>
      <c r="N6" s="344">
        <v>0.4409722222222221</v>
      </c>
      <c r="O6" s="335">
        <v>5</v>
      </c>
      <c r="P6" s="424">
        <f t="shared" si="2"/>
        <v>8.999999999999968</v>
      </c>
      <c r="Q6" s="335"/>
      <c r="R6" s="335"/>
    </row>
    <row r="7" spans="1:18">
      <c r="A7" s="586"/>
      <c r="B7" s="336" t="s">
        <v>189</v>
      </c>
      <c r="C7" s="336"/>
      <c r="D7" s="337" t="s">
        <v>194</v>
      </c>
      <c r="E7" s="338"/>
      <c r="F7" s="339">
        <v>30</v>
      </c>
      <c r="G7" s="415">
        <v>377</v>
      </c>
      <c r="H7" s="340">
        <f t="shared" si="3"/>
        <v>11310</v>
      </c>
      <c r="I7" s="421"/>
      <c r="J7" s="341">
        <v>13</v>
      </c>
      <c r="K7" s="342">
        <f t="shared" si="0"/>
        <v>807.85714285714346</v>
      </c>
      <c r="L7" s="343">
        <f t="shared" si="1"/>
        <v>62.142857142857189</v>
      </c>
      <c r="M7" s="344">
        <v>0.44652777777777763</v>
      </c>
      <c r="N7" s="344">
        <v>0.46597222222222207</v>
      </c>
      <c r="O7" s="335">
        <v>5</v>
      </c>
      <c r="P7" s="424">
        <f t="shared" si="2"/>
        <v>27.999999999999979</v>
      </c>
      <c r="Q7" s="345"/>
      <c r="R7" s="345"/>
    </row>
    <row r="8" spans="1:18">
      <c r="A8" s="586"/>
      <c r="B8" s="336" t="s">
        <v>189</v>
      </c>
      <c r="C8" s="336"/>
      <c r="D8" s="337" t="s">
        <v>171</v>
      </c>
      <c r="E8" s="338"/>
      <c r="F8" s="339">
        <v>29.52</v>
      </c>
      <c r="G8" s="415">
        <v>2780</v>
      </c>
      <c r="H8" s="340">
        <f t="shared" si="3"/>
        <v>82065.600000000006</v>
      </c>
      <c r="I8" s="421"/>
      <c r="J8" s="341">
        <v>13</v>
      </c>
      <c r="K8" s="342">
        <f t="shared" si="0"/>
        <v>1853.3333333333333</v>
      </c>
      <c r="L8" s="343">
        <f t="shared" si="1"/>
        <v>142.56410256410257</v>
      </c>
      <c r="M8" s="344">
        <v>0.50416666666666654</v>
      </c>
      <c r="N8" s="344">
        <v>0.56666666666666654</v>
      </c>
      <c r="O8" s="335">
        <v>5</v>
      </c>
      <c r="P8" s="424">
        <f t="shared" si="2"/>
        <v>90</v>
      </c>
      <c r="Q8" s="345"/>
      <c r="R8" s="345"/>
    </row>
    <row r="9" spans="1:18">
      <c r="A9" s="586"/>
      <c r="B9" s="336" t="s">
        <v>189</v>
      </c>
      <c r="C9" s="336"/>
      <c r="D9" s="337" t="s">
        <v>195</v>
      </c>
      <c r="E9" s="338"/>
      <c r="F9" s="339">
        <v>30.95</v>
      </c>
      <c r="G9" s="416">
        <v>2941</v>
      </c>
      <c r="H9" s="340">
        <f t="shared" si="3"/>
        <v>91023.95</v>
      </c>
      <c r="I9" s="421"/>
      <c r="J9" s="341">
        <v>13</v>
      </c>
      <c r="K9" s="342">
        <f t="shared" si="0"/>
        <v>1618.8990825688084</v>
      </c>
      <c r="L9" s="343">
        <f t="shared" si="1"/>
        <v>124.53069865913911</v>
      </c>
      <c r="M9" s="344">
        <v>0.57083333333333319</v>
      </c>
      <c r="N9" s="344">
        <v>0.64652777777777759</v>
      </c>
      <c r="O9" s="335">
        <v>5</v>
      </c>
      <c r="P9" s="424">
        <f t="shared" si="2"/>
        <v>108.99999999999993</v>
      </c>
      <c r="Q9" s="345"/>
      <c r="R9" s="345"/>
    </row>
    <row r="10" spans="1:18">
      <c r="A10" s="586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421"/>
      <c r="J10" s="341"/>
      <c r="K10" s="342"/>
      <c r="L10" s="343"/>
      <c r="M10" s="344"/>
      <c r="N10" s="344"/>
      <c r="O10" s="335"/>
      <c r="P10" s="424"/>
      <c r="Q10" s="345"/>
      <c r="R10" s="345"/>
    </row>
    <row r="11" spans="1:18">
      <c r="A11" s="586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421"/>
      <c r="J11" s="341"/>
      <c r="K11" s="342"/>
      <c r="L11" s="343"/>
      <c r="M11" s="344"/>
      <c r="N11" s="344"/>
      <c r="O11" s="335"/>
      <c r="P11" s="424"/>
      <c r="Q11" s="345"/>
      <c r="R11" s="345"/>
    </row>
    <row r="12" spans="1:18">
      <c r="A12" s="587"/>
      <c r="B12" s="336">
        <v>0</v>
      </c>
      <c r="C12" s="420"/>
      <c r="D12" s="337"/>
      <c r="E12" s="338"/>
      <c r="F12" s="339" t="s">
        <v>161</v>
      </c>
      <c r="G12" s="418"/>
      <c r="H12" s="340">
        <f t="shared" si="3"/>
        <v>0</v>
      </c>
      <c r="I12" s="421"/>
      <c r="J12" s="341"/>
      <c r="K12" s="342"/>
      <c r="L12" s="343"/>
      <c r="M12" s="344"/>
      <c r="N12" s="344"/>
      <c r="O12" s="335"/>
      <c r="P12" s="424"/>
      <c r="Q12" s="345"/>
      <c r="R12" s="335"/>
    </row>
    <row r="13" spans="1:18">
      <c r="A13" s="587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421"/>
      <c r="J13" s="341"/>
      <c r="K13" s="342"/>
      <c r="L13" s="343"/>
      <c r="M13" s="344"/>
      <c r="N13" s="344"/>
      <c r="O13" s="335"/>
      <c r="P13" s="424"/>
      <c r="Q13" s="335"/>
      <c r="R13" s="335"/>
    </row>
    <row r="14" spans="1:18">
      <c r="A14" s="587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421"/>
      <c r="J14" s="341"/>
      <c r="K14" s="342"/>
      <c r="L14" s="343"/>
      <c r="M14" s="344"/>
      <c r="N14" s="344"/>
      <c r="O14" s="335"/>
      <c r="P14" s="424"/>
      <c r="Q14" s="335"/>
      <c r="R14" s="335"/>
    </row>
    <row r="15" spans="1:18">
      <c r="A15" s="587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421"/>
      <c r="J15" s="341"/>
      <c r="K15" s="342"/>
      <c r="L15" s="343"/>
      <c r="M15" s="344"/>
      <c r="N15" s="344"/>
      <c r="O15" s="335"/>
      <c r="P15" s="424"/>
      <c r="Q15" s="335"/>
      <c r="R15" s="335"/>
    </row>
    <row r="16" spans="1:18" ht="15.75" customHeight="1">
      <c r="A16" s="588"/>
      <c r="B16" s="336">
        <v>0</v>
      </c>
      <c r="C16" s="349" t="s">
        <v>218</v>
      </c>
      <c r="D16" s="571" t="s">
        <v>219</v>
      </c>
      <c r="E16" s="571"/>
      <c r="F16" s="350"/>
      <c r="G16" s="351"/>
      <c r="H16" s="352"/>
      <c r="I16" s="353"/>
      <c r="J16" s="354">
        <f>AVERAGE(J5:J15)</f>
        <v>12.4</v>
      </c>
      <c r="K16" s="354">
        <f>AVERAGE(K5:K15)</f>
        <v>1575.1209420548898</v>
      </c>
      <c r="L16" s="355">
        <f>AVERAGE(L5:L15)</f>
        <v>129.20398854967689</v>
      </c>
      <c r="M16" s="344"/>
      <c r="N16" s="344"/>
      <c r="O16" s="342"/>
      <c r="P16" s="342"/>
      <c r="Q16" s="343"/>
      <c r="R16" s="343"/>
    </row>
    <row r="17" spans="1:18" ht="15.75" customHeight="1">
      <c r="A17" s="589" t="s">
        <v>220</v>
      </c>
      <c r="B17" s="336">
        <v>0</v>
      </c>
      <c r="C17" s="420"/>
      <c r="D17" s="337" t="s">
        <v>173</v>
      </c>
      <c r="E17" s="337"/>
      <c r="F17" s="339" t="s">
        <v>161</v>
      </c>
      <c r="G17" s="419">
        <v>2780</v>
      </c>
      <c r="H17" s="356">
        <f t="shared" ref="H17:H23" si="4">F17*G17</f>
        <v>0</v>
      </c>
      <c r="I17" s="357"/>
      <c r="J17" s="341">
        <v>9</v>
      </c>
      <c r="K17" s="342">
        <f t="shared" ref="K17:K20" si="5">G17/P17*60</f>
        <v>1619.4174757281553</v>
      </c>
      <c r="L17" s="343">
        <f>K17/J17</f>
        <v>179.93527508090614</v>
      </c>
      <c r="M17" s="344">
        <v>0.17013888888888887</v>
      </c>
      <c r="N17" s="344">
        <v>0.24166666666666664</v>
      </c>
      <c r="O17" s="335">
        <v>5</v>
      </c>
      <c r="P17" s="424">
        <f>(N17-M17)*24*60</f>
        <v>103</v>
      </c>
      <c r="Q17" s="335"/>
      <c r="R17" s="335"/>
    </row>
    <row r="18" spans="1:18" ht="15.75" customHeight="1">
      <c r="A18" s="589"/>
      <c r="B18" s="336">
        <v>0</v>
      </c>
      <c r="C18" s="420"/>
      <c r="D18" s="337" t="s">
        <v>172</v>
      </c>
      <c r="E18" s="337"/>
      <c r="F18" s="339" t="s">
        <v>161</v>
      </c>
      <c r="G18" s="418">
        <v>3194</v>
      </c>
      <c r="H18" s="340">
        <f t="shared" si="4"/>
        <v>0</v>
      </c>
      <c r="I18" s="421"/>
      <c r="J18" s="341">
        <v>9</v>
      </c>
      <c r="K18" s="342">
        <f t="shared" si="5"/>
        <v>1610.4201680672275</v>
      </c>
      <c r="L18" s="343">
        <f t="shared" ref="L18" si="6">K18/J18</f>
        <v>178.93557422969195</v>
      </c>
      <c r="M18" s="344">
        <v>0.24513888888888885</v>
      </c>
      <c r="N18" s="344">
        <v>0.32777777777777772</v>
      </c>
      <c r="O18" s="335">
        <v>5</v>
      </c>
      <c r="P18" s="424">
        <f t="shared" ref="P18:P20" si="7">(N18-M18)*24*60</f>
        <v>118.99999999999997</v>
      </c>
      <c r="Q18" s="345"/>
      <c r="R18" s="345"/>
    </row>
    <row r="19" spans="1:18" ht="15.75" customHeight="1">
      <c r="A19" s="589"/>
      <c r="B19" s="336">
        <v>0</v>
      </c>
      <c r="C19" s="420"/>
      <c r="D19" s="337" t="s">
        <v>221</v>
      </c>
      <c r="E19" s="337"/>
      <c r="F19" s="339" t="s">
        <v>161</v>
      </c>
      <c r="G19" s="418">
        <v>377</v>
      </c>
      <c r="H19" s="340">
        <f t="shared" si="4"/>
        <v>0</v>
      </c>
      <c r="I19" s="421"/>
      <c r="J19" s="341">
        <v>10</v>
      </c>
      <c r="K19" s="342">
        <f t="shared" si="5"/>
        <v>1507.9999999999975</v>
      </c>
      <c r="L19" s="343">
        <f>K19/J19</f>
        <v>150.79999999999976</v>
      </c>
      <c r="M19" s="344">
        <v>0.33124999999999993</v>
      </c>
      <c r="N19" s="344">
        <v>0.34166666666666662</v>
      </c>
      <c r="O19" s="335">
        <v>5</v>
      </c>
      <c r="P19" s="424">
        <f t="shared" si="7"/>
        <v>15.000000000000027</v>
      </c>
      <c r="Q19" s="345"/>
      <c r="R19" s="345"/>
    </row>
    <row r="20" spans="1:18" ht="15.75" customHeight="1">
      <c r="A20" s="590"/>
      <c r="B20" s="336">
        <v>0</v>
      </c>
      <c r="C20" s="420"/>
      <c r="D20" s="337" t="s">
        <v>222</v>
      </c>
      <c r="E20" s="337"/>
      <c r="F20" s="339" t="s">
        <v>161</v>
      </c>
      <c r="G20" s="418">
        <v>2941</v>
      </c>
      <c r="H20" s="340">
        <f t="shared" si="4"/>
        <v>0</v>
      </c>
      <c r="I20" s="421"/>
      <c r="J20" s="341">
        <v>9</v>
      </c>
      <c r="K20" s="342">
        <f t="shared" si="5"/>
        <v>1633.8888888888887</v>
      </c>
      <c r="L20" s="343">
        <f t="shared" ref="L20" si="8">K20/J20</f>
        <v>181.54320987654319</v>
      </c>
      <c r="M20" s="344">
        <v>0.34513888888888883</v>
      </c>
      <c r="N20" s="344">
        <v>0.42013888888888884</v>
      </c>
      <c r="O20" s="335">
        <v>5</v>
      </c>
      <c r="P20" s="424">
        <f t="shared" si="7"/>
        <v>108.00000000000001</v>
      </c>
      <c r="Q20" s="345"/>
      <c r="R20" s="345"/>
    </row>
    <row r="21" spans="1:18" ht="15.75" customHeight="1">
      <c r="A21" s="590"/>
      <c r="B21" s="336">
        <v>0</v>
      </c>
      <c r="C21" s="420"/>
      <c r="D21" s="337"/>
      <c r="E21" s="337"/>
      <c r="F21" s="339" t="s">
        <v>161</v>
      </c>
      <c r="G21" s="418"/>
      <c r="H21" s="340">
        <f t="shared" si="4"/>
        <v>0</v>
      </c>
      <c r="I21" s="421"/>
      <c r="J21" s="341"/>
      <c r="K21" s="342"/>
      <c r="L21" s="343"/>
      <c r="M21" s="344"/>
      <c r="N21" s="344"/>
      <c r="O21" s="335"/>
      <c r="P21" s="424"/>
      <c r="Q21" s="345"/>
      <c r="R21" s="345"/>
    </row>
    <row r="22" spans="1:18" ht="15.75" customHeight="1">
      <c r="A22" s="590"/>
      <c r="B22" s="336">
        <v>0</v>
      </c>
      <c r="C22" s="420"/>
      <c r="D22" s="337"/>
      <c r="E22" s="338"/>
      <c r="F22" s="339" t="s">
        <v>161</v>
      </c>
      <c r="G22" s="418"/>
      <c r="H22" s="340">
        <f t="shared" si="4"/>
        <v>0</v>
      </c>
      <c r="I22" s="421"/>
      <c r="J22" s="341"/>
      <c r="K22" s="342"/>
      <c r="L22" s="343"/>
      <c r="M22" s="344"/>
      <c r="N22" s="344"/>
      <c r="O22" s="335"/>
      <c r="P22" s="424"/>
      <c r="Q22" s="335"/>
      <c r="R22" s="335"/>
    </row>
    <row r="23" spans="1:18" ht="15.75" customHeight="1">
      <c r="A23" s="590"/>
      <c r="B23" s="336">
        <v>0</v>
      </c>
      <c r="C23" s="420"/>
      <c r="D23" s="337"/>
      <c r="E23" s="338"/>
      <c r="F23" s="339" t="s">
        <v>161</v>
      </c>
      <c r="G23" s="418"/>
      <c r="H23" s="340">
        <f t="shared" si="4"/>
        <v>0</v>
      </c>
      <c r="I23" s="421"/>
      <c r="J23" s="341"/>
      <c r="K23" s="342"/>
      <c r="L23" s="343"/>
      <c r="M23" s="344"/>
      <c r="N23" s="344"/>
      <c r="O23" s="335"/>
      <c r="P23" s="424"/>
      <c r="Q23" s="335"/>
      <c r="R23" s="335"/>
    </row>
    <row r="24" spans="1:18" ht="17.399999999999999" customHeight="1">
      <c r="A24" s="591"/>
      <c r="B24" s="336">
        <v>0</v>
      </c>
      <c r="C24" s="204" t="s">
        <v>223</v>
      </c>
      <c r="D24" s="571" t="s">
        <v>219</v>
      </c>
      <c r="E24" s="571"/>
      <c r="F24" s="350"/>
      <c r="G24" s="358"/>
      <c r="H24" s="352"/>
      <c r="I24" s="353"/>
      <c r="J24" s="354">
        <f>AVERAGE(J17:J23)</f>
        <v>9.25</v>
      </c>
      <c r="K24" s="354">
        <f>AVERAGE(K17:K23)</f>
        <v>1592.9316331710672</v>
      </c>
      <c r="L24" s="355">
        <f>AVERAGE(L17:L23)</f>
        <v>172.80351479678527</v>
      </c>
      <c r="M24" s="344"/>
      <c r="N24" s="344"/>
      <c r="O24" s="335"/>
      <c r="P24" s="335"/>
      <c r="Q24" s="335"/>
      <c r="R24" s="335"/>
    </row>
    <row r="25" spans="1:18">
      <c r="A25" s="578" t="s">
        <v>224</v>
      </c>
      <c r="B25" s="336" t="s">
        <v>165</v>
      </c>
      <c r="C25" s="359"/>
      <c r="D25" s="360" t="s">
        <v>174</v>
      </c>
      <c r="E25" s="361"/>
      <c r="F25" s="339">
        <v>18.53</v>
      </c>
      <c r="G25" s="419">
        <v>2061</v>
      </c>
      <c r="H25" s="340">
        <f t="shared" ref="H25:H37" si="9">F25*G25</f>
        <v>38190.33</v>
      </c>
      <c r="I25" s="421"/>
      <c r="J25" s="341">
        <v>3</v>
      </c>
      <c r="K25" s="342">
        <f t="shared" ref="K25:K30" si="10">G25/P25*60</f>
        <v>2875.8139534883767</v>
      </c>
      <c r="L25" s="343">
        <f t="shared" ref="L25:L30" si="11">K25/J25</f>
        <v>958.60465116279227</v>
      </c>
      <c r="M25" s="344">
        <v>0.17361111111111113</v>
      </c>
      <c r="N25" s="344">
        <v>0.20347222222222219</v>
      </c>
      <c r="O25" s="335">
        <v>10</v>
      </c>
      <c r="P25" s="424">
        <f>(N25-M25)*24*60</f>
        <v>42.999999999999929</v>
      </c>
      <c r="Q25" s="345"/>
      <c r="R25" s="345"/>
    </row>
    <row r="26" spans="1:18">
      <c r="A26" s="578"/>
      <c r="B26" s="336" t="s">
        <v>165</v>
      </c>
      <c r="C26" s="359"/>
      <c r="D26" s="337" t="s">
        <v>225</v>
      </c>
      <c r="E26" s="362"/>
      <c r="F26" s="339">
        <v>18.18</v>
      </c>
      <c r="G26" s="419">
        <v>3021</v>
      </c>
      <c r="H26" s="340">
        <f t="shared" si="9"/>
        <v>54921.78</v>
      </c>
      <c r="I26" s="421"/>
      <c r="J26" s="341">
        <v>4</v>
      </c>
      <c r="K26" s="342">
        <f t="shared" si="10"/>
        <v>2923.5483870967732</v>
      </c>
      <c r="L26" s="343">
        <f t="shared" si="11"/>
        <v>730.88709677419331</v>
      </c>
      <c r="M26" s="344">
        <v>0.21736111111111112</v>
      </c>
      <c r="N26" s="344">
        <v>0.26041666666666669</v>
      </c>
      <c r="O26" s="335">
        <v>20</v>
      </c>
      <c r="P26" s="424">
        <f>(N26-M26)*24*60</f>
        <v>62.000000000000021</v>
      </c>
      <c r="Q26" s="345"/>
      <c r="R26" s="345"/>
    </row>
    <row r="27" spans="1:18">
      <c r="A27" s="578"/>
      <c r="B27" s="336" t="s">
        <v>189</v>
      </c>
      <c r="C27" s="359"/>
      <c r="D27" s="360" t="s">
        <v>226</v>
      </c>
      <c r="E27" s="362"/>
      <c r="F27" s="339">
        <v>22.32</v>
      </c>
      <c r="G27" s="419">
        <v>1873</v>
      </c>
      <c r="H27" s="340">
        <f t="shared" si="9"/>
        <v>41805.360000000001</v>
      </c>
      <c r="I27" s="421"/>
      <c r="J27" s="341">
        <v>4</v>
      </c>
      <c r="K27" s="342">
        <f t="shared" si="10"/>
        <v>3037.2972972972952</v>
      </c>
      <c r="L27" s="343">
        <f t="shared" si="11"/>
        <v>759.32432432432381</v>
      </c>
      <c r="M27" s="344">
        <v>0.27083333333333331</v>
      </c>
      <c r="N27" s="344">
        <v>0.29652777777777778</v>
      </c>
      <c r="O27" s="335">
        <v>15</v>
      </c>
      <c r="P27" s="424">
        <f t="shared" ref="P27:P30" si="12">(N27-M27)*24*60</f>
        <v>37.000000000000028</v>
      </c>
      <c r="Q27" s="345"/>
      <c r="R27" s="345"/>
    </row>
    <row r="28" spans="1:18">
      <c r="A28" s="578"/>
      <c r="B28" s="336" t="s">
        <v>165</v>
      </c>
      <c r="C28" s="420"/>
      <c r="D28" s="361" t="s">
        <v>227</v>
      </c>
      <c r="E28" s="362"/>
      <c r="F28" s="339">
        <v>17.890909090909091</v>
      </c>
      <c r="G28" s="419">
        <v>2353</v>
      </c>
      <c r="H28" s="340">
        <f t="shared" si="9"/>
        <v>42097.30909090909</v>
      </c>
      <c r="I28" s="421"/>
      <c r="J28" s="341">
        <v>3</v>
      </c>
      <c r="K28" s="342">
        <f t="shared" si="10"/>
        <v>3137.3333333333385</v>
      </c>
      <c r="L28" s="343">
        <f t="shared" si="11"/>
        <v>1045.7777777777794</v>
      </c>
      <c r="M28" s="344">
        <v>0.30902777777777779</v>
      </c>
      <c r="N28" s="344">
        <v>0.34027777777777773</v>
      </c>
      <c r="O28" s="335">
        <v>18</v>
      </c>
      <c r="P28" s="424">
        <f t="shared" si="12"/>
        <v>44.999999999999922</v>
      </c>
      <c r="Q28" s="345"/>
      <c r="R28" s="345"/>
    </row>
    <row r="29" spans="1:18">
      <c r="A29" s="578"/>
      <c r="B29" s="336" t="s">
        <v>189</v>
      </c>
      <c r="C29" s="419"/>
      <c r="D29" s="337" t="s">
        <v>175</v>
      </c>
      <c r="E29" s="362"/>
      <c r="F29" s="339">
        <v>18.77</v>
      </c>
      <c r="G29" s="419">
        <v>823</v>
      </c>
      <c r="H29" s="340">
        <f t="shared" si="9"/>
        <v>15447.71</v>
      </c>
      <c r="I29" s="421"/>
      <c r="J29" s="341">
        <v>4</v>
      </c>
      <c r="K29" s="342">
        <f t="shared" si="10"/>
        <v>2468.9999999999991</v>
      </c>
      <c r="L29" s="343">
        <f t="shared" si="11"/>
        <v>617.24999999999977</v>
      </c>
      <c r="M29" s="344">
        <v>0.35069444444444442</v>
      </c>
      <c r="N29" s="344">
        <v>0.36458333333333331</v>
      </c>
      <c r="O29" s="335">
        <v>15</v>
      </c>
      <c r="P29" s="424">
        <f t="shared" si="12"/>
        <v>20.000000000000007</v>
      </c>
      <c r="Q29" s="345"/>
      <c r="R29" s="345"/>
    </row>
    <row r="30" spans="1:18">
      <c r="A30" s="578"/>
      <c r="B30" s="336" t="s">
        <v>165</v>
      </c>
      <c r="C30" s="419"/>
      <c r="D30" s="360" t="s">
        <v>228</v>
      </c>
      <c r="E30" s="362"/>
      <c r="F30" s="339">
        <v>24.93</v>
      </c>
      <c r="G30" s="419">
        <v>652</v>
      </c>
      <c r="H30" s="340">
        <f t="shared" si="9"/>
        <v>16254.36</v>
      </c>
      <c r="I30" s="421"/>
      <c r="J30" s="341">
        <v>3</v>
      </c>
      <c r="K30" s="342">
        <f t="shared" si="10"/>
        <v>3009.23076923078</v>
      </c>
      <c r="L30" s="343">
        <f t="shared" si="11"/>
        <v>1003.0769230769266</v>
      </c>
      <c r="M30" s="344">
        <v>0.37847222222222227</v>
      </c>
      <c r="N30" s="344">
        <v>0.38750000000000001</v>
      </c>
      <c r="O30" s="335">
        <v>20</v>
      </c>
      <c r="P30" s="424">
        <f t="shared" si="12"/>
        <v>12.999999999999954</v>
      </c>
      <c r="Q30" s="345"/>
      <c r="R30" s="345"/>
    </row>
    <row r="31" spans="1:18" ht="15.75" customHeight="1">
      <c r="A31" s="578"/>
      <c r="B31" s="336">
        <v>0</v>
      </c>
      <c r="C31" s="420"/>
      <c r="D31" s="360"/>
      <c r="E31" s="362"/>
      <c r="F31" s="339" t="s">
        <v>161</v>
      </c>
      <c r="G31" s="419"/>
      <c r="H31" s="340">
        <f t="shared" si="9"/>
        <v>0</v>
      </c>
      <c r="I31" s="421"/>
      <c r="J31" s="341"/>
      <c r="K31" s="342"/>
      <c r="L31" s="343"/>
      <c r="M31" s="344"/>
      <c r="N31" s="344"/>
      <c r="O31" s="335"/>
      <c r="P31" s="424"/>
      <c r="Q31" s="345"/>
      <c r="R31" s="345"/>
    </row>
    <row r="32" spans="1:18">
      <c r="A32" s="578"/>
      <c r="B32" s="336">
        <v>0</v>
      </c>
      <c r="C32" s="420"/>
      <c r="D32" s="360"/>
      <c r="E32" s="338"/>
      <c r="F32" s="339" t="s">
        <v>161</v>
      </c>
      <c r="G32" s="419"/>
      <c r="H32" s="340">
        <f t="shared" si="9"/>
        <v>0</v>
      </c>
      <c r="I32" s="421"/>
      <c r="J32" s="341"/>
      <c r="K32" s="342"/>
      <c r="L32" s="343"/>
      <c r="M32" s="344"/>
      <c r="N32" s="344"/>
      <c r="O32" s="335"/>
      <c r="P32" s="424"/>
      <c r="Q32" s="345"/>
      <c r="R32" s="345"/>
    </row>
    <row r="33" spans="1:18">
      <c r="A33" s="578"/>
      <c r="B33" s="336">
        <v>0</v>
      </c>
      <c r="C33" s="419"/>
      <c r="D33" s="363"/>
      <c r="E33" s="362"/>
      <c r="F33" s="339" t="s">
        <v>161</v>
      </c>
      <c r="G33" s="419"/>
      <c r="H33" s="340">
        <f t="shared" si="9"/>
        <v>0</v>
      </c>
      <c r="I33" s="421"/>
      <c r="J33" s="341"/>
      <c r="K33" s="342"/>
      <c r="L33" s="343"/>
      <c r="M33" s="344"/>
      <c r="N33" s="344"/>
      <c r="O33" s="335"/>
      <c r="P33" s="424"/>
      <c r="Q33" s="345"/>
      <c r="R33" s="345"/>
    </row>
    <row r="34" spans="1:18">
      <c r="A34" s="578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9"/>
        <v>0</v>
      </c>
      <c r="I34" s="421"/>
      <c r="J34" s="341"/>
      <c r="K34" s="342"/>
      <c r="L34" s="343"/>
      <c r="M34" s="344"/>
      <c r="N34" s="344"/>
      <c r="O34" s="335"/>
      <c r="P34" s="424"/>
      <c r="Q34" s="345"/>
      <c r="R34" s="345"/>
    </row>
    <row r="35" spans="1:18">
      <c r="A35" s="578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9"/>
        <v>0</v>
      </c>
      <c r="I35" s="421"/>
      <c r="J35" s="341"/>
      <c r="K35" s="342"/>
      <c r="L35" s="343"/>
      <c r="M35" s="344"/>
      <c r="N35" s="344"/>
      <c r="O35" s="335"/>
      <c r="P35" s="424"/>
      <c r="Q35" s="345"/>
      <c r="R35" s="345"/>
    </row>
    <row r="36" spans="1:18">
      <c r="A36" s="578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9"/>
        <v>0</v>
      </c>
      <c r="I36" s="421"/>
      <c r="J36" s="341"/>
      <c r="K36" s="342"/>
      <c r="L36" s="343"/>
      <c r="M36" s="344"/>
      <c r="N36" s="344"/>
      <c r="O36" s="335"/>
      <c r="P36" s="424"/>
      <c r="Q36" s="345"/>
      <c r="R36" s="345"/>
    </row>
    <row r="37" spans="1:18">
      <c r="A37" s="578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9"/>
        <v>0</v>
      </c>
      <c r="I37" s="421"/>
      <c r="J37" s="341"/>
      <c r="K37" s="342"/>
      <c r="L37" s="343"/>
      <c r="M37" s="344"/>
      <c r="N37" s="344"/>
      <c r="O37" s="335"/>
      <c r="P37" s="424"/>
      <c r="Q37" s="345"/>
      <c r="R37" s="345"/>
    </row>
    <row r="38" spans="1:18" ht="17.399999999999999" customHeight="1">
      <c r="A38" s="579"/>
      <c r="B38" s="336">
        <v>0</v>
      </c>
      <c r="C38" s="204" t="s">
        <v>27</v>
      </c>
      <c r="D38" s="552" t="s">
        <v>176</v>
      </c>
      <c r="E38" s="552"/>
      <c r="F38" s="350"/>
      <c r="G38" s="365"/>
      <c r="H38" s="352"/>
      <c r="I38" s="353"/>
      <c r="J38" s="354">
        <f>AVERAGE(J25:J37)</f>
        <v>3.5</v>
      </c>
      <c r="K38" s="354">
        <f>AVERAGE(K25:K37)</f>
        <v>2908.7039567410939</v>
      </c>
      <c r="L38" s="355">
        <f>AVERAGE(L25:L37)</f>
        <v>852.48679551933583</v>
      </c>
      <c r="M38" s="344"/>
      <c r="N38" s="344"/>
      <c r="O38" s="342"/>
      <c r="P38" s="342"/>
      <c r="Q38" s="343"/>
      <c r="R38" s="343"/>
    </row>
    <row r="39" spans="1:18" ht="16.2" customHeight="1">
      <c r="A39" s="567" t="s">
        <v>229</v>
      </c>
      <c r="B39" s="336" t="s">
        <v>165</v>
      </c>
      <c r="C39" s="420"/>
      <c r="D39" s="360" t="s">
        <v>230</v>
      </c>
      <c r="E39" s="338"/>
      <c r="F39" s="339">
        <v>16.66</v>
      </c>
      <c r="G39" s="419">
        <v>4469</v>
      </c>
      <c r="H39" s="340">
        <f t="shared" ref="H39:H47" si="13">F39*G39</f>
        <v>74453.539999999994</v>
      </c>
      <c r="I39" s="421"/>
      <c r="J39" s="341">
        <v>4</v>
      </c>
      <c r="K39" s="342">
        <f t="shared" ref="K39:K40" si="14">G39/P39*60</f>
        <v>2852.5531914893609</v>
      </c>
      <c r="L39" s="343">
        <f t="shared" ref="L39:L40" si="15">K39/J39</f>
        <v>713.13829787234022</v>
      </c>
      <c r="M39" s="344">
        <v>0.18055555555555555</v>
      </c>
      <c r="N39" s="344">
        <v>0.24583333333333335</v>
      </c>
      <c r="O39" s="335">
        <v>20</v>
      </c>
      <c r="P39" s="424">
        <f t="shared" ref="P39:P40" si="16">(N39-M39)*24*60</f>
        <v>94.000000000000028</v>
      </c>
      <c r="Q39" s="345"/>
      <c r="R39" s="345"/>
    </row>
    <row r="40" spans="1:18">
      <c r="A40" s="568"/>
      <c r="B40" s="336" t="s">
        <v>165</v>
      </c>
      <c r="C40" s="420"/>
      <c r="D40" s="361" t="s">
        <v>231</v>
      </c>
      <c r="E40" s="338"/>
      <c r="F40" s="339">
        <v>22.95</v>
      </c>
      <c r="G40" s="419">
        <v>3485</v>
      </c>
      <c r="H40" s="340">
        <f t="shared" si="13"/>
        <v>79980.75</v>
      </c>
      <c r="I40" s="421"/>
      <c r="J40" s="341">
        <v>4</v>
      </c>
      <c r="K40" s="342">
        <f t="shared" si="14"/>
        <v>3075.0000000000036</v>
      </c>
      <c r="L40" s="343">
        <f t="shared" si="15"/>
        <v>768.75000000000091</v>
      </c>
      <c r="M40" s="344">
        <v>0.25625000000000003</v>
      </c>
      <c r="N40" s="344">
        <v>0.3034722222222222</v>
      </c>
      <c r="O40" s="335">
        <v>15</v>
      </c>
      <c r="P40" s="424">
        <f t="shared" si="16"/>
        <v>67.999999999999915</v>
      </c>
      <c r="Q40" s="345"/>
      <c r="R40" s="345"/>
    </row>
    <row r="41" spans="1:18">
      <c r="A41" s="568"/>
      <c r="B41" s="336">
        <v>0</v>
      </c>
      <c r="C41" s="420"/>
      <c r="D41" s="361"/>
      <c r="E41" s="338"/>
      <c r="F41" s="339" t="s">
        <v>161</v>
      </c>
      <c r="G41" s="419"/>
      <c r="H41" s="340">
        <f t="shared" si="13"/>
        <v>0</v>
      </c>
      <c r="I41" s="421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568"/>
      <c r="B42" s="336">
        <v>0</v>
      </c>
      <c r="C42" s="420"/>
      <c r="D42" s="361"/>
      <c r="E42" s="338"/>
      <c r="F42" s="339" t="s">
        <v>161</v>
      </c>
      <c r="G42" s="419"/>
      <c r="H42" s="340">
        <f t="shared" si="13"/>
        <v>0</v>
      </c>
      <c r="I42" s="421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568"/>
      <c r="B43" s="336">
        <v>0</v>
      </c>
      <c r="C43" s="420"/>
      <c r="D43" s="363"/>
      <c r="E43" s="338"/>
      <c r="F43" s="339" t="s">
        <v>161</v>
      </c>
      <c r="G43" s="419"/>
      <c r="H43" s="340">
        <f t="shared" si="13"/>
        <v>0</v>
      </c>
      <c r="I43" s="421"/>
      <c r="J43" s="341"/>
      <c r="K43" s="342"/>
      <c r="L43" s="343"/>
      <c r="M43" s="344"/>
      <c r="N43" s="344"/>
      <c r="O43" s="335"/>
      <c r="P43" s="424"/>
      <c r="Q43" s="345"/>
      <c r="R43" s="345"/>
    </row>
    <row r="44" spans="1:18">
      <c r="A44" s="568"/>
      <c r="B44" s="336">
        <v>0</v>
      </c>
      <c r="C44" s="420"/>
      <c r="D44" s="361"/>
      <c r="E44" s="367"/>
      <c r="F44" s="339" t="s">
        <v>161</v>
      </c>
      <c r="G44" s="368"/>
      <c r="H44" s="369">
        <f t="shared" si="13"/>
        <v>0</v>
      </c>
      <c r="I44" s="422"/>
      <c r="J44" s="341"/>
      <c r="K44" s="342"/>
      <c r="L44" s="343"/>
      <c r="M44" s="344"/>
      <c r="N44" s="344"/>
      <c r="O44" s="335"/>
      <c r="P44" s="424"/>
      <c r="Q44" s="345"/>
      <c r="R44" s="345"/>
    </row>
    <row r="45" spans="1:18">
      <c r="A45" s="568"/>
      <c r="B45" s="336">
        <v>0</v>
      </c>
      <c r="C45" s="420"/>
      <c r="D45" s="361"/>
      <c r="E45" s="362"/>
      <c r="F45" s="339" t="s">
        <v>161</v>
      </c>
      <c r="G45" s="419"/>
      <c r="H45" s="340">
        <f t="shared" si="13"/>
        <v>0</v>
      </c>
      <c r="I45" s="421"/>
      <c r="J45" s="341"/>
      <c r="K45" s="342"/>
      <c r="L45" s="343"/>
      <c r="M45" s="344"/>
      <c r="N45" s="344"/>
      <c r="O45" s="335"/>
      <c r="P45" s="424"/>
      <c r="Q45" s="345"/>
      <c r="R45" s="345"/>
    </row>
    <row r="46" spans="1:18">
      <c r="A46" s="568"/>
      <c r="B46" s="336">
        <v>0</v>
      </c>
      <c r="C46" s="420"/>
      <c r="D46" s="363"/>
      <c r="E46" s="367"/>
      <c r="F46" s="339" t="s">
        <v>161</v>
      </c>
      <c r="G46" s="368"/>
      <c r="H46" s="369">
        <f t="shared" si="13"/>
        <v>0</v>
      </c>
      <c r="I46" s="422"/>
      <c r="J46" s="341"/>
      <c r="K46" s="342"/>
      <c r="L46" s="343"/>
      <c r="M46" s="344"/>
      <c r="N46" s="344"/>
      <c r="O46" s="335"/>
      <c r="P46" s="424"/>
      <c r="Q46" s="345"/>
      <c r="R46" s="345"/>
    </row>
    <row r="47" spans="1:18">
      <c r="A47" s="568"/>
      <c r="B47" s="336">
        <v>0</v>
      </c>
      <c r="C47" s="420"/>
      <c r="D47" s="361"/>
      <c r="E47" s="362"/>
      <c r="F47" s="339" t="s">
        <v>161</v>
      </c>
      <c r="G47" s="419"/>
      <c r="H47" s="340">
        <f t="shared" si="13"/>
        <v>0</v>
      </c>
      <c r="I47" s="421"/>
      <c r="J47" s="341"/>
      <c r="K47" s="342"/>
      <c r="L47" s="343"/>
      <c r="M47" s="344"/>
      <c r="N47" s="344"/>
      <c r="O47" s="335"/>
      <c r="P47" s="424"/>
      <c r="Q47" s="345"/>
      <c r="R47" s="345"/>
    </row>
    <row r="48" spans="1:18">
      <c r="A48" s="569"/>
      <c r="B48" s="336">
        <v>0</v>
      </c>
      <c r="C48" s="419"/>
      <c r="D48" s="361"/>
      <c r="E48" s="370"/>
      <c r="F48" s="339" t="s">
        <v>161</v>
      </c>
      <c r="G48" s="419"/>
      <c r="H48" s="340"/>
      <c r="I48" s="421"/>
      <c r="J48" s="341"/>
      <c r="K48" s="342"/>
      <c r="L48" s="343"/>
      <c r="M48" s="344"/>
      <c r="N48" s="344"/>
      <c r="O48" s="335"/>
      <c r="P48" s="424"/>
      <c r="Q48" s="345"/>
      <c r="R48" s="345"/>
    </row>
    <row r="49" spans="1:18">
      <c r="A49" s="569"/>
      <c r="B49" s="336">
        <v>0</v>
      </c>
      <c r="C49" s="419"/>
      <c r="D49" s="360"/>
      <c r="E49" s="371"/>
      <c r="F49" s="339" t="s">
        <v>161</v>
      </c>
      <c r="G49" s="335"/>
      <c r="H49" s="369">
        <f>F49*G49</f>
        <v>0</v>
      </c>
      <c r="I49" s="424"/>
      <c r="J49" s="341"/>
      <c r="K49" s="342"/>
      <c r="L49" s="343"/>
      <c r="M49" s="344"/>
      <c r="N49" s="344"/>
      <c r="O49" s="335"/>
      <c r="P49" s="424"/>
      <c r="Q49" s="345"/>
      <c r="R49" s="345"/>
    </row>
    <row r="50" spans="1:18">
      <c r="A50" s="569"/>
      <c r="B50" s="336">
        <v>0</v>
      </c>
      <c r="C50" s="419"/>
      <c r="D50" s="361"/>
      <c r="E50" s="371"/>
      <c r="F50" s="339" t="s">
        <v>161</v>
      </c>
      <c r="G50" s="335"/>
      <c r="H50" s="369">
        <f>F50*G50</f>
        <v>0</v>
      </c>
      <c r="I50" s="424"/>
      <c r="J50" s="341"/>
      <c r="K50" s="342"/>
      <c r="L50" s="343"/>
      <c r="M50" s="344"/>
      <c r="N50" s="344"/>
      <c r="O50" s="335"/>
      <c r="P50" s="424"/>
      <c r="Q50" s="345"/>
      <c r="R50" s="345"/>
    </row>
    <row r="51" spans="1:18" ht="15.75" customHeight="1">
      <c r="A51" s="570"/>
      <c r="B51" s="336">
        <v>0</v>
      </c>
      <c r="C51" s="204" t="s">
        <v>28</v>
      </c>
      <c r="D51" s="571" t="s">
        <v>219</v>
      </c>
      <c r="E51" s="571"/>
      <c r="F51" s="350"/>
      <c r="G51" s="355"/>
      <c r="H51" s="372"/>
      <c r="I51" s="373"/>
      <c r="J51" s="354">
        <f>AVERAGE(J38:J50)</f>
        <v>3.8333333333333335</v>
      </c>
      <c r="K51" s="354">
        <f>AVERAGE(K38:K50)</f>
        <v>2945.4190494101531</v>
      </c>
      <c r="L51" s="355">
        <f>AVERAGE(L38:L50)</f>
        <v>778.12503113055902</v>
      </c>
      <c r="M51" s="374"/>
      <c r="N51" s="344"/>
      <c r="O51" s="342"/>
      <c r="P51" s="342"/>
      <c r="Q51" s="343"/>
      <c r="R51" s="343"/>
    </row>
    <row r="52" spans="1:18" ht="15.6" customHeight="1">
      <c r="A52" s="572" t="s">
        <v>232</v>
      </c>
      <c r="B52" s="336" t="s">
        <v>165</v>
      </c>
      <c r="C52" s="420"/>
      <c r="D52" s="361" t="s">
        <v>177</v>
      </c>
      <c r="E52" s="375"/>
      <c r="F52" s="339">
        <v>25.03</v>
      </c>
      <c r="G52" s="419">
        <v>682</v>
      </c>
      <c r="H52" s="340">
        <f>F52*G52</f>
        <v>17070.46</v>
      </c>
      <c r="I52" s="421"/>
      <c r="J52" s="341">
        <v>4</v>
      </c>
      <c r="K52" s="342">
        <f>G52/P52*60</f>
        <v>3410.0000000000123</v>
      </c>
      <c r="L52" s="343">
        <f>K52/J52</f>
        <v>852.50000000000307</v>
      </c>
      <c r="M52" s="344">
        <v>0.17361111111111113</v>
      </c>
      <c r="N52" s="344">
        <v>0.18194444444444444</v>
      </c>
      <c r="O52" s="342">
        <v>10</v>
      </c>
      <c r="P52" s="424">
        <f>(N52-M52)*24*60</f>
        <v>11.999999999999957</v>
      </c>
      <c r="Q52" s="345"/>
      <c r="R52" s="345"/>
    </row>
    <row r="53" spans="1:18" ht="15.6" customHeight="1">
      <c r="A53" s="573"/>
      <c r="B53" s="336" t="s">
        <v>165</v>
      </c>
      <c r="C53" s="420"/>
      <c r="D53" s="361" t="s">
        <v>178</v>
      </c>
      <c r="E53" s="376"/>
      <c r="F53" s="339">
        <v>24.82</v>
      </c>
      <c r="G53" s="346">
        <v>946</v>
      </c>
      <c r="H53" s="340">
        <f t="shared" ref="H53:H116" si="17">F53*G53</f>
        <v>23479.72</v>
      </c>
      <c r="I53" s="421"/>
      <c r="J53" s="341">
        <v>4</v>
      </c>
      <c r="K53" s="342">
        <f t="shared" ref="K53:K57" si="18">G53/P53*60</f>
        <v>3338.823529411769</v>
      </c>
      <c r="L53" s="343">
        <f t="shared" ref="L53:L57" si="19">K53/J53</f>
        <v>834.70588235294224</v>
      </c>
      <c r="M53" s="344">
        <v>0.19166666666666665</v>
      </c>
      <c r="N53" s="344">
        <v>0.20347222222222219</v>
      </c>
      <c r="O53" s="342">
        <v>14</v>
      </c>
      <c r="P53" s="424">
        <f t="shared" ref="P53:P57" si="20">(N53-M53)*24*60</f>
        <v>16.999999999999979</v>
      </c>
      <c r="Q53" s="345"/>
      <c r="R53" s="345"/>
    </row>
    <row r="54" spans="1:18" ht="15.6" customHeight="1">
      <c r="A54" s="573"/>
      <c r="B54" s="336" t="s">
        <v>165</v>
      </c>
      <c r="C54" s="420"/>
      <c r="D54" s="361" t="s">
        <v>179</v>
      </c>
      <c r="E54" s="338"/>
      <c r="F54" s="339">
        <v>30</v>
      </c>
      <c r="G54" s="346">
        <v>1343</v>
      </c>
      <c r="H54" s="340">
        <f t="shared" si="17"/>
        <v>40290</v>
      </c>
      <c r="I54" s="421"/>
      <c r="J54" s="341">
        <v>4</v>
      </c>
      <c r="K54" s="342">
        <f t="shared" si="18"/>
        <v>3223.2000000000062</v>
      </c>
      <c r="L54" s="343">
        <f t="shared" si="19"/>
        <v>805.80000000000155</v>
      </c>
      <c r="M54" s="344">
        <v>0.21597222222222223</v>
      </c>
      <c r="N54" s="344">
        <v>0.23333333333333331</v>
      </c>
      <c r="O54" s="342">
        <v>18</v>
      </c>
      <c r="P54" s="424">
        <f t="shared" si="20"/>
        <v>24.99999999999995</v>
      </c>
      <c r="Q54" s="345"/>
      <c r="R54" s="345"/>
    </row>
    <row r="55" spans="1:18" ht="15.6" customHeight="1">
      <c r="A55" s="573"/>
      <c r="B55" s="336" t="s">
        <v>165</v>
      </c>
      <c r="C55" s="420"/>
      <c r="D55" s="363" t="s">
        <v>233</v>
      </c>
      <c r="E55" s="362"/>
      <c r="F55" s="339">
        <v>30</v>
      </c>
      <c r="G55" s="346">
        <v>654</v>
      </c>
      <c r="H55" s="340">
        <f t="shared" si="17"/>
        <v>19620</v>
      </c>
      <c r="I55" s="421"/>
      <c r="J55" s="341">
        <v>4</v>
      </c>
      <c r="K55" s="342">
        <f t="shared" si="18"/>
        <v>3270.0000000000009</v>
      </c>
      <c r="L55" s="343">
        <f t="shared" si="19"/>
        <v>817.50000000000023</v>
      </c>
      <c r="M55" s="344">
        <v>0.24374999999999999</v>
      </c>
      <c r="N55" s="344">
        <v>0.25208333333333333</v>
      </c>
      <c r="O55" s="342">
        <v>15</v>
      </c>
      <c r="P55" s="424">
        <f t="shared" si="20"/>
        <v>11.999999999999996</v>
      </c>
      <c r="Q55" s="345"/>
      <c r="R55" s="345"/>
    </row>
    <row r="56" spans="1:18" ht="15.6" customHeight="1">
      <c r="A56" s="573"/>
      <c r="B56" s="336" t="s">
        <v>165</v>
      </c>
      <c r="C56" s="420"/>
      <c r="D56" s="361" t="s">
        <v>234</v>
      </c>
      <c r="E56" s="362"/>
      <c r="F56" s="339">
        <v>27.48</v>
      </c>
      <c r="G56" s="346">
        <v>1330</v>
      </c>
      <c r="H56" s="340">
        <f t="shared" si="17"/>
        <v>36548.400000000001</v>
      </c>
      <c r="I56" s="421"/>
      <c r="J56" s="341">
        <v>3</v>
      </c>
      <c r="K56" s="342">
        <f t="shared" si="18"/>
        <v>3325.0000000000009</v>
      </c>
      <c r="L56" s="343">
        <f t="shared" si="19"/>
        <v>1108.3333333333337</v>
      </c>
      <c r="M56" s="344">
        <v>0.26597222222222222</v>
      </c>
      <c r="N56" s="344">
        <v>0.28263888888888888</v>
      </c>
      <c r="O56" s="342">
        <v>20</v>
      </c>
      <c r="P56" s="424">
        <f t="shared" si="20"/>
        <v>23.999999999999993</v>
      </c>
      <c r="Q56" s="345"/>
      <c r="R56" s="345"/>
    </row>
    <row r="57" spans="1:18" ht="15.75" customHeight="1">
      <c r="A57" s="573"/>
      <c r="B57" s="336" t="s">
        <v>165</v>
      </c>
      <c r="C57" s="204" t="s">
        <v>31</v>
      </c>
      <c r="D57" s="361" t="s">
        <v>235</v>
      </c>
      <c r="E57" s="362"/>
      <c r="F57" s="339">
        <v>23.8</v>
      </c>
      <c r="G57" s="346">
        <v>892</v>
      </c>
      <c r="H57" s="340">
        <f t="shared" si="17"/>
        <v>21229.600000000002</v>
      </c>
      <c r="I57" s="421"/>
      <c r="J57" s="341">
        <v>4</v>
      </c>
      <c r="K57" s="342">
        <f t="shared" si="18"/>
        <v>3568.0000000000123</v>
      </c>
      <c r="L57" s="343">
        <f t="shared" si="19"/>
        <v>892.00000000000307</v>
      </c>
      <c r="M57" s="344">
        <v>0.29305555555555557</v>
      </c>
      <c r="N57" s="344">
        <v>0.3034722222222222</v>
      </c>
      <c r="O57" s="342">
        <v>15</v>
      </c>
      <c r="P57" s="424">
        <f t="shared" si="20"/>
        <v>14.999999999999947</v>
      </c>
      <c r="Q57" s="345"/>
      <c r="R57" s="345"/>
    </row>
    <row r="58" spans="1:18" ht="15.6" customHeight="1">
      <c r="A58" s="573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7"/>
        <v>0</v>
      </c>
      <c r="I58" s="421"/>
      <c r="J58" s="341"/>
      <c r="K58" s="342"/>
      <c r="L58" s="343"/>
      <c r="M58" s="344"/>
      <c r="N58" s="344"/>
      <c r="O58" s="342"/>
      <c r="P58" s="424"/>
      <c r="Q58" s="345"/>
      <c r="R58" s="345"/>
    </row>
    <row r="59" spans="1:18" ht="15.6" customHeight="1">
      <c r="A59" s="573"/>
      <c r="B59" s="336">
        <v>0</v>
      </c>
      <c r="C59" s="420"/>
      <c r="D59" s="361"/>
      <c r="E59" s="362"/>
      <c r="F59" s="339" t="s">
        <v>161</v>
      </c>
      <c r="G59" s="346"/>
      <c r="H59" s="340">
        <f t="shared" si="17"/>
        <v>0</v>
      </c>
      <c r="I59" s="421"/>
      <c r="J59" s="341"/>
      <c r="K59" s="342"/>
      <c r="L59" s="343"/>
      <c r="M59" s="344"/>
      <c r="N59" s="344"/>
      <c r="O59" s="342"/>
      <c r="P59" s="424"/>
      <c r="Q59" s="345"/>
      <c r="R59" s="345"/>
    </row>
    <row r="60" spans="1:18" ht="15.6" customHeight="1">
      <c r="A60" s="573"/>
      <c r="B60" s="336">
        <v>0</v>
      </c>
      <c r="C60" s="420"/>
      <c r="D60" s="361"/>
      <c r="E60" s="379"/>
      <c r="F60" s="339" t="s">
        <v>161</v>
      </c>
      <c r="G60" s="346"/>
      <c r="H60" s="340">
        <f t="shared" si="17"/>
        <v>0</v>
      </c>
      <c r="I60" s="421"/>
      <c r="J60" s="341"/>
      <c r="K60" s="342"/>
      <c r="L60" s="343"/>
      <c r="M60" s="344"/>
      <c r="N60" s="344"/>
      <c r="O60" s="342"/>
      <c r="P60" s="424"/>
      <c r="Q60" s="345"/>
      <c r="R60" s="345"/>
    </row>
    <row r="61" spans="1:18" ht="15.6" customHeight="1">
      <c r="A61" s="573"/>
      <c r="B61" s="336">
        <v>0</v>
      </c>
      <c r="C61" s="420"/>
      <c r="D61" s="360"/>
      <c r="E61" s="362"/>
      <c r="F61" s="339" t="s">
        <v>161</v>
      </c>
      <c r="G61" s="346"/>
      <c r="H61" s="340">
        <f t="shared" si="17"/>
        <v>0</v>
      </c>
      <c r="I61" s="421"/>
      <c r="J61" s="341"/>
      <c r="K61" s="342"/>
      <c r="L61" s="343"/>
      <c r="M61" s="344"/>
      <c r="N61" s="344"/>
      <c r="O61" s="342"/>
      <c r="P61" s="424"/>
      <c r="Q61" s="345"/>
      <c r="R61" s="345"/>
    </row>
    <row r="62" spans="1:18" ht="15.6" customHeight="1">
      <c r="A62" s="573"/>
      <c r="B62" s="336">
        <v>0</v>
      </c>
      <c r="C62" s="420"/>
      <c r="D62" s="361"/>
      <c r="E62" s="380"/>
      <c r="F62" s="339" t="s">
        <v>161</v>
      </c>
      <c r="G62" s="346"/>
      <c r="H62" s="340">
        <f t="shared" si="17"/>
        <v>0</v>
      </c>
      <c r="I62" s="421"/>
      <c r="J62" s="341"/>
      <c r="K62" s="342"/>
      <c r="L62" s="343"/>
      <c r="M62" s="344"/>
      <c r="N62" s="344"/>
      <c r="O62" s="342"/>
      <c r="P62" s="424"/>
      <c r="Q62" s="345"/>
      <c r="R62" s="345"/>
    </row>
    <row r="63" spans="1:18" ht="15.6" customHeight="1">
      <c r="A63" s="573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7"/>
        <v>0</v>
      </c>
      <c r="I63" s="422"/>
      <c r="J63" s="341"/>
      <c r="K63" s="342"/>
      <c r="L63" s="343"/>
      <c r="M63" s="344"/>
      <c r="N63" s="344"/>
      <c r="O63" s="335"/>
      <c r="P63" s="424"/>
      <c r="Q63" s="345"/>
      <c r="R63" s="345"/>
    </row>
    <row r="64" spans="1:18" ht="15.75" customHeight="1">
      <c r="A64" s="574"/>
      <c r="B64" s="336">
        <v>0</v>
      </c>
      <c r="C64" s="204" t="s">
        <v>236</v>
      </c>
      <c r="D64" s="571" t="s">
        <v>219</v>
      </c>
      <c r="E64" s="571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3355.8372549019664</v>
      </c>
      <c r="L64" s="355">
        <f>AVERAGE(L52:L63)</f>
        <v>885.13986928104725</v>
      </c>
      <c r="M64" s="344"/>
      <c r="N64" s="344"/>
      <c r="O64" s="335"/>
      <c r="P64" s="335"/>
      <c r="Q64" s="335"/>
      <c r="R64" s="335"/>
    </row>
    <row r="65" spans="1:18" ht="15.6" customHeight="1">
      <c r="A65" s="575" t="s">
        <v>237</v>
      </c>
      <c r="B65" s="336" t="s">
        <v>165</v>
      </c>
      <c r="C65" s="420"/>
      <c r="D65" s="361" t="s">
        <v>180</v>
      </c>
      <c r="E65" s="375"/>
      <c r="F65" s="339">
        <v>18.18</v>
      </c>
      <c r="G65" s="419">
        <v>1077</v>
      </c>
      <c r="H65" s="340">
        <f>F65*G65</f>
        <v>19579.86</v>
      </c>
      <c r="I65" s="421"/>
      <c r="J65" s="341">
        <v>3</v>
      </c>
      <c r="K65" s="342">
        <f t="shared" ref="K65:K71" si="21">G65/P65*60</f>
        <v>3231.000000000005</v>
      </c>
      <c r="L65" s="343">
        <f t="shared" ref="L65:L71" si="22">K65/J65</f>
        <v>1077.0000000000016</v>
      </c>
      <c r="M65" s="344">
        <v>0.17708333333333334</v>
      </c>
      <c r="N65" s="344">
        <v>0.19097222222222221</v>
      </c>
      <c r="O65" s="342">
        <v>15</v>
      </c>
      <c r="P65" s="424">
        <f>(N65-M65)*24*60</f>
        <v>19.999999999999968</v>
      </c>
      <c r="Q65" s="345"/>
      <c r="R65" s="345"/>
    </row>
    <row r="66" spans="1:18" ht="15.6" customHeight="1">
      <c r="A66" s="576"/>
      <c r="B66" s="336" t="s">
        <v>165</v>
      </c>
      <c r="C66" s="420"/>
      <c r="D66" s="382" t="s">
        <v>181</v>
      </c>
      <c r="E66" s="376"/>
      <c r="F66" s="339">
        <v>14.03</v>
      </c>
      <c r="G66" s="346">
        <v>4122</v>
      </c>
      <c r="H66" s="340">
        <f t="shared" ref="H66:H74" si="23">F66*G66</f>
        <v>57831.659999999996</v>
      </c>
      <c r="I66" s="421"/>
      <c r="J66" s="341">
        <v>3</v>
      </c>
      <c r="K66" s="342">
        <f t="shared" si="21"/>
        <v>3254.2105263157891</v>
      </c>
      <c r="L66" s="343">
        <f t="shared" si="22"/>
        <v>1084.7368421052631</v>
      </c>
      <c r="M66" s="344">
        <v>0.20277777777777781</v>
      </c>
      <c r="N66" s="344">
        <v>0.25555555555555559</v>
      </c>
      <c r="O66" s="342">
        <v>17</v>
      </c>
      <c r="P66" s="424">
        <f t="shared" ref="P66:P71" si="24">(N66-M66)*24*60</f>
        <v>76.000000000000014</v>
      </c>
      <c r="Q66" s="345"/>
      <c r="R66" s="345"/>
    </row>
    <row r="67" spans="1:18" ht="15.6" customHeight="1">
      <c r="A67" s="576"/>
      <c r="B67" s="336" t="s">
        <v>165</v>
      </c>
      <c r="C67" s="420"/>
      <c r="D67" s="360" t="s">
        <v>182</v>
      </c>
      <c r="E67" s="362"/>
      <c r="F67" s="339">
        <v>18.18</v>
      </c>
      <c r="G67" s="346">
        <v>1827</v>
      </c>
      <c r="H67" s="340">
        <f t="shared" si="23"/>
        <v>33214.86</v>
      </c>
      <c r="I67" s="421"/>
      <c r="J67" s="341">
        <v>3</v>
      </c>
      <c r="K67" s="342">
        <f t="shared" si="21"/>
        <v>3321.8181818181774</v>
      </c>
      <c r="L67" s="343">
        <f t="shared" si="22"/>
        <v>1107.2727272727259</v>
      </c>
      <c r="M67" s="344">
        <v>0.26944444444444443</v>
      </c>
      <c r="N67" s="344">
        <v>0.29236111111111113</v>
      </c>
      <c r="O67" s="342">
        <v>20</v>
      </c>
      <c r="P67" s="424">
        <f t="shared" si="24"/>
        <v>33.000000000000043</v>
      </c>
      <c r="Q67" s="345"/>
      <c r="R67" s="345"/>
    </row>
    <row r="68" spans="1:18" ht="15.6" customHeight="1">
      <c r="A68" s="576"/>
      <c r="B68" s="336" t="s">
        <v>165</v>
      </c>
      <c r="C68" s="420"/>
      <c r="D68" s="361" t="s">
        <v>238</v>
      </c>
      <c r="E68" s="362"/>
      <c r="F68" s="339">
        <v>17.07</v>
      </c>
      <c r="G68" s="346">
        <v>1348</v>
      </c>
      <c r="H68" s="340">
        <f t="shared" si="23"/>
        <v>23010.36</v>
      </c>
      <c r="I68" s="421"/>
      <c r="J68" s="341">
        <v>3</v>
      </c>
      <c r="K68" s="342">
        <f t="shared" si="21"/>
        <v>3235.1999999999907</v>
      </c>
      <c r="L68" s="343">
        <f t="shared" si="22"/>
        <v>1078.3999999999969</v>
      </c>
      <c r="M68" s="344">
        <v>0.30277777777777776</v>
      </c>
      <c r="N68" s="344">
        <v>0.32013888888888892</v>
      </c>
      <c r="O68" s="342">
        <v>15</v>
      </c>
      <c r="P68" s="424">
        <f t="shared" si="24"/>
        <v>25.000000000000071</v>
      </c>
      <c r="Q68" s="345"/>
      <c r="R68" s="345"/>
    </row>
    <row r="69" spans="1:18" ht="15.6" customHeight="1">
      <c r="A69" s="576"/>
      <c r="B69" s="336" t="s">
        <v>165</v>
      </c>
      <c r="C69" s="420"/>
      <c r="D69" s="363" t="s">
        <v>239</v>
      </c>
      <c r="E69" s="362"/>
      <c r="F69" s="339">
        <v>20.72</v>
      </c>
      <c r="G69" s="346">
        <v>709</v>
      </c>
      <c r="H69" s="340">
        <f t="shared" si="23"/>
        <v>14690.48</v>
      </c>
      <c r="I69" s="421"/>
      <c r="J69" s="341">
        <v>3</v>
      </c>
      <c r="K69" s="342">
        <f t="shared" si="21"/>
        <v>3272.3076923076837</v>
      </c>
      <c r="L69" s="343">
        <f t="shared" si="22"/>
        <v>1090.769230769228</v>
      </c>
      <c r="M69" s="344">
        <v>0.33194444444444443</v>
      </c>
      <c r="N69" s="344">
        <v>0.34097222222222223</v>
      </c>
      <c r="O69" s="342">
        <v>17</v>
      </c>
      <c r="P69" s="424">
        <f t="shared" si="24"/>
        <v>13.000000000000034</v>
      </c>
      <c r="Q69" s="345"/>
      <c r="R69" s="345"/>
    </row>
    <row r="70" spans="1:18" ht="15.75" customHeight="1">
      <c r="A70" s="576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6477</v>
      </c>
      <c r="H70" s="340">
        <f t="shared" si="23"/>
        <v>92528.571428571406</v>
      </c>
      <c r="I70" s="421"/>
      <c r="J70" s="341">
        <v>3</v>
      </c>
      <c r="K70" s="342">
        <f t="shared" si="21"/>
        <v>3238.5000000000009</v>
      </c>
      <c r="L70" s="343">
        <f t="shared" si="22"/>
        <v>1079.5000000000002</v>
      </c>
      <c r="M70" s="344">
        <v>0.35138888888888892</v>
      </c>
      <c r="N70" s="344">
        <v>0.43472222222222223</v>
      </c>
      <c r="O70" s="342">
        <v>15</v>
      </c>
      <c r="P70" s="424">
        <f t="shared" si="24"/>
        <v>119.99999999999997</v>
      </c>
      <c r="Q70" s="345"/>
      <c r="R70" s="345"/>
    </row>
    <row r="71" spans="1:18" ht="15.6" customHeight="1">
      <c r="A71" s="576"/>
      <c r="B71" s="336" t="s">
        <v>165</v>
      </c>
      <c r="C71" s="377"/>
      <c r="D71" s="361" t="s">
        <v>240</v>
      </c>
      <c r="E71" s="362"/>
      <c r="F71" s="339">
        <v>24.76</v>
      </c>
      <c r="G71" s="378">
        <v>1481</v>
      </c>
      <c r="H71" s="340">
        <f t="shared" si="23"/>
        <v>36669.560000000005</v>
      </c>
      <c r="I71" s="421"/>
      <c r="J71" s="341">
        <v>4</v>
      </c>
      <c r="K71" s="342">
        <f t="shared" si="21"/>
        <v>3173.5714285714398</v>
      </c>
      <c r="L71" s="343">
        <f t="shared" si="22"/>
        <v>793.39285714285995</v>
      </c>
      <c r="M71" s="344">
        <v>0.44861111111111113</v>
      </c>
      <c r="N71" s="344">
        <v>0.4680555555555555</v>
      </c>
      <c r="O71" s="342">
        <v>20</v>
      </c>
      <c r="P71" s="424">
        <f t="shared" si="24"/>
        <v>27.999999999999901</v>
      </c>
      <c r="Q71" s="345"/>
      <c r="R71" s="345"/>
    </row>
    <row r="72" spans="1:18" ht="15.6" customHeight="1">
      <c r="A72" s="576"/>
      <c r="B72" s="336">
        <v>0</v>
      </c>
      <c r="C72" s="420"/>
      <c r="D72" s="363"/>
      <c r="E72" s="362"/>
      <c r="F72" s="339" t="s">
        <v>161</v>
      </c>
      <c r="G72" s="346"/>
      <c r="H72" s="340">
        <f t="shared" si="23"/>
        <v>0</v>
      </c>
      <c r="I72" s="421"/>
      <c r="J72" s="341"/>
      <c r="K72" s="342"/>
      <c r="L72" s="343"/>
      <c r="M72" s="344"/>
      <c r="N72" s="344"/>
      <c r="O72" s="342"/>
      <c r="P72" s="424"/>
      <c r="Q72" s="345"/>
      <c r="R72" s="345"/>
    </row>
    <row r="73" spans="1:18" ht="15.6" customHeight="1">
      <c r="A73" s="576"/>
      <c r="B73" s="336">
        <v>0</v>
      </c>
      <c r="C73" s="420"/>
      <c r="D73" s="361"/>
      <c r="E73" s="362"/>
      <c r="F73" s="339" t="s">
        <v>161</v>
      </c>
      <c r="G73" s="346"/>
      <c r="H73" s="340">
        <f t="shared" si="23"/>
        <v>0</v>
      </c>
      <c r="I73" s="421"/>
      <c r="J73" s="341"/>
      <c r="K73" s="342"/>
      <c r="L73" s="343"/>
      <c r="M73" s="344"/>
      <c r="N73" s="344"/>
      <c r="O73" s="342"/>
      <c r="P73" s="424"/>
      <c r="Q73" s="345"/>
      <c r="R73" s="345"/>
    </row>
    <row r="74" spans="1:18" ht="15.6" customHeight="1">
      <c r="A74" s="576"/>
      <c r="B74" s="336">
        <v>0</v>
      </c>
      <c r="C74" s="420"/>
      <c r="D74" s="363"/>
      <c r="E74" s="362"/>
      <c r="F74" s="339" t="s">
        <v>161</v>
      </c>
      <c r="G74" s="346"/>
      <c r="H74" s="340">
        <f t="shared" si="23"/>
        <v>0</v>
      </c>
      <c r="I74" s="421"/>
      <c r="J74" s="341"/>
      <c r="K74" s="342"/>
      <c r="L74" s="343"/>
      <c r="M74" s="344"/>
      <c r="N74" s="344"/>
      <c r="O74" s="342"/>
      <c r="P74" s="424"/>
      <c r="Q74" s="345"/>
      <c r="R74" s="345"/>
    </row>
    <row r="75" spans="1:18" ht="15.75" customHeight="1">
      <c r="A75" s="577"/>
      <c r="B75" s="336">
        <v>0</v>
      </c>
      <c r="C75" s="204" t="s">
        <v>241</v>
      </c>
      <c r="D75" s="571" t="s">
        <v>219</v>
      </c>
      <c r="E75" s="571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3246.6582612875832</v>
      </c>
      <c r="L75" s="355">
        <f>AVERAGE(L65:L74)</f>
        <v>1044.4388081842965</v>
      </c>
      <c r="M75" s="344"/>
      <c r="N75" s="344"/>
      <c r="O75" s="335"/>
      <c r="P75" s="335"/>
      <c r="Q75" s="335"/>
      <c r="R75" s="335"/>
    </row>
    <row r="76" spans="1:18" ht="16.2" customHeight="1">
      <c r="A76" s="556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7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424"/>
      <c r="Q76" s="345"/>
      <c r="R76" s="345"/>
    </row>
    <row r="77" spans="1:18">
      <c r="A77" s="556"/>
      <c r="B77" s="336">
        <v>0</v>
      </c>
      <c r="C77" s="349"/>
      <c r="D77" s="557"/>
      <c r="E77" s="558"/>
      <c r="F77" s="339" t="s">
        <v>161</v>
      </c>
      <c r="G77" s="419"/>
      <c r="H77" s="340">
        <f t="shared" si="17"/>
        <v>0</v>
      </c>
      <c r="I77" s="421"/>
      <c r="J77" s="341"/>
      <c r="K77" s="342"/>
      <c r="L77" s="343"/>
      <c r="M77" s="344"/>
      <c r="N77" s="344"/>
      <c r="O77" s="335"/>
      <c r="P77" s="424"/>
      <c r="Q77" s="335"/>
      <c r="R77" s="335"/>
    </row>
    <row r="78" spans="1:18">
      <c r="A78" s="556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7"/>
        <v>0</v>
      </c>
      <c r="I78" s="421"/>
      <c r="J78" s="341"/>
      <c r="K78" s="342"/>
      <c r="L78" s="343"/>
      <c r="M78" s="344"/>
      <c r="N78" s="344"/>
      <c r="O78" s="335"/>
      <c r="P78" s="424"/>
      <c r="Q78" s="335"/>
      <c r="R78" s="335"/>
    </row>
    <row r="79" spans="1:18">
      <c r="A79" s="556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7"/>
        <v>0</v>
      </c>
      <c r="I79" s="421"/>
      <c r="J79" s="341"/>
      <c r="K79" s="342"/>
      <c r="L79" s="343"/>
      <c r="M79" s="344"/>
      <c r="N79" s="344"/>
      <c r="O79" s="335"/>
      <c r="P79" s="424"/>
      <c r="Q79" s="335"/>
      <c r="R79" s="335"/>
    </row>
    <row r="80" spans="1:18">
      <c r="A80" s="556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7"/>
        <v>0</v>
      </c>
      <c r="I80" s="421"/>
      <c r="J80" s="341"/>
      <c r="K80" s="342"/>
      <c r="L80" s="343"/>
      <c r="M80" s="344"/>
      <c r="N80" s="344"/>
      <c r="O80" s="335"/>
      <c r="P80" s="424"/>
      <c r="Q80" s="335"/>
      <c r="R80" s="335"/>
    </row>
    <row r="81" spans="1:18" ht="15.75" customHeight="1">
      <c r="A81" s="556"/>
      <c r="B81" s="336">
        <v>0</v>
      </c>
      <c r="C81" s="204" t="s">
        <v>31</v>
      </c>
      <c r="D81" s="559" t="s">
        <v>219</v>
      </c>
      <c r="E81" s="560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561" t="s">
        <v>242</v>
      </c>
      <c r="B82" s="336" t="s">
        <v>165</v>
      </c>
      <c r="C82" s="359"/>
      <c r="D82" s="361" t="s">
        <v>243</v>
      </c>
      <c r="E82" s="388"/>
      <c r="F82" s="339">
        <v>22.32</v>
      </c>
      <c r="G82" s="364">
        <v>2243</v>
      </c>
      <c r="H82" s="389">
        <f t="shared" ref="H82:H90" si="25">F82*G82</f>
        <v>50063.76</v>
      </c>
      <c r="I82" s="421"/>
      <c r="J82" s="341">
        <v>4</v>
      </c>
      <c r="K82" s="342">
        <f>G82/P82*60</f>
        <v>2990.6666666666665</v>
      </c>
      <c r="L82" s="343">
        <f t="shared" ref="L82:L83" si="26">K82/J82</f>
        <v>747.66666666666663</v>
      </c>
      <c r="M82" s="344">
        <v>0.72222222222222221</v>
      </c>
      <c r="N82" s="344">
        <v>0.75347222222222221</v>
      </c>
      <c r="O82" s="342">
        <v>20</v>
      </c>
      <c r="P82" s="424">
        <f>(N82-M82)*24*60</f>
        <v>45</v>
      </c>
      <c r="Q82" s="345"/>
      <c r="R82" s="345"/>
    </row>
    <row r="83" spans="1:18">
      <c r="A83" s="562"/>
      <c r="B83" s="336" t="s">
        <v>165</v>
      </c>
      <c r="C83" s="359"/>
      <c r="D83" s="394" t="s">
        <v>244</v>
      </c>
      <c r="E83" s="388"/>
      <c r="F83" s="339">
        <v>24.54</v>
      </c>
      <c r="G83" s="364">
        <v>1430</v>
      </c>
      <c r="H83" s="389">
        <f t="shared" si="25"/>
        <v>35092.199999999997</v>
      </c>
      <c r="I83" s="421"/>
      <c r="J83" s="341">
        <v>3</v>
      </c>
      <c r="K83" s="342">
        <f t="shared" ref="K83" si="27">G83/P83*60</f>
        <v>2144.9999999999991</v>
      </c>
      <c r="L83" s="343">
        <f t="shared" si="26"/>
        <v>714.99999999999966</v>
      </c>
      <c r="M83" s="344">
        <v>0.7680555555555556</v>
      </c>
      <c r="N83" s="344">
        <v>0.79583333333333339</v>
      </c>
      <c r="O83" s="342">
        <v>21</v>
      </c>
      <c r="P83" s="424">
        <f t="shared" ref="P83" si="28">(N83-M83)*24*60</f>
        <v>40.000000000000014</v>
      </c>
      <c r="Q83" s="345"/>
      <c r="R83" s="345"/>
    </row>
    <row r="84" spans="1:18">
      <c r="A84" s="562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5"/>
        <v>0</v>
      </c>
      <c r="I84" s="421"/>
      <c r="J84" s="341"/>
      <c r="K84" s="342"/>
      <c r="L84" s="343"/>
      <c r="M84" s="344"/>
      <c r="N84" s="344"/>
      <c r="O84" s="342"/>
      <c r="P84" s="424"/>
      <c r="Q84" s="345"/>
      <c r="R84" s="345"/>
    </row>
    <row r="85" spans="1:18">
      <c r="A85" s="562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5"/>
        <v>0</v>
      </c>
      <c r="I85" s="421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562"/>
      <c r="B86" s="336">
        <v>0</v>
      </c>
      <c r="C86" s="359"/>
      <c r="D86" s="361"/>
      <c r="E86" s="388"/>
      <c r="F86" s="339" t="s">
        <v>161</v>
      </c>
      <c r="G86" s="419"/>
      <c r="H86" s="390">
        <f t="shared" si="25"/>
        <v>0</v>
      </c>
      <c r="I86" s="421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562"/>
      <c r="B87" s="336">
        <v>0</v>
      </c>
      <c r="C87" s="359"/>
      <c r="D87" s="361"/>
      <c r="E87" s="388"/>
      <c r="F87" s="339" t="s">
        <v>161</v>
      </c>
      <c r="G87" s="419"/>
      <c r="H87" s="390">
        <f t="shared" si="25"/>
        <v>0</v>
      </c>
      <c r="I87" s="421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562"/>
      <c r="B88" s="336">
        <v>0</v>
      </c>
      <c r="C88" s="359"/>
      <c r="D88" s="361"/>
      <c r="E88" s="388"/>
      <c r="F88" s="339" t="s">
        <v>161</v>
      </c>
      <c r="G88" s="419"/>
      <c r="H88" s="390">
        <f t="shared" si="25"/>
        <v>0</v>
      </c>
      <c r="I88" s="421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562"/>
      <c r="B89" s="336">
        <v>0</v>
      </c>
      <c r="C89" s="359"/>
      <c r="D89" s="361"/>
      <c r="E89" s="388"/>
      <c r="F89" s="339" t="s">
        <v>161</v>
      </c>
      <c r="G89" s="419"/>
      <c r="H89" s="390">
        <f t="shared" si="25"/>
        <v>0</v>
      </c>
      <c r="I89" s="421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562"/>
      <c r="B90" s="336">
        <v>0</v>
      </c>
      <c r="C90" s="359"/>
      <c r="D90" s="361"/>
      <c r="E90" s="388"/>
      <c r="F90" s="339" t="s">
        <v>161</v>
      </c>
      <c r="G90" s="419"/>
      <c r="H90" s="390">
        <f t="shared" si="25"/>
        <v>0</v>
      </c>
      <c r="I90" s="421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562"/>
      <c r="B91" s="336">
        <v>0</v>
      </c>
      <c r="C91" s="204" t="s">
        <v>224</v>
      </c>
      <c r="D91" s="563" t="s">
        <v>219</v>
      </c>
      <c r="E91" s="563"/>
      <c r="F91" s="350"/>
      <c r="G91" s="392"/>
      <c r="H91" s="393"/>
      <c r="I91" s="353"/>
      <c r="J91" s="354">
        <f>AVERAGE(J82:J90)</f>
        <v>3.5</v>
      </c>
      <c r="K91" s="354">
        <f>AVERAGE(K82:K90)</f>
        <v>2567.833333333333</v>
      </c>
      <c r="L91" s="355">
        <f>AVERAGE(L82:L90)</f>
        <v>731.33333333333314</v>
      </c>
      <c r="M91" s="344"/>
      <c r="N91" s="344"/>
      <c r="O91" s="342"/>
      <c r="P91" s="342"/>
      <c r="Q91" s="343"/>
      <c r="R91" s="343"/>
    </row>
    <row r="92" spans="1:18" ht="16.2" customHeight="1">
      <c r="A92" s="564" t="s">
        <v>245</v>
      </c>
      <c r="B92" s="336" t="s">
        <v>165</v>
      </c>
      <c r="C92" s="349"/>
      <c r="D92" s="361" t="s">
        <v>185</v>
      </c>
      <c r="E92" s="388"/>
      <c r="F92" s="339">
        <v>16.66</v>
      </c>
      <c r="G92" s="419">
        <v>7589</v>
      </c>
      <c r="H92" s="340">
        <f t="shared" ref="H92:H99" si="29">F92*G92</f>
        <v>126432.74</v>
      </c>
      <c r="I92" s="421"/>
      <c r="J92" s="341">
        <v>4</v>
      </c>
      <c r="K92" s="342">
        <f>G92/P92*60</f>
        <v>2759.6363636363658</v>
      </c>
      <c r="L92" s="343">
        <f t="shared" ref="L92:L93" si="30">K92/J92</f>
        <v>689.90909090909145</v>
      </c>
      <c r="M92" s="344">
        <v>0.72222222222222221</v>
      </c>
      <c r="N92" s="344">
        <v>0.83680555555555547</v>
      </c>
      <c r="O92" s="335">
        <v>20</v>
      </c>
      <c r="P92" s="424">
        <f>(N92-M92)*24*60</f>
        <v>164.99999999999989</v>
      </c>
      <c r="Q92" s="345"/>
      <c r="R92" s="345"/>
    </row>
    <row r="93" spans="1:18">
      <c r="A93" s="565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4995</v>
      </c>
      <c r="H93" s="340">
        <f t="shared" si="29"/>
        <v>89365.090909090912</v>
      </c>
      <c r="I93" s="421"/>
      <c r="J93" s="341">
        <v>3</v>
      </c>
      <c r="K93" s="342">
        <f t="shared" ref="K93" si="31">G93/P93*60</f>
        <v>2775.0000000000059</v>
      </c>
      <c r="L93" s="343">
        <f t="shared" si="30"/>
        <v>925.00000000000193</v>
      </c>
      <c r="M93" s="344">
        <v>0.85069444444444453</v>
      </c>
      <c r="N93" s="344">
        <v>0.92569444444444438</v>
      </c>
      <c r="O93" s="335">
        <v>20</v>
      </c>
      <c r="P93" s="424">
        <f>(N93-M93)*24*60</f>
        <v>107.99999999999977</v>
      </c>
      <c r="Q93" s="345"/>
      <c r="R93" s="345"/>
    </row>
    <row r="94" spans="1:18">
      <c r="A94" s="565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9"/>
        <v>0</v>
      </c>
      <c r="I94" s="421"/>
      <c r="J94" s="341"/>
      <c r="K94" s="342"/>
      <c r="L94" s="343"/>
      <c r="M94" s="344"/>
      <c r="N94" s="344"/>
      <c r="O94" s="335"/>
      <c r="P94" s="424"/>
      <c r="Q94" s="345"/>
      <c r="R94" s="345"/>
    </row>
    <row r="95" spans="1:18">
      <c r="A95" s="566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9"/>
        <v>0</v>
      </c>
      <c r="I95" s="421"/>
      <c r="J95" s="341"/>
      <c r="K95" s="342"/>
      <c r="L95" s="343"/>
      <c r="M95" s="344"/>
      <c r="N95" s="344"/>
      <c r="O95" s="335"/>
      <c r="P95" s="424"/>
      <c r="Q95" s="345"/>
      <c r="R95" s="345"/>
    </row>
    <row r="96" spans="1:18">
      <c r="A96" s="566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9"/>
        <v>0</v>
      </c>
      <c r="I96" s="421"/>
      <c r="J96" s="341"/>
      <c r="K96" s="342"/>
      <c r="L96" s="343"/>
      <c r="M96" s="344"/>
      <c r="N96" s="344"/>
      <c r="O96" s="335"/>
      <c r="P96" s="424"/>
      <c r="Q96" s="345"/>
      <c r="R96" s="345"/>
    </row>
    <row r="97" spans="1:18">
      <c r="A97" s="566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9"/>
        <v>0</v>
      </c>
      <c r="I97" s="421"/>
      <c r="J97" s="341"/>
      <c r="K97" s="342"/>
      <c r="L97" s="343"/>
      <c r="M97" s="344"/>
      <c r="N97" s="344"/>
      <c r="O97" s="335"/>
      <c r="P97" s="424"/>
      <c r="Q97" s="345"/>
      <c r="R97" s="345"/>
    </row>
    <row r="98" spans="1:18">
      <c r="A98" s="566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9"/>
        <v>0</v>
      </c>
      <c r="I98" s="421"/>
      <c r="J98" s="341"/>
      <c r="K98" s="342"/>
      <c r="L98" s="343"/>
      <c r="M98" s="344"/>
      <c r="N98" s="344"/>
      <c r="O98" s="335"/>
      <c r="P98" s="424"/>
      <c r="Q98" s="345"/>
      <c r="R98" s="345"/>
    </row>
    <row r="99" spans="1:18">
      <c r="A99" s="566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9"/>
        <v>0</v>
      </c>
      <c r="I99" s="421"/>
      <c r="J99" s="341"/>
      <c r="K99" s="342"/>
      <c r="L99" s="343"/>
      <c r="M99" s="344"/>
      <c r="N99" s="344"/>
      <c r="O99" s="335"/>
      <c r="P99" s="424"/>
      <c r="Q99" s="345"/>
      <c r="R99" s="345"/>
    </row>
    <row r="100" spans="1:18" ht="15.75" customHeight="1">
      <c r="A100" s="566"/>
      <c r="B100" s="336">
        <v>0</v>
      </c>
      <c r="C100" s="204" t="s">
        <v>246</v>
      </c>
      <c r="D100" s="559" t="s">
        <v>219</v>
      </c>
      <c r="E100" s="560"/>
      <c r="F100" s="350"/>
      <c r="G100" s="351"/>
      <c r="H100" s="395"/>
      <c r="I100" s="353"/>
      <c r="J100" s="354">
        <f>AVERAGE(J92:J99)</f>
        <v>3.5</v>
      </c>
      <c r="K100" s="354">
        <f>AVERAGE(K92:K99)</f>
        <v>2767.3181818181856</v>
      </c>
      <c r="L100" s="355">
        <f>AVERAGE(L92:L99)</f>
        <v>807.45454545454663</v>
      </c>
      <c r="M100" s="344"/>
      <c r="N100" s="344"/>
      <c r="O100" s="342"/>
      <c r="P100" s="342"/>
      <c r="Q100" s="343"/>
      <c r="R100" s="343"/>
    </row>
    <row r="101" spans="1:18" ht="16.2" customHeight="1">
      <c r="A101" s="551" t="s">
        <v>247</v>
      </c>
      <c r="B101" s="336" t="s">
        <v>165</v>
      </c>
      <c r="C101" s="204"/>
      <c r="D101" s="361" t="s">
        <v>248</v>
      </c>
      <c r="E101" s="425"/>
      <c r="F101" s="339">
        <v>30</v>
      </c>
      <c r="G101" s="419">
        <v>2170</v>
      </c>
      <c r="H101" s="340">
        <f t="shared" ref="H101:H110" si="32">F101*G101</f>
        <v>65100</v>
      </c>
      <c r="I101" s="421"/>
      <c r="J101" s="341">
        <v>3</v>
      </c>
      <c r="K101" s="342">
        <f>G101/P101*60</f>
        <v>2893.3333333333335</v>
      </c>
      <c r="L101" s="343">
        <f t="shared" ref="L101:L105" si="33">K101/J101</f>
        <v>964.44444444444446</v>
      </c>
      <c r="M101" s="344">
        <v>0.72222222222222221</v>
      </c>
      <c r="N101" s="344">
        <v>0.75347222222222221</v>
      </c>
      <c r="O101" s="335">
        <v>20</v>
      </c>
      <c r="P101" s="342">
        <f t="shared" ref="P101:P103" si="34">(N101-M101)*24*60</f>
        <v>45</v>
      </c>
      <c r="Q101" s="343"/>
      <c r="R101" s="345"/>
    </row>
    <row r="102" spans="1:18" ht="15.6" customHeight="1">
      <c r="A102" s="551"/>
      <c r="B102" s="336" t="s">
        <v>165</v>
      </c>
      <c r="C102" s="204"/>
      <c r="D102" s="361" t="s">
        <v>187</v>
      </c>
      <c r="E102" s="425"/>
      <c r="F102" s="339">
        <v>24.82</v>
      </c>
      <c r="G102" s="419">
        <v>2016</v>
      </c>
      <c r="H102" s="340">
        <f t="shared" si="32"/>
        <v>50037.120000000003</v>
      </c>
      <c r="I102" s="421"/>
      <c r="J102" s="341">
        <v>4</v>
      </c>
      <c r="K102" s="342">
        <f t="shared" ref="K102:K105" si="35">G102/P102*60</f>
        <v>2950.2439024390233</v>
      </c>
      <c r="L102" s="343">
        <f t="shared" si="33"/>
        <v>737.56097560975581</v>
      </c>
      <c r="M102" s="344">
        <v>0.7680555555555556</v>
      </c>
      <c r="N102" s="344">
        <v>0.79652777777777783</v>
      </c>
      <c r="O102" s="335">
        <v>21</v>
      </c>
      <c r="P102" s="342">
        <f t="shared" si="34"/>
        <v>41.000000000000014</v>
      </c>
      <c r="Q102" s="345"/>
      <c r="R102" s="345"/>
    </row>
    <row r="103" spans="1:18">
      <c r="A103" s="551"/>
      <c r="B103" s="336" t="s">
        <v>165</v>
      </c>
      <c r="C103" s="204"/>
      <c r="D103" s="361" t="s">
        <v>249</v>
      </c>
      <c r="E103" s="361"/>
      <c r="F103" s="339">
        <v>23.8</v>
      </c>
      <c r="G103" s="419">
        <v>949</v>
      </c>
      <c r="H103" s="340">
        <f t="shared" si="32"/>
        <v>22586.2</v>
      </c>
      <c r="I103" s="421"/>
      <c r="J103" s="341">
        <v>4</v>
      </c>
      <c r="K103" s="342">
        <f t="shared" si="35"/>
        <v>2711.4285714285811</v>
      </c>
      <c r="L103" s="343">
        <f t="shared" si="33"/>
        <v>677.85714285714528</v>
      </c>
      <c r="M103" s="344">
        <v>0.80902777777777779</v>
      </c>
      <c r="N103" s="344">
        <v>0.82361111111111107</v>
      </c>
      <c r="O103" s="335">
        <v>21</v>
      </c>
      <c r="P103" s="342">
        <f t="shared" si="34"/>
        <v>20.999999999999925</v>
      </c>
      <c r="Q103" s="345"/>
      <c r="R103" s="345"/>
    </row>
    <row r="104" spans="1:18">
      <c r="A104" s="551"/>
      <c r="B104" s="336" t="s">
        <v>165</v>
      </c>
      <c r="C104" s="204"/>
      <c r="D104" s="361" t="s">
        <v>250</v>
      </c>
      <c r="E104" s="379"/>
      <c r="F104" s="339">
        <v>24.76</v>
      </c>
      <c r="G104" s="419">
        <v>1594</v>
      </c>
      <c r="H104" s="340">
        <f t="shared" si="32"/>
        <v>39467.440000000002</v>
      </c>
      <c r="I104" s="421"/>
      <c r="J104" s="341">
        <v>4</v>
      </c>
      <c r="K104" s="342">
        <f t="shared" si="35"/>
        <v>3187.9999999999945</v>
      </c>
      <c r="L104" s="343">
        <f t="shared" si="33"/>
        <v>796.99999999999864</v>
      </c>
      <c r="M104" s="344">
        <v>0.83750000000000002</v>
      </c>
      <c r="N104" s="344">
        <v>0.85833333333333339</v>
      </c>
      <c r="O104" s="335">
        <v>20</v>
      </c>
      <c r="P104" s="342">
        <f>(N104-M104)*24*60</f>
        <v>30.000000000000053</v>
      </c>
      <c r="Q104" s="345"/>
      <c r="R104" s="345"/>
    </row>
    <row r="105" spans="1:18">
      <c r="A105" s="551"/>
      <c r="B105" s="336" t="s">
        <v>165</v>
      </c>
      <c r="C105" s="204"/>
      <c r="D105" s="361" t="s">
        <v>251</v>
      </c>
      <c r="E105" s="363"/>
      <c r="F105" s="339">
        <v>14.03</v>
      </c>
      <c r="G105" s="419">
        <v>7642</v>
      </c>
      <c r="H105" s="340">
        <f t="shared" si="32"/>
        <v>107217.26</v>
      </c>
      <c r="I105" s="421"/>
      <c r="J105" s="341">
        <v>3</v>
      </c>
      <c r="K105" s="342">
        <f t="shared" si="35"/>
        <v>2996.8627450980407</v>
      </c>
      <c r="L105" s="343">
        <f t="shared" si="33"/>
        <v>998.95424836601353</v>
      </c>
      <c r="M105" s="344">
        <v>0.87291666666666667</v>
      </c>
      <c r="N105" s="344">
        <v>0.97916666666666663</v>
      </c>
      <c r="O105" s="335">
        <v>21</v>
      </c>
      <c r="P105" s="342">
        <f>(N105-M105)*24*60</f>
        <v>152.99999999999994</v>
      </c>
      <c r="Q105" s="343"/>
      <c r="R105" s="345"/>
    </row>
    <row r="106" spans="1:18">
      <c r="A106" s="551"/>
      <c r="B106" s="336">
        <v>0</v>
      </c>
      <c r="C106" s="204"/>
      <c r="D106" s="363"/>
      <c r="E106" s="425"/>
      <c r="F106" s="339" t="s">
        <v>161</v>
      </c>
      <c r="G106" s="346"/>
      <c r="H106" s="340">
        <f t="shared" si="32"/>
        <v>0</v>
      </c>
      <c r="I106" s="421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551"/>
      <c r="B107" s="336">
        <v>0</v>
      </c>
      <c r="C107" s="204"/>
      <c r="D107" s="361"/>
      <c r="E107" s="363"/>
      <c r="F107" s="339" t="s">
        <v>161</v>
      </c>
      <c r="G107" s="419"/>
      <c r="H107" s="340">
        <f t="shared" si="32"/>
        <v>0</v>
      </c>
      <c r="I107" s="421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551"/>
      <c r="B108" s="336">
        <v>0</v>
      </c>
      <c r="C108" s="204"/>
      <c r="D108" s="361"/>
      <c r="E108" s="363"/>
      <c r="F108" s="339" t="s">
        <v>161</v>
      </c>
      <c r="G108" s="419"/>
      <c r="H108" s="340">
        <f t="shared" si="32"/>
        <v>0</v>
      </c>
      <c r="I108" s="421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551"/>
      <c r="B109" s="336">
        <v>0</v>
      </c>
      <c r="C109" s="349"/>
      <c r="D109" s="361"/>
      <c r="E109" s="363"/>
      <c r="F109" s="339" t="s">
        <v>161</v>
      </c>
      <c r="G109" s="419"/>
      <c r="H109" s="340">
        <f t="shared" si="32"/>
        <v>0</v>
      </c>
      <c r="I109" s="421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551"/>
      <c r="B110" s="336">
        <v>0</v>
      </c>
      <c r="C110" s="349"/>
      <c r="D110" s="361"/>
      <c r="E110" s="363"/>
      <c r="F110" s="339" t="s">
        <v>161</v>
      </c>
      <c r="G110" s="419"/>
      <c r="H110" s="340">
        <f t="shared" si="32"/>
        <v>0</v>
      </c>
      <c r="I110" s="421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551"/>
      <c r="B111" s="336">
        <v>0</v>
      </c>
      <c r="C111" s="204" t="s">
        <v>236</v>
      </c>
      <c r="D111" s="552" t="s">
        <v>219</v>
      </c>
      <c r="E111" s="553"/>
      <c r="F111" s="396"/>
      <c r="G111" s="397"/>
      <c r="H111" s="352"/>
      <c r="I111" s="353"/>
      <c r="J111" s="354">
        <f>AVERAGE(J101:J110)</f>
        <v>3.6</v>
      </c>
      <c r="K111" s="354">
        <f>AVERAGE(K101:K110)</f>
        <v>2947.9737104597943</v>
      </c>
      <c r="L111" s="355">
        <f>AVERAGE(L101:L110)</f>
        <v>835.16336225547161</v>
      </c>
      <c r="M111" s="344"/>
      <c r="N111" s="344"/>
      <c r="O111" s="342"/>
      <c r="P111" s="342"/>
      <c r="Q111" s="343"/>
      <c r="R111" s="335"/>
    </row>
    <row r="112" spans="1:18" ht="16.2" customHeight="1">
      <c r="A112" s="554" t="s">
        <v>252</v>
      </c>
      <c r="B112" s="336" t="s">
        <v>165</v>
      </c>
      <c r="C112" s="204"/>
      <c r="D112" s="363" t="s">
        <v>188</v>
      </c>
      <c r="E112" s="398"/>
      <c r="F112" s="339">
        <v>28.57</v>
      </c>
      <c r="G112" s="419">
        <v>3737</v>
      </c>
      <c r="H112" s="389">
        <f t="shared" si="17"/>
        <v>106766.09</v>
      </c>
      <c r="I112" s="421"/>
      <c r="J112" s="341">
        <v>3</v>
      </c>
      <c r="K112" s="342">
        <f t="shared" ref="K112:K117" si="36">G112/P112*60</f>
        <v>2989.6000000000045</v>
      </c>
      <c r="L112" s="343">
        <f t="shared" ref="L112:L117" si="37">K112/J112</f>
        <v>996.53333333333478</v>
      </c>
      <c r="M112" s="344">
        <v>0.72222222222222221</v>
      </c>
      <c r="N112" s="344">
        <v>0.77430555555555547</v>
      </c>
      <c r="O112" s="335">
        <v>20</v>
      </c>
      <c r="P112" s="424">
        <f t="shared" ref="P112:P116" si="38">(N112-M112)*24*60</f>
        <v>74.999999999999886</v>
      </c>
      <c r="Q112" s="335"/>
      <c r="R112" s="335"/>
    </row>
    <row r="113" spans="1:18">
      <c r="A113" s="554"/>
      <c r="B113" s="336" t="s">
        <v>165</v>
      </c>
      <c r="C113" s="359"/>
      <c r="D113" s="386" t="s">
        <v>253</v>
      </c>
      <c r="E113" s="386"/>
      <c r="F113" s="339">
        <v>25.03</v>
      </c>
      <c r="G113" s="419">
        <v>1153</v>
      </c>
      <c r="H113" s="389">
        <f t="shared" si="17"/>
        <v>28859.59</v>
      </c>
      <c r="I113" s="421"/>
      <c r="J113" s="341">
        <v>4</v>
      </c>
      <c r="K113" s="342">
        <f t="shared" si="36"/>
        <v>2767.2000000000276</v>
      </c>
      <c r="L113" s="343">
        <f t="shared" si="37"/>
        <v>691.80000000000689</v>
      </c>
      <c r="M113" s="344">
        <v>0.78819444444444453</v>
      </c>
      <c r="N113" s="344">
        <v>0.80555555555555547</v>
      </c>
      <c r="O113" s="335">
        <v>20</v>
      </c>
      <c r="P113" s="424">
        <f t="shared" si="38"/>
        <v>24.999999999999751</v>
      </c>
      <c r="Q113" s="345"/>
      <c r="R113" s="345"/>
    </row>
    <row r="114" spans="1:18">
      <c r="A114" s="554"/>
      <c r="B114" s="336" t="s">
        <v>165</v>
      </c>
      <c r="C114" s="359"/>
      <c r="D114" s="386" t="s">
        <v>254</v>
      </c>
      <c r="E114" s="361"/>
      <c r="F114" s="339">
        <v>16.7</v>
      </c>
      <c r="G114" s="419">
        <v>2127</v>
      </c>
      <c r="H114" s="389">
        <f t="shared" si="17"/>
        <v>35520.9</v>
      </c>
      <c r="I114" s="421"/>
      <c r="J114" s="341">
        <v>3</v>
      </c>
      <c r="K114" s="342">
        <f t="shared" si="36"/>
        <v>2967.9069767441856</v>
      </c>
      <c r="L114" s="343">
        <f t="shared" si="37"/>
        <v>989.30232558139517</v>
      </c>
      <c r="M114" s="344">
        <v>0.82013888888888886</v>
      </c>
      <c r="N114" s="344">
        <v>0.85</v>
      </c>
      <c r="O114" s="335">
        <v>21</v>
      </c>
      <c r="P114" s="424">
        <f t="shared" si="38"/>
        <v>43.000000000000007</v>
      </c>
      <c r="Q114" s="345"/>
      <c r="R114" s="345"/>
    </row>
    <row r="115" spans="1:18">
      <c r="A115" s="554"/>
      <c r="B115" s="336" t="s">
        <v>165</v>
      </c>
      <c r="C115" s="359"/>
      <c r="D115" s="363" t="s">
        <v>255</v>
      </c>
      <c r="E115" s="379"/>
      <c r="F115" s="339">
        <v>18.18</v>
      </c>
      <c r="G115" s="419">
        <v>1567</v>
      </c>
      <c r="H115" s="389">
        <f t="shared" si="17"/>
        <v>28488.06</v>
      </c>
      <c r="I115" s="421"/>
      <c r="J115" s="341">
        <v>3</v>
      </c>
      <c r="K115" s="342">
        <f t="shared" si="36"/>
        <v>2938.1249999999964</v>
      </c>
      <c r="L115" s="343">
        <f t="shared" si="37"/>
        <v>979.37499999999875</v>
      </c>
      <c r="M115" s="344">
        <v>0.86458333333333337</v>
      </c>
      <c r="N115" s="344">
        <v>0.88680555555555562</v>
      </c>
      <c r="O115" s="335">
        <v>21</v>
      </c>
      <c r="P115" s="424">
        <f t="shared" si="38"/>
        <v>32.000000000000043</v>
      </c>
      <c r="Q115" s="345"/>
      <c r="R115" s="345"/>
    </row>
    <row r="116" spans="1:18">
      <c r="A116" s="554"/>
      <c r="B116" s="336" t="s">
        <v>165</v>
      </c>
      <c r="C116" s="359"/>
      <c r="D116" s="386" t="s">
        <v>256</v>
      </c>
      <c r="E116" s="363"/>
      <c r="F116" s="339">
        <v>18.18</v>
      </c>
      <c r="G116" s="419">
        <v>1493</v>
      </c>
      <c r="H116" s="389">
        <f t="shared" si="17"/>
        <v>27142.739999999998</v>
      </c>
      <c r="I116" s="421"/>
      <c r="J116" s="341">
        <v>3</v>
      </c>
      <c r="K116" s="342">
        <f t="shared" si="36"/>
        <v>2985.999999999995</v>
      </c>
      <c r="L116" s="343">
        <f t="shared" si="37"/>
        <v>995.33333333333167</v>
      </c>
      <c r="M116" s="344">
        <v>0.90069444444444446</v>
      </c>
      <c r="N116" s="391">
        <v>0.92152777777777783</v>
      </c>
      <c r="O116" s="335">
        <v>20</v>
      </c>
      <c r="P116" s="424">
        <f t="shared" si="38"/>
        <v>30.000000000000053</v>
      </c>
      <c r="Q116" s="345"/>
      <c r="R116" s="345"/>
    </row>
    <row r="117" spans="1:18">
      <c r="A117" s="554"/>
      <c r="B117" s="336" t="s">
        <v>165</v>
      </c>
      <c r="C117" s="359"/>
      <c r="D117" s="361" t="s">
        <v>257</v>
      </c>
      <c r="E117" s="376"/>
      <c r="F117" s="339">
        <v>14.285714285714283</v>
      </c>
      <c r="G117" s="419">
        <v>11032</v>
      </c>
      <c r="H117" s="389">
        <f t="shared" ref="H117:H123" si="39">F117*G117</f>
        <v>157599.99999999997</v>
      </c>
      <c r="I117" s="421"/>
      <c r="J117" s="341">
        <v>3</v>
      </c>
      <c r="K117" s="342">
        <f t="shared" si="36"/>
        <v>2981.6216216122402</v>
      </c>
      <c r="L117" s="343">
        <f t="shared" si="37"/>
        <v>993.87387387074671</v>
      </c>
      <c r="M117" s="344">
        <v>46296.936111111114</v>
      </c>
      <c r="N117" s="344">
        <v>46297.090277777781</v>
      </c>
      <c r="O117" s="335">
        <v>21</v>
      </c>
      <c r="P117" s="342">
        <f>(N117-M117)*24*60</f>
        <v>222.00000000069849</v>
      </c>
      <c r="Q117" s="345"/>
      <c r="R117" s="345"/>
    </row>
    <row r="118" spans="1:18">
      <c r="A118" s="554"/>
      <c r="B118" s="336">
        <v>0</v>
      </c>
      <c r="C118" s="359"/>
      <c r="D118" s="363"/>
      <c r="E118" s="376"/>
      <c r="F118" s="339" t="s">
        <v>161</v>
      </c>
      <c r="G118" s="419"/>
      <c r="H118" s="389">
        <f t="shared" si="39"/>
        <v>0</v>
      </c>
      <c r="I118" s="421"/>
      <c r="J118" s="341"/>
      <c r="K118" s="342"/>
      <c r="L118" s="343"/>
      <c r="M118" s="344"/>
      <c r="N118" s="344"/>
      <c r="O118" s="342"/>
      <c r="P118" s="424"/>
      <c r="Q118" s="345"/>
      <c r="R118" s="345"/>
    </row>
    <row r="119" spans="1:18">
      <c r="A119" s="554"/>
      <c r="B119" s="336">
        <v>0</v>
      </c>
      <c r="C119" s="359"/>
      <c r="D119" s="386"/>
      <c r="E119" s="376"/>
      <c r="F119" s="339" t="s">
        <v>161</v>
      </c>
      <c r="G119" s="419"/>
      <c r="H119" s="389">
        <f t="shared" si="39"/>
        <v>0</v>
      </c>
      <c r="I119" s="421"/>
      <c r="J119" s="341"/>
      <c r="K119" s="342"/>
      <c r="L119" s="343"/>
      <c r="M119" s="344"/>
      <c r="N119" s="344"/>
      <c r="O119" s="335"/>
      <c r="P119" s="424"/>
      <c r="Q119" s="345"/>
      <c r="R119" s="345"/>
    </row>
    <row r="120" spans="1:18">
      <c r="A120" s="554"/>
      <c r="B120" s="336">
        <v>0</v>
      </c>
      <c r="C120" s="359"/>
      <c r="D120" s="363"/>
      <c r="E120" s="376"/>
      <c r="F120" s="339" t="s">
        <v>161</v>
      </c>
      <c r="G120" s="419"/>
      <c r="H120" s="389">
        <f t="shared" si="39"/>
        <v>0</v>
      </c>
      <c r="I120" s="421"/>
      <c r="J120" s="341"/>
      <c r="K120" s="342"/>
      <c r="L120" s="343"/>
      <c r="M120" s="344"/>
      <c r="N120" s="344"/>
      <c r="O120" s="335"/>
      <c r="P120" s="424"/>
      <c r="Q120" s="345"/>
      <c r="R120" s="345"/>
    </row>
    <row r="121" spans="1:18">
      <c r="A121" s="554"/>
      <c r="B121" s="336">
        <v>0</v>
      </c>
      <c r="C121" s="359"/>
      <c r="D121" s="363"/>
      <c r="E121" s="376"/>
      <c r="F121" s="339" t="s">
        <v>161</v>
      </c>
      <c r="G121" s="419"/>
      <c r="H121" s="389">
        <f t="shared" si="39"/>
        <v>0</v>
      </c>
      <c r="I121" s="421"/>
      <c r="J121" s="341"/>
      <c r="K121" s="342"/>
      <c r="L121" s="343"/>
      <c r="M121" s="344"/>
      <c r="N121" s="344"/>
      <c r="O121" s="335"/>
      <c r="P121" s="424"/>
      <c r="Q121" s="345"/>
      <c r="R121" s="345"/>
    </row>
    <row r="122" spans="1:18" ht="15.6" customHeight="1">
      <c r="A122" s="554"/>
      <c r="B122" s="336">
        <v>0</v>
      </c>
      <c r="C122" s="359"/>
      <c r="D122" s="363"/>
      <c r="E122" s="376"/>
      <c r="F122" s="339" t="s">
        <v>161</v>
      </c>
      <c r="G122" s="419"/>
      <c r="H122" s="389">
        <f t="shared" si="39"/>
        <v>0</v>
      </c>
      <c r="I122" s="421"/>
      <c r="J122" s="341"/>
      <c r="K122" s="342"/>
      <c r="L122" s="343"/>
      <c r="M122" s="344"/>
      <c r="N122" s="344"/>
      <c r="O122" s="335"/>
      <c r="P122" s="424"/>
      <c r="Q122" s="345"/>
      <c r="R122" s="345"/>
    </row>
    <row r="123" spans="1:18">
      <c r="A123" s="554"/>
      <c r="B123" s="336">
        <v>0</v>
      </c>
      <c r="C123" s="359"/>
      <c r="D123" s="363"/>
      <c r="E123" s="376"/>
      <c r="F123" s="339" t="s">
        <v>161</v>
      </c>
      <c r="G123" s="419"/>
      <c r="H123" s="389">
        <f t="shared" si="39"/>
        <v>0</v>
      </c>
      <c r="I123" s="421"/>
      <c r="J123" s="341"/>
      <c r="K123" s="342"/>
      <c r="L123" s="343"/>
      <c r="M123" s="344"/>
      <c r="N123" s="344"/>
      <c r="O123" s="335"/>
      <c r="P123" s="424"/>
      <c r="Q123" s="345"/>
      <c r="R123" s="345"/>
    </row>
    <row r="124" spans="1:18" ht="17.399999999999999" customHeight="1">
      <c r="A124" s="554"/>
      <c r="B124" s="349">
        <v>0</v>
      </c>
      <c r="C124" s="204" t="s">
        <v>241</v>
      </c>
      <c r="D124" s="555" t="s">
        <v>219</v>
      </c>
      <c r="E124" s="555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2938.4089330594084</v>
      </c>
      <c r="L124" s="355">
        <f>AVERAGE(L112:L123)</f>
        <v>941.03631101980227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149" activePane="bottomRight" state="frozen"/>
      <selection activeCell="I168" sqref="I168"/>
      <selection pane="topRight" activeCell="I168" sqref="I168"/>
      <selection pane="bottomLeft" activeCell="I168" sqref="I168"/>
      <selection pane="bottomRight" activeCell="B151" sqref="B151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260</v>
      </c>
      <c r="B1" s="57"/>
      <c r="C1" s="57"/>
      <c r="D1" s="429" t="s">
        <v>198</v>
      </c>
      <c r="E1" s="58">
        <f>SUM(G5:G173)</f>
        <v>157184.9</v>
      </c>
      <c r="F1" s="430" t="s">
        <v>3</v>
      </c>
      <c r="G1" s="59">
        <f>SUM(H5:H173)</f>
        <v>6200271.3426064281</v>
      </c>
      <c r="H1" s="426" t="s">
        <v>77</v>
      </c>
      <c r="I1" s="60">
        <f>M17+M30+M43+M56+M69+M82+M95+M108+M121+M134+M147+M160+M173</f>
        <v>190.29920634920632</v>
      </c>
      <c r="J1" s="674" t="s">
        <v>78</v>
      </c>
      <c r="K1" s="674"/>
      <c r="L1" s="674"/>
      <c r="M1" s="674" t="s">
        <v>79</v>
      </c>
      <c r="N1" s="674"/>
      <c r="O1" s="674"/>
      <c r="P1" s="674" t="s">
        <v>261</v>
      </c>
      <c r="Q1" s="674"/>
      <c r="R1" s="674"/>
      <c r="S1" s="674"/>
      <c r="T1" s="674" t="s">
        <v>201</v>
      </c>
      <c r="U1" s="674"/>
      <c r="V1" s="674"/>
      <c r="W1" s="674"/>
      <c r="X1" s="674"/>
      <c r="Y1" s="674"/>
      <c r="Z1" s="61" t="s">
        <v>262</v>
      </c>
      <c r="AA1" s="61" t="s">
        <v>263</v>
      </c>
      <c r="AB1" s="681" t="s">
        <v>264</v>
      </c>
      <c r="AC1" s="682"/>
      <c r="AD1" s="61" t="s">
        <v>262</v>
      </c>
      <c r="AE1" s="61" t="s">
        <v>265</v>
      </c>
      <c r="AF1" s="674" t="s">
        <v>266</v>
      </c>
      <c r="AG1" s="685"/>
      <c r="AH1" s="685"/>
      <c r="AK1" s="62" t="s">
        <v>267</v>
      </c>
    </row>
    <row r="2" spans="1:37" ht="26.25" customHeight="1">
      <c r="A2" s="671" t="s">
        <v>268</v>
      </c>
      <c r="B2" s="671"/>
      <c r="C2" s="429"/>
      <c r="D2" s="429" t="s">
        <v>203</v>
      </c>
      <c r="E2" s="63">
        <f>AVERAGE(O17,O30,O43,O56,O69,O82,O95,O108,O121,O134,O147,O160,O173)</f>
        <v>126.08545857137561</v>
      </c>
      <c r="F2" s="64" t="s">
        <v>80</v>
      </c>
      <c r="G2" s="65">
        <f>G1/E1</f>
        <v>39.445718657494631</v>
      </c>
      <c r="H2" s="426" t="s">
        <v>81</v>
      </c>
      <c r="I2" s="426">
        <f>COUNT(I5:I173)</f>
        <v>8</v>
      </c>
      <c r="J2" s="674"/>
      <c r="K2" s="674"/>
      <c r="L2" s="674"/>
      <c r="M2" s="674"/>
      <c r="N2" s="674"/>
      <c r="O2" s="674"/>
      <c r="P2" s="674"/>
      <c r="Q2" s="674"/>
      <c r="R2" s="674"/>
      <c r="S2" s="674"/>
      <c r="T2" s="674"/>
      <c r="U2" s="674"/>
      <c r="V2" s="674"/>
      <c r="W2" s="674"/>
      <c r="X2" s="674"/>
      <c r="Y2" s="674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683"/>
      <c r="AC2" s="684"/>
      <c r="AD2" s="67">
        <f>AD17+AD30+AD43+AD56+AD69+AD82+AD95+AD108+AD121+AD134+AD147+AD160+AD173</f>
        <v>3</v>
      </c>
      <c r="AE2" s="67">
        <f>AE17+AE30+AE43+AE56+AE69+AE82+AE95+AE108+AE121+AE134+AE147+AE160+AE173</f>
        <v>3</v>
      </c>
      <c r="AF2" s="685"/>
      <c r="AG2" s="685"/>
      <c r="AH2" s="685"/>
      <c r="AK2" s="402">
        <f>AVERAGE(AK5:AK9999)</f>
        <v>6.4791794674859258</v>
      </c>
    </row>
    <row r="3" spans="1:37" ht="30.6" customHeight="1">
      <c r="A3" s="616" t="s">
        <v>205</v>
      </c>
      <c r="B3" s="616" t="s">
        <v>82</v>
      </c>
      <c r="C3" s="672"/>
      <c r="D3" s="616" t="s">
        <v>207</v>
      </c>
      <c r="E3" s="616"/>
      <c r="F3" s="672" t="s">
        <v>83</v>
      </c>
      <c r="G3" s="676" t="s">
        <v>84</v>
      </c>
      <c r="H3" s="672" t="s">
        <v>85</v>
      </c>
      <c r="I3" s="677" t="s">
        <v>210</v>
      </c>
      <c r="J3" s="680" t="s">
        <v>86</v>
      </c>
      <c r="K3" s="669" t="s">
        <v>87</v>
      </c>
      <c r="L3" s="645" t="s">
        <v>35</v>
      </c>
      <c r="M3" s="676" t="s">
        <v>86</v>
      </c>
      <c r="N3" s="669" t="s">
        <v>212</v>
      </c>
      <c r="O3" s="645" t="s">
        <v>203</v>
      </c>
      <c r="P3" s="680" t="s">
        <v>211</v>
      </c>
      <c r="Q3" s="645" t="s">
        <v>203</v>
      </c>
      <c r="R3" s="670" t="s">
        <v>269</v>
      </c>
      <c r="S3" s="646" t="s">
        <v>270</v>
      </c>
      <c r="T3" s="676" t="s">
        <v>88</v>
      </c>
      <c r="U3" s="676"/>
      <c r="V3" s="675" t="s">
        <v>89</v>
      </c>
      <c r="W3" s="677" t="s">
        <v>213</v>
      </c>
      <c r="X3" s="676" t="s">
        <v>214</v>
      </c>
      <c r="Y3" s="676"/>
      <c r="Z3" s="678" t="s">
        <v>271</v>
      </c>
      <c r="AA3" s="679"/>
      <c r="AB3" s="665" t="s">
        <v>272</v>
      </c>
      <c r="AC3" s="666"/>
      <c r="AD3" s="667" t="s">
        <v>273</v>
      </c>
      <c r="AE3" s="668"/>
      <c r="AF3" s="669" t="s">
        <v>212</v>
      </c>
      <c r="AG3" s="670" t="s">
        <v>269</v>
      </c>
      <c r="AH3" s="646" t="s">
        <v>270</v>
      </c>
      <c r="AK3" s="675" t="s">
        <v>89</v>
      </c>
    </row>
    <row r="4" spans="1:37" ht="30.6" customHeight="1">
      <c r="A4" s="672"/>
      <c r="B4" s="616"/>
      <c r="C4" s="673"/>
      <c r="D4" s="616"/>
      <c r="E4" s="616"/>
      <c r="F4" s="673"/>
      <c r="G4" s="676"/>
      <c r="H4" s="673"/>
      <c r="I4" s="677"/>
      <c r="J4" s="680"/>
      <c r="K4" s="669"/>
      <c r="L4" s="645"/>
      <c r="M4" s="676"/>
      <c r="N4" s="669"/>
      <c r="O4" s="645"/>
      <c r="P4" s="680"/>
      <c r="Q4" s="645"/>
      <c r="R4" s="670"/>
      <c r="S4" s="646"/>
      <c r="T4" s="436" t="s">
        <v>90</v>
      </c>
      <c r="U4" s="436" t="s">
        <v>91</v>
      </c>
      <c r="V4" s="676"/>
      <c r="W4" s="677"/>
      <c r="X4" s="430" t="s">
        <v>215</v>
      </c>
      <c r="Y4" s="430" t="s">
        <v>36</v>
      </c>
      <c r="Z4" s="436" t="s">
        <v>274</v>
      </c>
      <c r="AA4" s="436" t="s">
        <v>275</v>
      </c>
      <c r="AB4" s="666"/>
      <c r="AC4" s="666"/>
      <c r="AD4" s="436" t="s">
        <v>276</v>
      </c>
      <c r="AE4" s="68" t="s">
        <v>277</v>
      </c>
      <c r="AF4" s="669"/>
      <c r="AG4" s="670"/>
      <c r="AH4" s="646"/>
      <c r="AK4" s="676"/>
    </row>
    <row r="5" spans="1:37" ht="18.75" customHeight="1">
      <c r="A5" s="661" t="s">
        <v>278</v>
      </c>
      <c r="B5" s="69" t="s">
        <v>163</v>
      </c>
      <c r="C5" s="70"/>
      <c r="D5" s="71" t="s">
        <v>93</v>
      </c>
      <c r="E5" s="72"/>
      <c r="F5" s="73">
        <v>36.92</v>
      </c>
      <c r="G5" s="74">
        <v>1003.8</v>
      </c>
      <c r="H5" s="75">
        <f t="shared" ref="H5:H16" si="0">F5*G5</f>
        <v>37060.296000000002</v>
      </c>
      <c r="I5" s="427"/>
      <c r="J5" s="76">
        <v>12</v>
      </c>
      <c r="K5" s="74">
        <v>2000</v>
      </c>
      <c r="L5" s="77">
        <v>166.66666666666666</v>
      </c>
      <c r="M5" s="428">
        <v>12</v>
      </c>
      <c r="N5" s="74">
        <f t="shared" ref="N5:N12" si="1">G5/W5*60</f>
        <v>1544.3076923076912</v>
      </c>
      <c r="O5" s="77">
        <f t="shared" ref="O5:O12" si="2">N5/M5</f>
        <v>128.69230769230759</v>
      </c>
      <c r="P5" s="78">
        <f t="shared" ref="P5:P12" si="3">M5-J5</f>
        <v>0</v>
      </c>
      <c r="Q5" s="79">
        <f t="shared" ref="Q5:Q12" si="4">O5-L5</f>
        <v>-37.974358974359063</v>
      </c>
      <c r="R5" s="434">
        <f t="shared" ref="R5:R12" si="5">O5/L5</f>
        <v>0.77215384615384564</v>
      </c>
      <c r="S5" s="631">
        <f>R17</f>
        <v>0.86740116101486364</v>
      </c>
      <c r="T5" s="80">
        <v>0.25</v>
      </c>
      <c r="U5" s="80">
        <v>0.27708333333333335</v>
      </c>
      <c r="V5" s="430">
        <v>5</v>
      </c>
      <c r="W5" s="427">
        <f>(U5-T5)*24*60</f>
        <v>39.000000000000021</v>
      </c>
      <c r="X5" s="430"/>
      <c r="Y5" s="430"/>
      <c r="Z5" s="81"/>
      <c r="AA5" s="81"/>
      <c r="AB5" s="616"/>
      <c r="AC5" s="616"/>
      <c r="AD5" s="82"/>
      <c r="AE5" s="82"/>
      <c r="AF5" s="78">
        <f t="shared" ref="AF5:AF70" si="6">N5-K5</f>
        <v>-455.69230769230876</v>
      </c>
      <c r="AG5" s="434">
        <f t="shared" ref="AG5:AG70" si="7">N5/K5</f>
        <v>0.77215384615384564</v>
      </c>
      <c r="AH5" s="631">
        <f>AG17</f>
        <v>0.87300119674121157</v>
      </c>
      <c r="AJ5" s="62" t="str">
        <f>A5</f>
        <v>四度一組
(ET-600)</v>
      </c>
      <c r="AK5" s="404">
        <f>AVERAGE(AK6:AK16)</f>
        <v>6.4285714285714448</v>
      </c>
    </row>
    <row r="6" spans="1:37" ht="19.2" customHeight="1">
      <c r="A6" s="662"/>
      <c r="B6" s="69" t="s">
        <v>162</v>
      </c>
      <c r="C6" s="70"/>
      <c r="D6" s="71" t="s">
        <v>92</v>
      </c>
      <c r="E6" s="72"/>
      <c r="F6" s="73">
        <v>37.83</v>
      </c>
      <c r="G6" s="74">
        <v>5931</v>
      </c>
      <c r="H6" s="75">
        <f t="shared" si="0"/>
        <v>224369.72999999998</v>
      </c>
      <c r="I6" s="427"/>
      <c r="J6" s="76">
        <v>20</v>
      </c>
      <c r="K6" s="74">
        <v>2400</v>
      </c>
      <c r="L6" s="77">
        <v>120</v>
      </c>
      <c r="M6" s="428">
        <v>20</v>
      </c>
      <c r="N6" s="74">
        <f t="shared" si="1"/>
        <v>2252.2784810126582</v>
      </c>
      <c r="O6" s="77">
        <f t="shared" si="2"/>
        <v>112.6139240506329</v>
      </c>
      <c r="P6" s="78">
        <f t="shared" si="3"/>
        <v>0</v>
      </c>
      <c r="Q6" s="79">
        <f t="shared" si="4"/>
        <v>-7.3860759493670969</v>
      </c>
      <c r="R6" s="434">
        <f t="shared" si="5"/>
        <v>0.93844936708860749</v>
      </c>
      <c r="S6" s="631"/>
      <c r="T6" s="80">
        <v>0.28194444444444444</v>
      </c>
      <c r="U6" s="80">
        <v>0.39166666666666666</v>
      </c>
      <c r="V6" s="430">
        <v>7</v>
      </c>
      <c r="W6" s="427">
        <f t="shared" ref="W6:W17" si="8">(U6-T6)*24*60</f>
        <v>158</v>
      </c>
      <c r="X6" s="83"/>
      <c r="Y6" s="83"/>
      <c r="Z6" s="84"/>
      <c r="AA6" s="84"/>
      <c r="AB6" s="616"/>
      <c r="AC6" s="616"/>
      <c r="AD6" s="443"/>
      <c r="AE6" s="443"/>
      <c r="AF6" s="78">
        <f t="shared" si="6"/>
        <v>-147.72151898734182</v>
      </c>
      <c r="AG6" s="434">
        <f t="shared" si="7"/>
        <v>0.9384493670886076</v>
      </c>
      <c r="AH6" s="631"/>
      <c r="AJ6" s="405">
        <f>IF((IF(V6&lt;10,V6,(X6-U5)*1440))=0,"",IF(V6&lt;10,V6,(X6-U5)*1440))</f>
        <v>7</v>
      </c>
      <c r="AK6" s="406">
        <f>IF(AJ6&gt;4,AJ6,"")</f>
        <v>7</v>
      </c>
    </row>
    <row r="7" spans="1:37" ht="19.2" customHeight="1">
      <c r="A7" s="662"/>
      <c r="B7" s="69" t="s">
        <v>162</v>
      </c>
      <c r="C7" s="70"/>
      <c r="D7" s="71" t="s">
        <v>94</v>
      </c>
      <c r="E7" s="72"/>
      <c r="F7" s="73">
        <v>35.89</v>
      </c>
      <c r="G7" s="74">
        <v>2395</v>
      </c>
      <c r="H7" s="75">
        <f t="shared" si="0"/>
        <v>85956.55</v>
      </c>
      <c r="I7" s="427"/>
      <c r="J7" s="76">
        <v>18</v>
      </c>
      <c r="K7" s="74">
        <v>2571</v>
      </c>
      <c r="L7" s="77">
        <v>142.83333333333334</v>
      </c>
      <c r="M7" s="428">
        <v>18</v>
      </c>
      <c r="N7" s="74">
        <f t="shared" si="1"/>
        <v>2280.9523809523803</v>
      </c>
      <c r="O7" s="77">
        <f t="shared" si="2"/>
        <v>126.71957671957668</v>
      </c>
      <c r="P7" s="78">
        <f t="shared" si="3"/>
        <v>0</v>
      </c>
      <c r="Q7" s="79">
        <f t="shared" si="4"/>
        <v>-16.113756613756664</v>
      </c>
      <c r="R7" s="434">
        <f t="shared" si="5"/>
        <v>0.88718490118723459</v>
      </c>
      <c r="S7" s="631"/>
      <c r="T7" s="80">
        <v>0.40694444444444444</v>
      </c>
      <c r="U7" s="80">
        <v>0.45069444444444445</v>
      </c>
      <c r="V7" s="430">
        <v>22</v>
      </c>
      <c r="W7" s="427">
        <f t="shared" si="8"/>
        <v>63.000000000000014</v>
      </c>
      <c r="X7" s="83">
        <v>0.39583333333333331</v>
      </c>
      <c r="Y7" s="83">
        <v>0.40625</v>
      </c>
      <c r="Z7" s="84"/>
      <c r="AA7" s="84"/>
      <c r="AB7" s="616"/>
      <c r="AC7" s="616"/>
      <c r="AD7" s="443"/>
      <c r="AE7" s="443"/>
      <c r="AF7" s="78">
        <f t="shared" si="6"/>
        <v>-290.04761904761972</v>
      </c>
      <c r="AG7" s="434">
        <f t="shared" si="7"/>
        <v>0.8871849011872347</v>
      </c>
      <c r="AH7" s="631"/>
      <c r="AJ7" s="405">
        <f t="shared" ref="AJ7:AJ16" si="9">IF((IF(V7&lt;10,V7,(X7-U6)*1440))=0,"",IF(V7&lt;10,V7,(X7-U6)*1440))</f>
        <v>5.9999999999999787</v>
      </c>
      <c r="AK7" s="406">
        <f t="shared" ref="AK7:AK16" si="10">IF(AJ7&gt;4,AJ7,"")</f>
        <v>5.9999999999999787</v>
      </c>
    </row>
    <row r="8" spans="1:37" ht="19.2" customHeight="1">
      <c r="A8" s="662"/>
      <c r="B8" s="69" t="s">
        <v>162</v>
      </c>
      <c r="C8" s="70"/>
      <c r="D8" s="71" t="s">
        <v>95</v>
      </c>
      <c r="E8" s="72"/>
      <c r="F8" s="73">
        <v>36.729999999999997</v>
      </c>
      <c r="G8" s="85">
        <v>948</v>
      </c>
      <c r="H8" s="75">
        <f t="shared" si="0"/>
        <v>34820.039999999994</v>
      </c>
      <c r="I8" s="427"/>
      <c r="J8" s="76">
        <v>18</v>
      </c>
      <c r="K8" s="74">
        <v>2571</v>
      </c>
      <c r="L8" s="77">
        <v>142.83333333333334</v>
      </c>
      <c r="M8" s="428">
        <v>18</v>
      </c>
      <c r="N8" s="74">
        <f t="shared" si="1"/>
        <v>2275.2000000000007</v>
      </c>
      <c r="O8" s="77">
        <f t="shared" si="2"/>
        <v>126.40000000000003</v>
      </c>
      <c r="P8" s="78">
        <f t="shared" si="3"/>
        <v>0</v>
      </c>
      <c r="Q8" s="79">
        <f t="shared" si="4"/>
        <v>-16.433333333333309</v>
      </c>
      <c r="R8" s="434">
        <f t="shared" si="5"/>
        <v>0.88494749124854155</v>
      </c>
      <c r="S8" s="631"/>
      <c r="T8" s="80">
        <v>0.45555555555555555</v>
      </c>
      <c r="U8" s="80">
        <v>0.47291666666666665</v>
      </c>
      <c r="V8" s="430">
        <v>7</v>
      </c>
      <c r="W8" s="427">
        <f t="shared" si="8"/>
        <v>24.999999999999993</v>
      </c>
      <c r="X8" s="83"/>
      <c r="Y8" s="83"/>
      <c r="Z8" s="84"/>
      <c r="AA8" s="84"/>
      <c r="AB8" s="616"/>
      <c r="AC8" s="616"/>
      <c r="AD8" s="443"/>
      <c r="AE8" s="443"/>
      <c r="AF8" s="78">
        <f t="shared" si="6"/>
        <v>-295.79999999999927</v>
      </c>
      <c r="AG8" s="434">
        <f t="shared" si="7"/>
        <v>0.88494749124854166</v>
      </c>
      <c r="AH8" s="631"/>
      <c r="AJ8" s="405">
        <f t="shared" si="9"/>
        <v>7</v>
      </c>
      <c r="AK8" s="406">
        <f t="shared" si="10"/>
        <v>7</v>
      </c>
    </row>
    <row r="9" spans="1:37" ht="19.2" customHeight="1">
      <c r="A9" s="662"/>
      <c r="B9" s="69" t="s">
        <v>162</v>
      </c>
      <c r="C9" s="86"/>
      <c r="D9" s="71" t="s">
        <v>96</v>
      </c>
      <c r="E9" s="87"/>
      <c r="F9" s="73">
        <v>28.86</v>
      </c>
      <c r="G9" s="74">
        <v>1327</v>
      </c>
      <c r="H9" s="75">
        <f t="shared" si="0"/>
        <v>38297.22</v>
      </c>
      <c r="I9" s="443"/>
      <c r="J9" s="76">
        <v>17</v>
      </c>
      <c r="K9" s="74">
        <v>2571</v>
      </c>
      <c r="L9" s="77">
        <v>151.23529411764707</v>
      </c>
      <c r="M9" s="428">
        <v>17</v>
      </c>
      <c r="N9" s="74">
        <f t="shared" si="1"/>
        <v>2274.8571428571404</v>
      </c>
      <c r="O9" s="77">
        <f t="shared" si="2"/>
        <v>133.81512605042002</v>
      </c>
      <c r="P9" s="78">
        <f t="shared" si="3"/>
        <v>0</v>
      </c>
      <c r="Q9" s="79">
        <f t="shared" si="4"/>
        <v>-17.420168067227053</v>
      </c>
      <c r="R9" s="434">
        <f t="shared" si="5"/>
        <v>0.88481413568928047</v>
      </c>
      <c r="S9" s="631"/>
      <c r="T9" s="80">
        <v>0.5131944444444444</v>
      </c>
      <c r="U9" s="80">
        <v>0.53749999999999998</v>
      </c>
      <c r="V9" s="430">
        <v>5</v>
      </c>
      <c r="W9" s="427">
        <f t="shared" si="8"/>
        <v>35.000000000000036</v>
      </c>
      <c r="X9" s="83"/>
      <c r="Y9" s="83"/>
      <c r="Z9" s="84"/>
      <c r="AA9" s="84"/>
      <c r="AB9" s="616"/>
      <c r="AC9" s="616"/>
      <c r="AD9" s="443"/>
      <c r="AE9" s="443"/>
      <c r="AF9" s="78">
        <f t="shared" si="6"/>
        <v>-296.14285714285961</v>
      </c>
      <c r="AG9" s="434">
        <f t="shared" si="7"/>
        <v>0.88481413568928058</v>
      </c>
      <c r="AH9" s="631"/>
      <c r="AJ9" s="405">
        <f t="shared" si="9"/>
        <v>5</v>
      </c>
      <c r="AK9" s="406">
        <f t="shared" si="10"/>
        <v>5</v>
      </c>
    </row>
    <row r="10" spans="1:37" ht="19.2" customHeight="1">
      <c r="A10" s="663"/>
      <c r="B10" s="69" t="s">
        <v>162</v>
      </c>
      <c r="C10" s="70"/>
      <c r="D10" s="71" t="s">
        <v>97</v>
      </c>
      <c r="E10" s="72"/>
      <c r="F10" s="73">
        <v>31.11</v>
      </c>
      <c r="G10" s="74">
        <v>1820</v>
      </c>
      <c r="H10" s="75">
        <f t="shared" si="0"/>
        <v>56620.2</v>
      </c>
      <c r="I10" s="427"/>
      <c r="J10" s="76">
        <v>18</v>
      </c>
      <c r="K10" s="74">
        <v>2769</v>
      </c>
      <c r="L10" s="77">
        <v>153.83333333333334</v>
      </c>
      <c r="M10" s="428">
        <v>18</v>
      </c>
      <c r="N10" s="74">
        <f t="shared" si="1"/>
        <v>2323.4042553191493</v>
      </c>
      <c r="O10" s="77">
        <f t="shared" si="2"/>
        <v>129.07801418439718</v>
      </c>
      <c r="P10" s="78">
        <f t="shared" si="3"/>
        <v>0</v>
      </c>
      <c r="Q10" s="79">
        <f t="shared" si="4"/>
        <v>-24.755319148936167</v>
      </c>
      <c r="R10" s="434">
        <f t="shared" si="5"/>
        <v>0.83907701528318857</v>
      </c>
      <c r="S10" s="632"/>
      <c r="T10" s="80">
        <v>0.54166666666666663</v>
      </c>
      <c r="U10" s="80">
        <v>0.57430555555555551</v>
      </c>
      <c r="V10" s="430">
        <v>6</v>
      </c>
      <c r="W10" s="427">
        <f t="shared" si="8"/>
        <v>46.999999999999993</v>
      </c>
      <c r="X10" s="83"/>
      <c r="Y10" s="83"/>
      <c r="Z10" s="84"/>
      <c r="AA10" s="84"/>
      <c r="AB10" s="616"/>
      <c r="AC10" s="616"/>
      <c r="AD10" s="443"/>
      <c r="AE10" s="443"/>
      <c r="AF10" s="78">
        <f>N10-K10</f>
        <v>-445.59574468085066</v>
      </c>
      <c r="AG10" s="434">
        <f>N10/K10</f>
        <v>0.83907701528318868</v>
      </c>
      <c r="AH10" s="632"/>
      <c r="AJ10" s="405">
        <f t="shared" si="9"/>
        <v>6</v>
      </c>
      <c r="AK10" s="406">
        <f t="shared" si="10"/>
        <v>6</v>
      </c>
    </row>
    <row r="11" spans="1:37" ht="19.2" customHeight="1">
      <c r="A11" s="663"/>
      <c r="B11" s="69" t="s">
        <v>162</v>
      </c>
      <c r="C11" s="70"/>
      <c r="D11" s="88" t="s">
        <v>98</v>
      </c>
      <c r="E11" s="72"/>
      <c r="F11" s="73">
        <v>38.479999999999997</v>
      </c>
      <c r="G11" s="74">
        <v>2414</v>
      </c>
      <c r="H11" s="75">
        <f t="shared" si="0"/>
        <v>92890.719999999987</v>
      </c>
      <c r="I11" s="427"/>
      <c r="J11" s="76">
        <v>19</v>
      </c>
      <c r="K11" s="74">
        <v>2769</v>
      </c>
      <c r="L11" s="77">
        <v>145.73684210526315</v>
      </c>
      <c r="M11" s="428">
        <v>19</v>
      </c>
      <c r="N11" s="74">
        <f t="shared" si="1"/>
        <v>2454.9152542372899</v>
      </c>
      <c r="O11" s="77">
        <f t="shared" si="2"/>
        <v>129.20606601248895</v>
      </c>
      <c r="P11" s="78">
        <f t="shared" si="3"/>
        <v>0</v>
      </c>
      <c r="Q11" s="79">
        <f t="shared" si="4"/>
        <v>-16.530776092774204</v>
      </c>
      <c r="R11" s="434">
        <f t="shared" si="5"/>
        <v>0.88657105606258224</v>
      </c>
      <c r="S11" s="632"/>
      <c r="T11" s="80">
        <v>0.57916666666666661</v>
      </c>
      <c r="U11" s="80">
        <v>0.6201388888888888</v>
      </c>
      <c r="V11" s="430">
        <v>7</v>
      </c>
      <c r="W11" s="427">
        <f t="shared" si="8"/>
        <v>58.99999999999995</v>
      </c>
      <c r="X11" s="83"/>
      <c r="Y11" s="83"/>
      <c r="Z11" s="84"/>
      <c r="AA11" s="84"/>
      <c r="AB11" s="616"/>
      <c r="AC11" s="616"/>
      <c r="AD11" s="443"/>
      <c r="AE11" s="443"/>
      <c r="AF11" s="78">
        <f>N11-K11</f>
        <v>-314.0847457627101</v>
      </c>
      <c r="AG11" s="434">
        <f>N11/K11</f>
        <v>0.88657105606258213</v>
      </c>
      <c r="AH11" s="632"/>
      <c r="AJ11" s="405">
        <f t="shared" si="9"/>
        <v>7</v>
      </c>
      <c r="AK11" s="406">
        <f t="shared" si="10"/>
        <v>7</v>
      </c>
    </row>
    <row r="12" spans="1:37" ht="19.2" customHeight="1">
      <c r="A12" s="663"/>
      <c r="B12" s="69" t="s">
        <v>162</v>
      </c>
      <c r="C12" s="70"/>
      <c r="D12" s="88" t="s">
        <v>99</v>
      </c>
      <c r="E12" s="72"/>
      <c r="F12" s="73">
        <v>37.799999999999997</v>
      </c>
      <c r="G12" s="74">
        <v>3147</v>
      </c>
      <c r="H12" s="75">
        <f t="shared" si="0"/>
        <v>118956.59999999999</v>
      </c>
      <c r="I12" s="427"/>
      <c r="J12" s="76">
        <v>20</v>
      </c>
      <c r="K12" s="74">
        <v>2769</v>
      </c>
      <c r="L12" s="77">
        <v>138.44999999999999</v>
      </c>
      <c r="M12" s="428">
        <v>20</v>
      </c>
      <c r="N12" s="74">
        <f t="shared" si="1"/>
        <v>2420.7692307692296</v>
      </c>
      <c r="O12" s="77">
        <f t="shared" si="2"/>
        <v>121.03846153846148</v>
      </c>
      <c r="P12" s="78">
        <f t="shared" si="3"/>
        <v>0</v>
      </c>
      <c r="Q12" s="79">
        <f t="shared" si="4"/>
        <v>-17.411538461538512</v>
      </c>
      <c r="R12" s="434">
        <f t="shared" si="5"/>
        <v>0.87423951995999627</v>
      </c>
      <c r="S12" s="632"/>
      <c r="T12" s="80">
        <v>0.63541666666666652</v>
      </c>
      <c r="U12" s="80">
        <v>0.68958333333333321</v>
      </c>
      <c r="V12" s="430">
        <v>22</v>
      </c>
      <c r="W12" s="427">
        <f t="shared" si="8"/>
        <v>78.000000000000043</v>
      </c>
      <c r="X12" s="83">
        <v>0.625</v>
      </c>
      <c r="Y12" s="83">
        <v>0.63472222222222219</v>
      </c>
      <c r="Z12" s="84"/>
      <c r="AA12" s="84"/>
      <c r="AB12" s="616"/>
      <c r="AC12" s="616"/>
      <c r="AD12" s="443"/>
      <c r="AE12" s="443"/>
      <c r="AF12" s="78">
        <f t="shared" si="6"/>
        <v>-348.23076923077042</v>
      </c>
      <c r="AG12" s="434">
        <f t="shared" si="7"/>
        <v>0.87423951995999627</v>
      </c>
      <c r="AH12" s="632"/>
      <c r="AJ12" s="405">
        <f t="shared" si="9"/>
        <v>7.000000000000135</v>
      </c>
      <c r="AK12" s="406">
        <f t="shared" si="10"/>
        <v>7.000000000000135</v>
      </c>
    </row>
    <row r="13" spans="1:37" ht="19.2" customHeight="1">
      <c r="A13" s="663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431"/>
      <c r="J13" s="76"/>
      <c r="K13" s="74"/>
      <c r="L13" s="77"/>
      <c r="M13" s="92"/>
      <c r="N13" s="74"/>
      <c r="O13" s="77"/>
      <c r="P13" s="78"/>
      <c r="Q13" s="79"/>
      <c r="R13" s="434"/>
      <c r="S13" s="632"/>
      <c r="T13" s="80"/>
      <c r="U13" s="80"/>
      <c r="V13" s="431"/>
      <c r="W13" s="427">
        <f t="shared" si="8"/>
        <v>0</v>
      </c>
      <c r="X13" s="93"/>
      <c r="Y13" s="93"/>
      <c r="Z13" s="84"/>
      <c r="AA13" s="84"/>
      <c r="AB13" s="616"/>
      <c r="AC13" s="616"/>
      <c r="AD13" s="443"/>
      <c r="AE13" s="443"/>
      <c r="AF13" s="78">
        <f t="shared" si="6"/>
        <v>0</v>
      </c>
      <c r="AG13" s="434" t="e">
        <f t="shared" si="7"/>
        <v>#DIV/0!</v>
      </c>
      <c r="AH13" s="632"/>
      <c r="AJ13" s="405" t="str">
        <f t="shared" si="9"/>
        <v/>
      </c>
      <c r="AK13" s="406" t="str">
        <f t="shared" si="10"/>
        <v/>
      </c>
    </row>
    <row r="14" spans="1:37" ht="19.2" customHeight="1">
      <c r="A14" s="663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431"/>
      <c r="J14" s="76"/>
      <c r="K14" s="74"/>
      <c r="L14" s="77"/>
      <c r="M14" s="92"/>
      <c r="N14" s="74"/>
      <c r="O14" s="77"/>
      <c r="P14" s="78"/>
      <c r="Q14" s="79"/>
      <c r="R14" s="434"/>
      <c r="S14" s="632"/>
      <c r="T14" s="80"/>
      <c r="U14" s="80"/>
      <c r="V14" s="431"/>
      <c r="W14" s="427">
        <f t="shared" si="8"/>
        <v>0</v>
      </c>
      <c r="X14" s="93"/>
      <c r="Y14" s="93"/>
      <c r="Z14" s="84"/>
      <c r="AA14" s="84"/>
      <c r="AB14" s="616"/>
      <c r="AC14" s="616"/>
      <c r="AD14" s="443"/>
      <c r="AE14" s="443"/>
      <c r="AF14" s="78">
        <f t="shared" si="6"/>
        <v>0</v>
      </c>
      <c r="AG14" s="434" t="e">
        <f t="shared" si="7"/>
        <v>#DIV/0!</v>
      </c>
      <c r="AH14" s="632"/>
      <c r="AJ14" s="405" t="str">
        <f t="shared" si="9"/>
        <v/>
      </c>
      <c r="AK14" s="406" t="str">
        <f t="shared" si="10"/>
        <v/>
      </c>
    </row>
    <row r="15" spans="1:37" ht="19.2" customHeight="1">
      <c r="A15" s="663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431"/>
      <c r="J15" s="76"/>
      <c r="K15" s="74"/>
      <c r="L15" s="77"/>
      <c r="M15" s="92"/>
      <c r="N15" s="96"/>
      <c r="O15" s="77"/>
      <c r="P15" s="78"/>
      <c r="Q15" s="79"/>
      <c r="R15" s="434"/>
      <c r="S15" s="632"/>
      <c r="T15" s="80"/>
      <c r="U15" s="80"/>
      <c r="V15" s="431"/>
      <c r="W15" s="427">
        <f t="shared" si="8"/>
        <v>0</v>
      </c>
      <c r="X15" s="93"/>
      <c r="Y15" s="93"/>
      <c r="Z15" s="84"/>
      <c r="AA15" s="84"/>
      <c r="AB15" s="616"/>
      <c r="AC15" s="616"/>
      <c r="AD15" s="443"/>
      <c r="AE15" s="443"/>
      <c r="AF15" s="78">
        <f t="shared" si="6"/>
        <v>0</v>
      </c>
      <c r="AG15" s="434" t="e">
        <f t="shared" si="7"/>
        <v>#DIV/0!</v>
      </c>
      <c r="AH15" s="632"/>
      <c r="AJ15" s="405" t="str">
        <f t="shared" si="9"/>
        <v/>
      </c>
      <c r="AK15" s="406" t="str">
        <f t="shared" si="10"/>
        <v/>
      </c>
    </row>
    <row r="16" spans="1:37" ht="19.2" customHeight="1">
      <c r="A16" s="663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431"/>
      <c r="J16" s="76"/>
      <c r="K16" s="74"/>
      <c r="L16" s="77"/>
      <c r="M16" s="92"/>
      <c r="N16" s="96"/>
      <c r="O16" s="77"/>
      <c r="P16" s="78"/>
      <c r="Q16" s="79"/>
      <c r="R16" s="434"/>
      <c r="S16" s="632"/>
      <c r="T16" s="80"/>
      <c r="U16" s="80"/>
      <c r="V16" s="431"/>
      <c r="W16" s="427">
        <f t="shared" si="8"/>
        <v>0</v>
      </c>
      <c r="X16" s="93"/>
      <c r="Y16" s="93"/>
      <c r="Z16" s="84"/>
      <c r="AA16" s="84"/>
      <c r="AB16" s="616"/>
      <c r="AC16" s="616"/>
      <c r="AD16" s="443"/>
      <c r="AE16" s="443"/>
      <c r="AF16" s="78">
        <f t="shared" si="6"/>
        <v>0</v>
      </c>
      <c r="AG16" s="434" t="e">
        <f t="shared" si="7"/>
        <v>#DIV/0!</v>
      </c>
      <c r="AH16" s="632"/>
      <c r="AJ16" s="405" t="str">
        <f t="shared" si="9"/>
        <v/>
      </c>
      <c r="AK16" s="406" t="str">
        <f t="shared" si="10"/>
        <v/>
      </c>
    </row>
    <row r="17" spans="1:37" ht="19.2" customHeight="1">
      <c r="A17" s="663"/>
      <c r="B17" s="97">
        <v>0</v>
      </c>
      <c r="C17" s="97" t="s">
        <v>279</v>
      </c>
      <c r="D17" s="626" t="s">
        <v>219</v>
      </c>
      <c r="E17" s="626"/>
      <c r="F17" s="98"/>
      <c r="G17" s="99"/>
      <c r="H17" s="100"/>
      <c r="I17" s="101"/>
      <c r="J17" s="99">
        <v>17.75</v>
      </c>
      <c r="K17" s="99">
        <v>2552.5</v>
      </c>
      <c r="L17" s="102">
        <v>145.19860036119712</v>
      </c>
      <c r="M17" s="103">
        <f t="shared" ref="M17:O17" si="11">AVERAGE(M5:M16)</f>
        <v>17.75</v>
      </c>
      <c r="N17" s="99">
        <f t="shared" si="11"/>
        <v>2228.3355546819425</v>
      </c>
      <c r="O17" s="102">
        <f t="shared" si="11"/>
        <v>125.94543453103559</v>
      </c>
      <c r="P17" s="104">
        <f t="shared" ref="P17:P24" si="12">M17-J17</f>
        <v>0</v>
      </c>
      <c r="Q17" s="105">
        <f t="shared" ref="Q17:Q24" si="13">O17-L17</f>
        <v>-19.253165830161535</v>
      </c>
      <c r="R17" s="106">
        <f>O17/L17</f>
        <v>0.86740116101486364</v>
      </c>
      <c r="S17" s="632"/>
      <c r="T17" s="80"/>
      <c r="U17" s="80"/>
      <c r="V17" s="431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616"/>
      <c r="AC17" s="616"/>
      <c r="AD17" s="110">
        <f>SUM(AD5:AD16)</f>
        <v>0</v>
      </c>
      <c r="AE17" s="110">
        <f>SUM(AE5:AE16)</f>
        <v>0</v>
      </c>
      <c r="AF17" s="104">
        <f t="shared" si="6"/>
        <v>-324.16444531805746</v>
      </c>
      <c r="AG17" s="435">
        <f t="shared" si="7"/>
        <v>0.87300119674121157</v>
      </c>
      <c r="AH17" s="632"/>
    </row>
    <row r="18" spans="1:37" ht="19.2" customHeight="1">
      <c r="A18" s="614" t="s">
        <v>280</v>
      </c>
      <c r="B18" s="111" t="s">
        <v>163</v>
      </c>
      <c r="C18" s="112"/>
      <c r="D18" s="113" t="s">
        <v>191</v>
      </c>
      <c r="E18" s="114"/>
      <c r="F18" s="115">
        <v>28.26</v>
      </c>
      <c r="G18" s="85">
        <v>867.6</v>
      </c>
      <c r="H18" s="116">
        <f t="shared" ref="H18:H29" si="14">F18*G18</f>
        <v>24518.376</v>
      </c>
      <c r="I18" s="443"/>
      <c r="J18" s="117">
        <v>12</v>
      </c>
      <c r="K18" s="85">
        <v>2000</v>
      </c>
      <c r="L18" s="118">
        <v>166.66666666666666</v>
      </c>
      <c r="M18" s="117">
        <v>12</v>
      </c>
      <c r="N18" s="85">
        <f t="shared" ref="N18:N24" si="15">G18/W18*60</f>
        <v>1531.0588235294119</v>
      </c>
      <c r="O18" s="118">
        <f t="shared" ref="O18:O24" si="16">N18/M18</f>
        <v>127.58823529411767</v>
      </c>
      <c r="P18" s="84">
        <f t="shared" si="12"/>
        <v>0</v>
      </c>
      <c r="Q18" s="119">
        <f t="shared" si="13"/>
        <v>-39.078431372548991</v>
      </c>
      <c r="R18" s="437">
        <f t="shared" ref="R18:R24" si="17">O18/L18</f>
        <v>0.76552941176470601</v>
      </c>
      <c r="S18" s="615">
        <f>R30</f>
        <v>0.87720064376982576</v>
      </c>
      <c r="T18" s="80">
        <v>0.16666666666666666</v>
      </c>
      <c r="U18" s="80">
        <v>0.19027777777777777</v>
      </c>
      <c r="V18" s="443">
        <v>5</v>
      </c>
      <c r="W18" s="120">
        <f>(U18-T18)*24*60</f>
        <v>34</v>
      </c>
      <c r="X18" s="118"/>
      <c r="Y18" s="118"/>
      <c r="Z18" s="84"/>
      <c r="AA18" s="84"/>
      <c r="AB18" s="616"/>
      <c r="AC18" s="616"/>
      <c r="AD18" s="443"/>
      <c r="AE18" s="443"/>
      <c r="AF18" s="121">
        <f t="shared" si="6"/>
        <v>-468.94117647058806</v>
      </c>
      <c r="AG18" s="122">
        <f t="shared" si="7"/>
        <v>0.76552941176470601</v>
      </c>
      <c r="AH18" s="657">
        <f>AG30</f>
        <v>0.88539954369043239</v>
      </c>
      <c r="AJ18" s="62" t="str">
        <f>A18</f>
        <v>四度二組A
熱麵
固定線
(ET-55)</v>
      </c>
      <c r="AK18" s="404">
        <f>AVERAGE(AK19:AK29)</f>
        <v>6.499999999999992</v>
      </c>
    </row>
    <row r="19" spans="1:37" ht="19.2" customHeight="1">
      <c r="A19" s="614"/>
      <c r="B19" s="441" t="s">
        <v>164</v>
      </c>
      <c r="C19" s="440"/>
      <c r="D19" s="113" t="s">
        <v>101</v>
      </c>
      <c r="E19" s="114"/>
      <c r="F19" s="73">
        <v>53.27</v>
      </c>
      <c r="G19" s="85">
        <v>739</v>
      </c>
      <c r="H19" s="116">
        <f t="shared" si="14"/>
        <v>39366.53</v>
      </c>
      <c r="I19" s="443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1385.6249999999998</v>
      </c>
      <c r="O19" s="125">
        <f t="shared" si="16"/>
        <v>81.507352941176464</v>
      </c>
      <c r="P19" s="84">
        <f t="shared" si="12"/>
        <v>0</v>
      </c>
      <c r="Q19" s="119">
        <f t="shared" si="13"/>
        <v>-10.551470588235304</v>
      </c>
      <c r="R19" s="437">
        <f t="shared" si="17"/>
        <v>0.88538338658146953</v>
      </c>
      <c r="S19" s="615"/>
      <c r="T19" s="80">
        <v>0.19444444444444445</v>
      </c>
      <c r="U19" s="80">
        <v>0.21666666666666667</v>
      </c>
      <c r="V19" s="443">
        <v>6</v>
      </c>
      <c r="W19" s="120">
        <f>(U19-T19)*24*60</f>
        <v>32.000000000000007</v>
      </c>
      <c r="X19" s="126"/>
      <c r="Y19" s="126"/>
      <c r="Z19" s="84"/>
      <c r="AA19" s="84"/>
      <c r="AB19" s="616"/>
      <c r="AC19" s="616"/>
      <c r="AD19" s="443"/>
      <c r="AE19" s="443"/>
      <c r="AF19" s="78">
        <f t="shared" si="6"/>
        <v>-179.37500000000023</v>
      </c>
      <c r="AG19" s="434">
        <f t="shared" si="7"/>
        <v>0.88538338658146953</v>
      </c>
      <c r="AH19" s="658"/>
      <c r="AJ19" s="405">
        <f t="shared" ref="AJ19:AJ29" si="18">IF((IF(V19&lt;10,V19,(X19-U18)*1440))=0,"",IF(V19&lt;10,V19,(X19-U18)*1440))</f>
        <v>6</v>
      </c>
      <c r="AK19" s="406">
        <f>IF(AJ19&gt;4,AJ19,"")</f>
        <v>6</v>
      </c>
    </row>
    <row r="20" spans="1:37" ht="19.2" customHeight="1">
      <c r="A20" s="614"/>
      <c r="B20" s="441" t="s">
        <v>164</v>
      </c>
      <c r="C20" s="86"/>
      <c r="D20" s="71" t="s">
        <v>102</v>
      </c>
      <c r="E20" s="114"/>
      <c r="F20" s="73">
        <v>49.91</v>
      </c>
      <c r="G20" s="85">
        <v>1154</v>
      </c>
      <c r="H20" s="116">
        <f t="shared" si="14"/>
        <v>57596.14</v>
      </c>
      <c r="I20" s="443"/>
      <c r="J20" s="123">
        <v>17</v>
      </c>
      <c r="K20" s="74">
        <v>1565</v>
      </c>
      <c r="L20" s="77">
        <v>92.058823529411768</v>
      </c>
      <c r="M20" s="123">
        <v>17</v>
      </c>
      <c r="N20" s="124">
        <f t="shared" si="15"/>
        <v>1442.4999999999993</v>
      </c>
      <c r="O20" s="125">
        <f t="shared" si="16"/>
        <v>84.852941176470551</v>
      </c>
      <c r="P20" s="84">
        <f t="shared" si="12"/>
        <v>0</v>
      </c>
      <c r="Q20" s="119">
        <f t="shared" si="13"/>
        <v>-7.2058823529412166</v>
      </c>
      <c r="R20" s="437">
        <f t="shared" si="17"/>
        <v>0.92172523961661301</v>
      </c>
      <c r="S20" s="615"/>
      <c r="T20" s="80">
        <v>0.2215277777777778</v>
      </c>
      <c r="U20" s="80">
        <v>0.25486111111111115</v>
      </c>
      <c r="V20" s="443">
        <v>7</v>
      </c>
      <c r="W20" s="120">
        <f t="shared" ref="W20:W29" si="19">(U20-T20)*24*60</f>
        <v>48.000000000000028</v>
      </c>
      <c r="X20" s="126"/>
      <c r="Y20" s="126"/>
      <c r="Z20" s="84"/>
      <c r="AA20" s="84"/>
      <c r="AB20" s="616"/>
      <c r="AC20" s="616"/>
      <c r="AD20" s="443"/>
      <c r="AE20" s="443"/>
      <c r="AF20" s="121">
        <f t="shared" si="6"/>
        <v>-122.50000000000068</v>
      </c>
      <c r="AG20" s="122">
        <f t="shared" si="7"/>
        <v>0.92172523961661301</v>
      </c>
      <c r="AH20" s="658"/>
      <c r="AJ20" s="405">
        <f t="shared" si="18"/>
        <v>7</v>
      </c>
      <c r="AK20" s="406">
        <f t="shared" ref="AK20:AK29" si="20">IF(AJ20&gt;4,AJ20,"")</f>
        <v>7</v>
      </c>
    </row>
    <row r="21" spans="1:37" ht="19.2" customHeight="1">
      <c r="A21" s="614"/>
      <c r="B21" s="441" t="s">
        <v>164</v>
      </c>
      <c r="C21" s="127"/>
      <c r="D21" s="128" t="s">
        <v>104</v>
      </c>
      <c r="E21" s="72"/>
      <c r="F21" s="73">
        <v>44.3</v>
      </c>
      <c r="G21" s="74">
        <v>968</v>
      </c>
      <c r="H21" s="116">
        <f t="shared" si="14"/>
        <v>42882.399999999994</v>
      </c>
      <c r="I21" s="430"/>
      <c r="J21" s="123">
        <v>18</v>
      </c>
      <c r="K21" s="74">
        <v>1565</v>
      </c>
      <c r="L21" s="77">
        <v>86.944444444444443</v>
      </c>
      <c r="M21" s="123">
        <v>18</v>
      </c>
      <c r="N21" s="124">
        <f t="shared" si="15"/>
        <v>1451.9999999999995</v>
      </c>
      <c r="O21" s="125">
        <f t="shared" si="16"/>
        <v>80.666666666666643</v>
      </c>
      <c r="P21" s="84">
        <f t="shared" si="12"/>
        <v>0</v>
      </c>
      <c r="Q21" s="119">
        <f t="shared" si="13"/>
        <v>-6.2777777777777999</v>
      </c>
      <c r="R21" s="437">
        <f t="shared" si="17"/>
        <v>0.92779552715654923</v>
      </c>
      <c r="S21" s="615"/>
      <c r="T21" s="80">
        <v>0.27083333333333337</v>
      </c>
      <c r="U21" s="80">
        <v>0.29861111111111116</v>
      </c>
      <c r="V21" s="443">
        <v>23</v>
      </c>
      <c r="W21" s="120">
        <f t="shared" si="19"/>
        <v>40.000000000000014</v>
      </c>
      <c r="X21" s="126">
        <v>0.25972222222222224</v>
      </c>
      <c r="Y21" s="126">
        <v>0.26944444444444443</v>
      </c>
      <c r="Z21" s="84"/>
      <c r="AA21" s="84"/>
      <c r="AB21" s="616"/>
      <c r="AC21" s="616"/>
      <c r="AD21" s="443"/>
      <c r="AE21" s="443"/>
      <c r="AF21" s="78">
        <f t="shared" si="6"/>
        <v>-113.00000000000045</v>
      </c>
      <c r="AG21" s="434">
        <f t="shared" si="7"/>
        <v>0.92779552715654923</v>
      </c>
      <c r="AH21" s="659"/>
      <c r="AJ21" s="405">
        <f t="shared" si="18"/>
        <v>6.9999999999999751</v>
      </c>
      <c r="AK21" s="406">
        <f t="shared" si="20"/>
        <v>6.9999999999999751</v>
      </c>
    </row>
    <row r="22" spans="1:37" ht="19.2" customHeight="1">
      <c r="A22" s="614"/>
      <c r="B22" s="441" t="s">
        <v>164</v>
      </c>
      <c r="C22" s="127"/>
      <c r="D22" s="71" t="s">
        <v>105</v>
      </c>
      <c r="E22" s="72"/>
      <c r="F22" s="73">
        <v>49.91</v>
      </c>
      <c r="G22" s="74">
        <v>2103.5</v>
      </c>
      <c r="H22" s="116">
        <f t="shared" si="14"/>
        <v>104985.685</v>
      </c>
      <c r="I22" s="430"/>
      <c r="J22" s="117">
        <v>17</v>
      </c>
      <c r="K22" s="85">
        <v>1565</v>
      </c>
      <c r="L22" s="118">
        <v>92.058823529411768</v>
      </c>
      <c r="M22" s="123">
        <v>17</v>
      </c>
      <c r="N22" s="124">
        <f t="shared" si="15"/>
        <v>1434.2045454545455</v>
      </c>
      <c r="O22" s="125">
        <f t="shared" si="16"/>
        <v>84.364973262032095</v>
      </c>
      <c r="P22" s="84">
        <f t="shared" si="12"/>
        <v>0</v>
      </c>
      <c r="Q22" s="119">
        <f t="shared" si="13"/>
        <v>-7.6938502673796734</v>
      </c>
      <c r="R22" s="437">
        <f t="shared" si="17"/>
        <v>0.91642462968341565</v>
      </c>
      <c r="S22" s="615"/>
      <c r="T22" s="80">
        <v>0.30347222222222225</v>
      </c>
      <c r="U22" s="80">
        <v>0.36458333333333337</v>
      </c>
      <c r="V22" s="443">
        <v>7</v>
      </c>
      <c r="W22" s="120">
        <f t="shared" si="19"/>
        <v>88</v>
      </c>
      <c r="X22" s="126"/>
      <c r="Y22" s="126"/>
      <c r="Z22" s="84"/>
      <c r="AA22" s="84"/>
      <c r="AB22" s="616"/>
      <c r="AC22" s="616"/>
      <c r="AD22" s="443"/>
      <c r="AE22" s="443"/>
      <c r="AF22" s="121">
        <f t="shared" si="6"/>
        <v>-130.7954545454545</v>
      </c>
      <c r="AG22" s="122">
        <f t="shared" si="7"/>
        <v>0.91642462968341565</v>
      </c>
      <c r="AH22" s="659"/>
      <c r="AJ22" s="405">
        <f t="shared" si="18"/>
        <v>7</v>
      </c>
      <c r="AK22" s="406">
        <f t="shared" si="20"/>
        <v>7</v>
      </c>
    </row>
    <row r="23" spans="1:37" ht="19.2" customHeight="1">
      <c r="A23" s="614"/>
      <c r="B23" s="441" t="s">
        <v>162</v>
      </c>
      <c r="C23" s="127"/>
      <c r="D23" s="71" t="s">
        <v>106</v>
      </c>
      <c r="E23" s="72"/>
      <c r="F23" s="73">
        <v>36.729999999999997</v>
      </c>
      <c r="G23" s="74">
        <v>4490</v>
      </c>
      <c r="H23" s="116">
        <f t="shared" si="14"/>
        <v>164917.69999999998</v>
      </c>
      <c r="I23" s="430"/>
      <c r="J23" s="123">
        <v>18</v>
      </c>
      <c r="K23" s="74">
        <v>2400</v>
      </c>
      <c r="L23" s="77">
        <v>133.33333333333334</v>
      </c>
      <c r="M23" s="123">
        <v>18</v>
      </c>
      <c r="N23" s="124">
        <f t="shared" si="15"/>
        <v>2155.2000000000007</v>
      </c>
      <c r="O23" s="125">
        <f t="shared" si="16"/>
        <v>119.73333333333338</v>
      </c>
      <c r="P23" s="84">
        <f t="shared" si="12"/>
        <v>0</v>
      </c>
      <c r="Q23" s="119">
        <f t="shared" si="13"/>
        <v>-13.599999999999966</v>
      </c>
      <c r="R23" s="437">
        <f t="shared" si="17"/>
        <v>0.89800000000000024</v>
      </c>
      <c r="S23" s="615"/>
      <c r="T23" s="80">
        <v>0.37986111111111115</v>
      </c>
      <c r="U23" s="80">
        <v>0.46666666666666667</v>
      </c>
      <c r="V23" s="443">
        <v>22</v>
      </c>
      <c r="W23" s="120">
        <f t="shared" si="19"/>
        <v>124.99999999999996</v>
      </c>
      <c r="X23" s="126">
        <v>0.36944444444444446</v>
      </c>
      <c r="Y23" s="126">
        <v>0.37916666666666665</v>
      </c>
      <c r="Z23" s="84"/>
      <c r="AA23" s="84"/>
      <c r="AB23" s="616"/>
      <c r="AC23" s="616"/>
      <c r="AD23" s="443"/>
      <c r="AE23" s="443"/>
      <c r="AF23" s="78">
        <f t="shared" si="6"/>
        <v>-244.79999999999927</v>
      </c>
      <c r="AG23" s="434">
        <f t="shared" si="7"/>
        <v>0.89800000000000035</v>
      </c>
      <c r="AH23" s="659"/>
      <c r="AJ23" s="405">
        <f t="shared" si="18"/>
        <v>6.9999999999999751</v>
      </c>
      <c r="AK23" s="406">
        <f t="shared" si="20"/>
        <v>6.9999999999999751</v>
      </c>
    </row>
    <row r="24" spans="1:37" ht="19.2" customHeight="1">
      <c r="A24" s="614"/>
      <c r="B24" s="441" t="s">
        <v>164</v>
      </c>
      <c r="C24" s="112"/>
      <c r="D24" s="113" t="s">
        <v>105</v>
      </c>
      <c r="E24" s="114"/>
      <c r="F24" s="73">
        <v>49.91</v>
      </c>
      <c r="G24" s="85">
        <v>901.5</v>
      </c>
      <c r="H24" s="116">
        <f t="shared" si="14"/>
        <v>44993.864999999998</v>
      </c>
      <c r="I24" s="430">
        <v>1</v>
      </c>
      <c r="J24" s="123">
        <v>17</v>
      </c>
      <c r="K24" s="74">
        <v>1565</v>
      </c>
      <c r="L24" s="77">
        <v>92.058823529411768</v>
      </c>
      <c r="M24" s="123">
        <v>17</v>
      </c>
      <c r="N24" s="124">
        <f t="shared" si="15"/>
        <v>1423.4210526315778</v>
      </c>
      <c r="O24" s="125">
        <f t="shared" si="16"/>
        <v>83.730650154798695</v>
      </c>
      <c r="P24" s="84">
        <f t="shared" si="12"/>
        <v>0</v>
      </c>
      <c r="Q24" s="119">
        <f t="shared" si="13"/>
        <v>-8.3281733746130726</v>
      </c>
      <c r="R24" s="437">
        <f t="shared" si="17"/>
        <v>0.90953421893391551</v>
      </c>
      <c r="S24" s="615"/>
      <c r="T24" s="80">
        <v>0.50694444444444442</v>
      </c>
      <c r="U24" s="80">
        <v>0.53333333333333333</v>
      </c>
      <c r="V24" s="443">
        <v>5</v>
      </c>
      <c r="W24" s="120">
        <f t="shared" si="19"/>
        <v>38.000000000000028</v>
      </c>
      <c r="X24" s="126"/>
      <c r="Y24" s="126"/>
      <c r="Z24" s="84"/>
      <c r="AA24" s="84"/>
      <c r="AB24" s="616"/>
      <c r="AC24" s="616"/>
      <c r="AD24" s="443"/>
      <c r="AE24" s="443"/>
      <c r="AF24" s="121">
        <f t="shared" si="6"/>
        <v>-141.57894736842218</v>
      </c>
      <c r="AG24" s="122">
        <f t="shared" si="7"/>
        <v>0.90953421893391551</v>
      </c>
      <c r="AH24" s="659"/>
      <c r="AJ24" s="405">
        <f t="shared" si="18"/>
        <v>5</v>
      </c>
      <c r="AK24" s="406">
        <f t="shared" si="20"/>
        <v>5</v>
      </c>
    </row>
    <row r="25" spans="1:37" ht="19.2" customHeight="1">
      <c r="A25" s="614"/>
      <c r="B25" s="441">
        <v>0</v>
      </c>
      <c r="C25" s="112"/>
      <c r="D25" s="113"/>
      <c r="E25" s="114"/>
      <c r="F25" s="73" t="s">
        <v>161</v>
      </c>
      <c r="G25" s="85"/>
      <c r="H25" s="116">
        <f t="shared" si="14"/>
        <v>0</v>
      </c>
      <c r="I25" s="120"/>
      <c r="J25" s="123"/>
      <c r="K25" s="74"/>
      <c r="L25" s="77"/>
      <c r="M25" s="123"/>
      <c r="N25" s="124"/>
      <c r="O25" s="125"/>
      <c r="P25" s="84"/>
      <c r="Q25" s="119"/>
      <c r="R25" s="437"/>
      <c r="S25" s="615"/>
      <c r="T25" s="80"/>
      <c r="U25" s="80"/>
      <c r="V25" s="443"/>
      <c r="W25" s="120">
        <f t="shared" si="19"/>
        <v>0</v>
      </c>
      <c r="X25" s="443"/>
      <c r="Y25" s="443"/>
      <c r="Z25" s="84"/>
      <c r="AA25" s="84"/>
      <c r="AB25" s="616"/>
      <c r="AC25" s="616"/>
      <c r="AD25" s="443"/>
      <c r="AE25" s="443"/>
      <c r="AF25" s="78">
        <f t="shared" si="6"/>
        <v>0</v>
      </c>
      <c r="AG25" s="434" t="e">
        <f t="shared" si="7"/>
        <v>#DIV/0!</v>
      </c>
      <c r="AH25" s="659"/>
      <c r="AJ25" s="405" t="str">
        <f t="shared" si="18"/>
        <v/>
      </c>
      <c r="AK25" s="406" t="str">
        <f t="shared" si="20"/>
        <v/>
      </c>
    </row>
    <row r="26" spans="1:37" ht="19.2" customHeight="1">
      <c r="A26" s="614"/>
      <c r="B26" s="441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23"/>
      <c r="K26" s="74"/>
      <c r="L26" s="77"/>
      <c r="M26" s="123"/>
      <c r="N26" s="124"/>
      <c r="O26" s="125"/>
      <c r="P26" s="84"/>
      <c r="Q26" s="119"/>
      <c r="R26" s="437"/>
      <c r="S26" s="615"/>
      <c r="T26" s="80"/>
      <c r="U26" s="80"/>
      <c r="V26" s="443"/>
      <c r="W26" s="120">
        <f t="shared" si="19"/>
        <v>0</v>
      </c>
      <c r="X26" s="443"/>
      <c r="Y26" s="443"/>
      <c r="Z26" s="84"/>
      <c r="AA26" s="84"/>
      <c r="AB26" s="616"/>
      <c r="AC26" s="616"/>
      <c r="AD26" s="443"/>
      <c r="AE26" s="443"/>
      <c r="AF26" s="121">
        <f t="shared" si="6"/>
        <v>0</v>
      </c>
      <c r="AG26" s="122" t="e">
        <f t="shared" si="7"/>
        <v>#DIV/0!</v>
      </c>
      <c r="AH26" s="659"/>
      <c r="AJ26" s="405" t="str">
        <f t="shared" si="18"/>
        <v/>
      </c>
      <c r="AK26" s="406" t="str">
        <f t="shared" si="20"/>
        <v/>
      </c>
    </row>
    <row r="27" spans="1:37" ht="19.2" customHeight="1">
      <c r="A27" s="614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437"/>
      <c r="S27" s="615"/>
      <c r="T27" s="80"/>
      <c r="U27" s="80"/>
      <c r="V27" s="443"/>
      <c r="W27" s="120">
        <f t="shared" si="19"/>
        <v>0</v>
      </c>
      <c r="X27" s="443"/>
      <c r="Y27" s="443"/>
      <c r="Z27" s="84"/>
      <c r="AA27" s="84"/>
      <c r="AB27" s="616"/>
      <c r="AC27" s="616"/>
      <c r="AD27" s="443"/>
      <c r="AE27" s="443"/>
      <c r="AF27" s="78">
        <f t="shared" si="6"/>
        <v>0</v>
      </c>
      <c r="AG27" s="434" t="e">
        <f t="shared" si="7"/>
        <v>#DIV/0!</v>
      </c>
      <c r="AH27" s="659"/>
      <c r="AJ27" s="405" t="str">
        <f t="shared" si="18"/>
        <v/>
      </c>
      <c r="AK27" s="406" t="str">
        <f t="shared" si="20"/>
        <v/>
      </c>
    </row>
    <row r="28" spans="1:37" ht="19.2" customHeight="1">
      <c r="A28" s="614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437"/>
      <c r="S28" s="615"/>
      <c r="T28" s="80"/>
      <c r="U28" s="80"/>
      <c r="V28" s="443"/>
      <c r="W28" s="120">
        <f t="shared" si="19"/>
        <v>0</v>
      </c>
      <c r="X28" s="443"/>
      <c r="Y28" s="443"/>
      <c r="Z28" s="84"/>
      <c r="AA28" s="84"/>
      <c r="AB28" s="616"/>
      <c r="AC28" s="616"/>
      <c r="AD28" s="443"/>
      <c r="AE28" s="443"/>
      <c r="AF28" s="121">
        <f t="shared" si="6"/>
        <v>0</v>
      </c>
      <c r="AG28" s="122" t="e">
        <f t="shared" si="7"/>
        <v>#DIV/0!</v>
      </c>
      <c r="AH28" s="659"/>
      <c r="AJ28" s="405" t="str">
        <f t="shared" si="18"/>
        <v/>
      </c>
      <c r="AK28" s="406" t="str">
        <f t="shared" si="20"/>
        <v/>
      </c>
    </row>
    <row r="29" spans="1:37" ht="19.2" customHeight="1">
      <c r="A29" s="614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437"/>
      <c r="S29" s="615"/>
      <c r="T29" s="80"/>
      <c r="U29" s="80"/>
      <c r="V29" s="443"/>
      <c r="W29" s="120">
        <f t="shared" si="19"/>
        <v>0</v>
      </c>
      <c r="X29" s="443"/>
      <c r="Y29" s="443"/>
      <c r="Z29" s="84"/>
      <c r="AA29" s="84"/>
      <c r="AB29" s="616"/>
      <c r="AC29" s="616"/>
      <c r="AD29" s="443"/>
      <c r="AE29" s="443"/>
      <c r="AF29" s="78">
        <f t="shared" si="6"/>
        <v>0</v>
      </c>
      <c r="AG29" s="434"/>
      <c r="AH29" s="659"/>
      <c r="AJ29" s="405" t="str">
        <f t="shared" si="18"/>
        <v/>
      </c>
      <c r="AK29" s="406" t="str">
        <f t="shared" si="20"/>
        <v/>
      </c>
    </row>
    <row r="30" spans="1:37" ht="19.2" customHeight="1">
      <c r="A30" s="614"/>
      <c r="B30" s="131">
        <v>0</v>
      </c>
      <c r="C30" s="132" t="s">
        <v>281</v>
      </c>
      <c r="D30" s="664" t="s">
        <v>219</v>
      </c>
      <c r="E30" s="664"/>
      <c r="F30" s="133"/>
      <c r="G30" s="103"/>
      <c r="H30" s="134"/>
      <c r="I30" s="135"/>
      <c r="J30" s="103">
        <v>16.571428571428573</v>
      </c>
      <c r="K30" s="103">
        <v>1746.4285714285713</v>
      </c>
      <c r="L30" s="136">
        <v>107.88281979458452</v>
      </c>
      <c r="M30" s="103">
        <f t="shared" ref="M30:O30" si="21">AVERAGE(M18:M29)</f>
        <v>16.571428571428573</v>
      </c>
      <c r="N30" s="103">
        <f t="shared" si="21"/>
        <v>1546.2870602307908</v>
      </c>
      <c r="O30" s="136">
        <f t="shared" si="21"/>
        <v>94.634878975513644</v>
      </c>
      <c r="P30" s="84">
        <f t="shared" ref="P30:P36" si="22">M30-J30</f>
        <v>0</v>
      </c>
      <c r="Q30" s="119">
        <f t="shared" ref="Q30:Q36" si="23">O30-L30</f>
        <v>-13.247940819070877</v>
      </c>
      <c r="R30" s="137">
        <f t="shared" ref="R30:R36" si="24">O30/L30</f>
        <v>0.87720064376982576</v>
      </c>
      <c r="S30" s="615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616"/>
      <c r="AC30" s="616"/>
      <c r="AD30" s="139">
        <f>SUM(AD18:AD29)</f>
        <v>0</v>
      </c>
      <c r="AE30" s="139">
        <f>SUM(AE18:AE29)</f>
        <v>0</v>
      </c>
      <c r="AF30" s="140">
        <f t="shared" si="6"/>
        <v>-200.14151119778057</v>
      </c>
      <c r="AG30" s="141">
        <f t="shared" ref="AG30" si="25">N30/K30</f>
        <v>0.88539954369043239</v>
      </c>
      <c r="AH30" s="660"/>
    </row>
    <row r="31" spans="1:37" ht="19.2" customHeight="1">
      <c r="A31" s="651" t="s">
        <v>282</v>
      </c>
      <c r="B31" s="142" t="s">
        <v>163</v>
      </c>
      <c r="C31" s="94"/>
      <c r="D31" s="71" t="s">
        <v>108</v>
      </c>
      <c r="E31" s="143"/>
      <c r="F31" s="144">
        <v>26.5</v>
      </c>
      <c r="G31" s="145">
        <v>1418.95</v>
      </c>
      <c r="H31" s="146">
        <f t="shared" ref="H31:H41" si="26">F31*G31</f>
        <v>37602.175000000003</v>
      </c>
      <c r="I31" s="82"/>
      <c r="J31" s="147">
        <v>12</v>
      </c>
      <c r="K31" s="124">
        <v>2000</v>
      </c>
      <c r="L31" s="125">
        <v>166.66666666666666</v>
      </c>
      <c r="M31" s="92">
        <v>12</v>
      </c>
      <c r="N31" s="148">
        <f t="shared" ref="N31:N36" si="27">G31/W31*60</f>
        <v>1637.2499999999995</v>
      </c>
      <c r="O31" s="149">
        <f t="shared" ref="O31:O36" si="28">N31/M31</f>
        <v>136.43749999999997</v>
      </c>
      <c r="P31" s="150">
        <f t="shared" si="22"/>
        <v>0</v>
      </c>
      <c r="Q31" s="151">
        <f t="shared" si="23"/>
        <v>-30.229166666666686</v>
      </c>
      <c r="R31" s="438">
        <f t="shared" si="24"/>
        <v>0.81862499999999983</v>
      </c>
      <c r="S31" s="652">
        <f>R43</f>
        <v>0.89768647046779537</v>
      </c>
      <c r="T31" s="152">
        <v>0.16666666666666666</v>
      </c>
      <c r="U31" s="152">
        <v>0.20277777777777778</v>
      </c>
      <c r="V31" s="153">
        <v>5</v>
      </c>
      <c r="W31" s="154">
        <f t="shared" ref="W31:W42" si="29">(U31-T31)*24*60</f>
        <v>52.000000000000014</v>
      </c>
      <c r="X31" s="82"/>
      <c r="Y31" s="82"/>
      <c r="Z31" s="81"/>
      <c r="AA31" s="81"/>
      <c r="AB31" s="616"/>
      <c r="AC31" s="616"/>
      <c r="AD31" s="82"/>
      <c r="AE31" s="82"/>
      <c r="AF31" s="150">
        <f t="shared" si="6"/>
        <v>-362.75000000000045</v>
      </c>
      <c r="AG31" s="155">
        <f t="shared" si="7"/>
        <v>0.81862499999999983</v>
      </c>
      <c r="AH31" s="630">
        <f>AG43</f>
        <v>0.8984321279396007</v>
      </c>
      <c r="AJ31" s="62" t="str">
        <f>A31</f>
        <v>四度二組
(ET-55)</v>
      </c>
      <c r="AK31" s="404">
        <f>AVERAGE(AK32:AK42)</f>
        <v>6.1999999999999904</v>
      </c>
    </row>
    <row r="32" spans="1:37" ht="19.2" customHeight="1">
      <c r="A32" s="644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1970.15</v>
      </c>
      <c r="H32" s="116">
        <f t="shared" si="26"/>
        <v>67438.234499999991</v>
      </c>
      <c r="I32" s="427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2110.875</v>
      </c>
      <c r="O32" s="77">
        <f t="shared" si="28"/>
        <v>162.375</v>
      </c>
      <c r="P32" s="150">
        <f t="shared" si="22"/>
        <v>0</v>
      </c>
      <c r="Q32" s="79">
        <f t="shared" si="23"/>
        <v>-10.701923076923066</v>
      </c>
      <c r="R32" s="434">
        <f t="shared" si="24"/>
        <v>0.9381666666666667</v>
      </c>
      <c r="S32" s="615"/>
      <c r="T32" s="80">
        <v>0.20694444444444446</v>
      </c>
      <c r="U32" s="80">
        <v>0.24583333333333335</v>
      </c>
      <c r="V32" s="153">
        <v>6</v>
      </c>
      <c r="W32" s="120">
        <f t="shared" si="29"/>
        <v>56</v>
      </c>
      <c r="X32" s="158"/>
      <c r="Y32" s="158"/>
      <c r="Z32" s="159"/>
      <c r="AA32" s="159"/>
      <c r="AB32" s="616"/>
      <c r="AC32" s="616"/>
      <c r="AD32" s="443"/>
      <c r="AE32" s="443"/>
      <c r="AF32" s="78">
        <f t="shared" si="6"/>
        <v>-139.125</v>
      </c>
      <c r="AG32" s="434">
        <f t="shared" si="7"/>
        <v>0.9381666666666667</v>
      </c>
      <c r="AH32" s="631"/>
      <c r="AJ32" s="405">
        <f t="shared" ref="AJ32:AJ42" si="30">IF((IF(V32&lt;10,V32,(X32-U31)*1440))=0,"",IF(V32&lt;10,V32,(X32-U31)*1440))</f>
        <v>6</v>
      </c>
      <c r="AK32" s="406">
        <f>IF(AJ32&gt;4,AJ32,"")</f>
        <v>6</v>
      </c>
    </row>
    <row r="33" spans="1:37" ht="19.2" customHeight="1">
      <c r="A33" s="644"/>
      <c r="B33" s="156" t="s">
        <v>165</v>
      </c>
      <c r="C33" s="443"/>
      <c r="D33" s="71" t="s">
        <v>110</v>
      </c>
      <c r="E33" s="114"/>
      <c r="F33" s="73">
        <v>35.83</v>
      </c>
      <c r="G33" s="145">
        <v>2865.85</v>
      </c>
      <c r="H33" s="116">
        <f t="shared" si="26"/>
        <v>102683.40549999999</v>
      </c>
      <c r="I33" s="443"/>
      <c r="J33" s="76">
        <v>11</v>
      </c>
      <c r="K33" s="74">
        <v>2250</v>
      </c>
      <c r="L33" s="77">
        <v>204.54545454545453</v>
      </c>
      <c r="M33" s="92">
        <v>11</v>
      </c>
      <c r="N33" s="74">
        <f t="shared" si="27"/>
        <v>2096.9634146341459</v>
      </c>
      <c r="O33" s="77">
        <f t="shared" si="28"/>
        <v>190.63303769401327</v>
      </c>
      <c r="P33" s="150">
        <f t="shared" si="22"/>
        <v>0</v>
      </c>
      <c r="Q33" s="79">
        <f t="shared" si="23"/>
        <v>-13.912416851441264</v>
      </c>
      <c r="R33" s="434">
        <f t="shared" si="24"/>
        <v>0.93198373983739824</v>
      </c>
      <c r="S33" s="615"/>
      <c r="T33" s="80">
        <v>0.26180555555555557</v>
      </c>
      <c r="U33" s="80">
        <v>0.31875000000000003</v>
      </c>
      <c r="V33" s="153">
        <v>23</v>
      </c>
      <c r="W33" s="120">
        <f t="shared" si="29"/>
        <v>82.000000000000028</v>
      </c>
      <c r="X33" s="158">
        <v>0.25</v>
      </c>
      <c r="Y33" s="158">
        <v>0.26111111111111113</v>
      </c>
      <c r="Z33" s="159"/>
      <c r="AA33" s="159"/>
      <c r="AB33" s="616"/>
      <c r="AC33" s="616"/>
      <c r="AD33" s="443"/>
      <c r="AE33" s="443"/>
      <c r="AF33" s="78">
        <f t="shared" si="6"/>
        <v>-153.03658536585408</v>
      </c>
      <c r="AG33" s="160">
        <f t="shared" si="7"/>
        <v>0.93198373983739824</v>
      </c>
      <c r="AH33" s="631"/>
      <c r="AJ33" s="405">
        <f t="shared" si="30"/>
        <v>5.9999999999999787</v>
      </c>
      <c r="AK33" s="406">
        <f t="shared" ref="AK33:AK42" si="31">IF(AJ33&gt;4,AJ33,"")</f>
        <v>5.9999999999999787</v>
      </c>
    </row>
    <row r="34" spans="1:37" ht="19.2" customHeight="1">
      <c r="A34" s="644"/>
      <c r="B34" s="156" t="s">
        <v>164</v>
      </c>
      <c r="C34" s="161"/>
      <c r="D34" s="162" t="s">
        <v>103</v>
      </c>
      <c r="E34" s="114"/>
      <c r="F34" s="73">
        <v>38.39</v>
      </c>
      <c r="G34" s="163">
        <v>1885</v>
      </c>
      <c r="H34" s="116">
        <f t="shared" si="26"/>
        <v>72365.149999999994</v>
      </c>
      <c r="I34" s="443"/>
      <c r="J34" s="147">
        <v>17</v>
      </c>
      <c r="K34" s="124">
        <v>1565</v>
      </c>
      <c r="L34" s="125">
        <v>92.058823529411768</v>
      </c>
      <c r="M34" s="164">
        <v>17</v>
      </c>
      <c r="N34" s="74">
        <f t="shared" si="27"/>
        <v>1431.6455696202538</v>
      </c>
      <c r="O34" s="77">
        <f t="shared" si="28"/>
        <v>84.214445271779638</v>
      </c>
      <c r="P34" s="150">
        <f t="shared" si="22"/>
        <v>0</v>
      </c>
      <c r="Q34" s="79">
        <f t="shared" si="23"/>
        <v>-7.8443782576321297</v>
      </c>
      <c r="R34" s="434">
        <f t="shared" si="24"/>
        <v>0.91478950135479475</v>
      </c>
      <c r="S34" s="615"/>
      <c r="T34" s="80">
        <v>0.32361111111111113</v>
      </c>
      <c r="U34" s="80">
        <v>0.37847222222222221</v>
      </c>
      <c r="V34" s="163">
        <v>7</v>
      </c>
      <c r="W34" s="120">
        <f t="shared" si="29"/>
        <v>78.999999999999957</v>
      </c>
      <c r="X34" s="158"/>
      <c r="Y34" s="158"/>
      <c r="Z34" s="159"/>
      <c r="AA34" s="159"/>
      <c r="AB34" s="616"/>
      <c r="AC34" s="616"/>
      <c r="AD34" s="443"/>
      <c r="AE34" s="443"/>
      <c r="AF34" s="78">
        <f t="shared" si="6"/>
        <v>-133.35443037974619</v>
      </c>
      <c r="AG34" s="160">
        <f t="shared" si="7"/>
        <v>0.91478950135479475</v>
      </c>
      <c r="AH34" s="631"/>
      <c r="AJ34" s="405">
        <f t="shared" si="30"/>
        <v>7</v>
      </c>
      <c r="AK34" s="406">
        <f t="shared" si="31"/>
        <v>7</v>
      </c>
    </row>
    <row r="35" spans="1:37" ht="19.2" customHeight="1">
      <c r="A35" s="644"/>
      <c r="B35" s="156" t="s">
        <v>164</v>
      </c>
      <c r="C35" s="70"/>
      <c r="D35" s="165" t="s">
        <v>107</v>
      </c>
      <c r="E35" s="72"/>
      <c r="F35" s="73">
        <v>49.52</v>
      </c>
      <c r="G35" s="163">
        <v>3050</v>
      </c>
      <c r="H35" s="116">
        <f t="shared" si="26"/>
        <v>151036</v>
      </c>
      <c r="I35" s="430"/>
      <c r="J35" s="76">
        <v>18</v>
      </c>
      <c r="K35" s="74">
        <v>1565</v>
      </c>
      <c r="L35" s="77">
        <v>86.944444444444443</v>
      </c>
      <c r="M35" s="164">
        <v>18</v>
      </c>
      <c r="N35" s="74">
        <f t="shared" si="27"/>
        <v>1452.380952380953</v>
      </c>
      <c r="O35" s="77">
        <f t="shared" si="28"/>
        <v>80.687830687830726</v>
      </c>
      <c r="P35" s="150">
        <f t="shared" si="22"/>
        <v>0</v>
      </c>
      <c r="Q35" s="79">
        <f t="shared" si="23"/>
        <v>-6.2566137566137172</v>
      </c>
      <c r="R35" s="434">
        <f t="shared" si="24"/>
        <v>0.92803894720827673</v>
      </c>
      <c r="S35" s="615"/>
      <c r="T35" s="80">
        <v>0.39374999999999999</v>
      </c>
      <c r="U35" s="80">
        <v>0.48124999999999996</v>
      </c>
      <c r="V35" s="145">
        <v>22</v>
      </c>
      <c r="W35" s="120">
        <f t="shared" si="29"/>
        <v>125.99999999999996</v>
      </c>
      <c r="X35" s="158">
        <v>0.3833333333333333</v>
      </c>
      <c r="Y35" s="158">
        <v>0.39305555555555555</v>
      </c>
      <c r="Z35" s="159"/>
      <c r="AA35" s="159"/>
      <c r="AB35" s="616"/>
      <c r="AC35" s="616"/>
      <c r="AD35" s="443"/>
      <c r="AE35" s="443"/>
      <c r="AF35" s="150">
        <f t="shared" si="6"/>
        <v>-112.61904761904702</v>
      </c>
      <c r="AG35" s="155">
        <f t="shared" si="7"/>
        <v>0.92803894720827662</v>
      </c>
      <c r="AH35" s="632"/>
      <c r="AJ35" s="405">
        <f t="shared" si="30"/>
        <v>6.9999999999999751</v>
      </c>
      <c r="AK35" s="406">
        <f t="shared" si="31"/>
        <v>6.9999999999999751</v>
      </c>
    </row>
    <row r="36" spans="1:37" ht="19.2" customHeight="1">
      <c r="A36" s="644"/>
      <c r="B36" s="156" t="s">
        <v>189</v>
      </c>
      <c r="C36" s="166"/>
      <c r="D36" s="165" t="s">
        <v>170</v>
      </c>
      <c r="E36" s="114"/>
      <c r="F36" s="73">
        <v>29.85</v>
      </c>
      <c r="G36" s="145">
        <v>2874.6</v>
      </c>
      <c r="H36" s="116">
        <f t="shared" si="26"/>
        <v>85806.81</v>
      </c>
      <c r="I36" s="443">
        <v>1</v>
      </c>
      <c r="J36" s="76">
        <v>15</v>
      </c>
      <c r="K36" s="74">
        <v>1800</v>
      </c>
      <c r="L36" s="77">
        <v>120</v>
      </c>
      <c r="M36" s="164">
        <v>15</v>
      </c>
      <c r="N36" s="74">
        <f t="shared" si="27"/>
        <v>1539.9642857142844</v>
      </c>
      <c r="O36" s="77">
        <f t="shared" si="28"/>
        <v>102.66428571428563</v>
      </c>
      <c r="P36" s="150">
        <f t="shared" si="22"/>
        <v>0</v>
      </c>
      <c r="Q36" s="79">
        <f t="shared" si="23"/>
        <v>-17.335714285714374</v>
      </c>
      <c r="R36" s="434">
        <f t="shared" si="24"/>
        <v>0.85553571428571351</v>
      </c>
      <c r="S36" s="615"/>
      <c r="T36" s="80">
        <v>0.5215277777777777</v>
      </c>
      <c r="U36" s="80">
        <v>0.59930555555555554</v>
      </c>
      <c r="V36" s="145">
        <v>5</v>
      </c>
      <c r="W36" s="120">
        <f t="shared" si="29"/>
        <v>112.00000000000009</v>
      </c>
      <c r="X36" s="158"/>
      <c r="Y36" s="158"/>
      <c r="Z36" s="159"/>
      <c r="AA36" s="159"/>
      <c r="AB36" s="616"/>
      <c r="AC36" s="616"/>
      <c r="AD36" s="443"/>
      <c r="AE36" s="443">
        <v>1</v>
      </c>
      <c r="AF36" s="78">
        <f t="shared" si="6"/>
        <v>-260.03571428571558</v>
      </c>
      <c r="AG36" s="434">
        <f t="shared" si="7"/>
        <v>0.85553571428571351</v>
      </c>
      <c r="AH36" s="632"/>
      <c r="AJ36" s="405">
        <f t="shared" si="30"/>
        <v>5</v>
      </c>
      <c r="AK36" s="406">
        <f t="shared" si="31"/>
        <v>5</v>
      </c>
    </row>
    <row r="37" spans="1:37" ht="19.2" customHeight="1">
      <c r="A37" s="644"/>
      <c r="B37" s="156">
        <v>0</v>
      </c>
      <c r="C37" s="166"/>
      <c r="D37" s="165"/>
      <c r="E37" s="114"/>
      <c r="F37" s="73" t="s">
        <v>161</v>
      </c>
      <c r="G37" s="145"/>
      <c r="H37" s="116">
        <f t="shared" si="26"/>
        <v>0</v>
      </c>
      <c r="I37" s="443"/>
      <c r="J37" s="147"/>
      <c r="K37" s="124"/>
      <c r="L37" s="125"/>
      <c r="M37" s="164"/>
      <c r="N37" s="74"/>
      <c r="O37" s="77"/>
      <c r="P37" s="150"/>
      <c r="Q37" s="79"/>
      <c r="R37" s="434"/>
      <c r="S37" s="615"/>
      <c r="T37" s="80"/>
      <c r="U37" s="80"/>
      <c r="V37" s="145"/>
      <c r="W37" s="120">
        <f t="shared" si="29"/>
        <v>0</v>
      </c>
      <c r="X37" s="158"/>
      <c r="Y37" s="158"/>
      <c r="Z37" s="159"/>
      <c r="AA37" s="159"/>
      <c r="AB37" s="616"/>
      <c r="AC37" s="616"/>
      <c r="AD37" s="443"/>
      <c r="AE37" s="443"/>
      <c r="AF37" s="78">
        <f t="shared" si="6"/>
        <v>0</v>
      </c>
      <c r="AG37" s="160" t="e">
        <f t="shared" si="7"/>
        <v>#DIV/0!</v>
      </c>
      <c r="AH37" s="632"/>
      <c r="AJ37" s="405" t="str">
        <f t="shared" si="30"/>
        <v/>
      </c>
      <c r="AK37" s="406" t="str">
        <f t="shared" si="31"/>
        <v/>
      </c>
    </row>
    <row r="38" spans="1:37" ht="19.2" customHeight="1">
      <c r="A38" s="644"/>
      <c r="B38" s="156">
        <v>0</v>
      </c>
      <c r="C38" s="166"/>
      <c r="D38" s="71"/>
      <c r="E38" s="114"/>
      <c r="F38" s="73" t="s">
        <v>161</v>
      </c>
      <c r="G38" s="85"/>
      <c r="H38" s="116">
        <f t="shared" si="26"/>
        <v>0</v>
      </c>
      <c r="I38" s="443"/>
      <c r="J38" s="76"/>
      <c r="K38" s="74"/>
      <c r="L38" s="77"/>
      <c r="M38" s="433"/>
      <c r="N38" s="74"/>
      <c r="O38" s="77"/>
      <c r="P38" s="150"/>
      <c r="Q38" s="79"/>
      <c r="R38" s="434"/>
      <c r="S38" s="615"/>
      <c r="T38" s="167"/>
      <c r="U38" s="167"/>
      <c r="V38" s="443"/>
      <c r="W38" s="120">
        <f t="shared" si="29"/>
        <v>0</v>
      </c>
      <c r="X38" s="158"/>
      <c r="Y38" s="158"/>
      <c r="Z38" s="159"/>
      <c r="AA38" s="159"/>
      <c r="AB38" s="616"/>
      <c r="AC38" s="616"/>
      <c r="AD38" s="443"/>
      <c r="AE38" s="443"/>
      <c r="AF38" s="78">
        <f t="shared" si="6"/>
        <v>0</v>
      </c>
      <c r="AG38" s="160" t="e">
        <f t="shared" si="7"/>
        <v>#DIV/0!</v>
      </c>
      <c r="AH38" s="632"/>
      <c r="AJ38" s="405" t="str">
        <f t="shared" si="30"/>
        <v/>
      </c>
      <c r="AK38" s="406" t="str">
        <f t="shared" si="31"/>
        <v/>
      </c>
    </row>
    <row r="39" spans="1:37" ht="19.2" customHeight="1">
      <c r="A39" s="644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443"/>
      <c r="J39" s="76"/>
      <c r="K39" s="74"/>
      <c r="L39" s="77"/>
      <c r="M39" s="433"/>
      <c r="N39" s="74"/>
      <c r="O39" s="77"/>
      <c r="P39" s="150"/>
      <c r="Q39" s="79"/>
      <c r="R39" s="434"/>
      <c r="S39" s="615"/>
      <c r="T39" s="80"/>
      <c r="U39" s="80"/>
      <c r="V39" s="443"/>
      <c r="W39" s="120">
        <f t="shared" si="29"/>
        <v>0</v>
      </c>
      <c r="X39" s="158"/>
      <c r="Y39" s="158"/>
      <c r="Z39" s="159"/>
      <c r="AA39" s="159"/>
      <c r="AB39" s="616"/>
      <c r="AC39" s="616"/>
      <c r="AD39" s="443"/>
      <c r="AE39" s="443"/>
      <c r="AF39" s="150">
        <f t="shared" si="6"/>
        <v>0</v>
      </c>
      <c r="AG39" s="155" t="e">
        <f t="shared" si="7"/>
        <v>#DIV/0!</v>
      </c>
      <c r="AH39" s="632"/>
      <c r="AJ39" s="405" t="str">
        <f t="shared" si="30"/>
        <v/>
      </c>
      <c r="AK39" s="406" t="str">
        <f t="shared" si="31"/>
        <v/>
      </c>
    </row>
    <row r="40" spans="1:37" ht="19.2" customHeight="1">
      <c r="A40" s="644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430"/>
      <c r="J40" s="76"/>
      <c r="K40" s="74"/>
      <c r="L40" s="77"/>
      <c r="M40" s="428"/>
      <c r="N40" s="74"/>
      <c r="O40" s="77"/>
      <c r="P40" s="150"/>
      <c r="Q40" s="79"/>
      <c r="R40" s="434"/>
      <c r="S40" s="615"/>
      <c r="T40" s="80"/>
      <c r="U40" s="80"/>
      <c r="V40" s="443"/>
      <c r="W40" s="120">
        <f>(U40-T40)*24*60</f>
        <v>0</v>
      </c>
      <c r="X40" s="158"/>
      <c r="Y40" s="158"/>
      <c r="Z40" s="159"/>
      <c r="AA40" s="159"/>
      <c r="AB40" s="616"/>
      <c r="AC40" s="616"/>
      <c r="AD40" s="443"/>
      <c r="AE40" s="443"/>
      <c r="AF40" s="78">
        <f t="shared" si="6"/>
        <v>0</v>
      </c>
      <c r="AG40" s="434" t="e">
        <f t="shared" si="7"/>
        <v>#DIV/0!</v>
      </c>
      <c r="AH40" s="632"/>
      <c r="AJ40" s="405" t="str">
        <f t="shared" si="30"/>
        <v/>
      </c>
      <c r="AK40" s="406" t="str">
        <f t="shared" si="31"/>
        <v/>
      </c>
    </row>
    <row r="41" spans="1:37" ht="19.2" customHeight="1">
      <c r="A41" s="644"/>
      <c r="B41" s="443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443"/>
      <c r="J41" s="129"/>
      <c r="K41" s="85"/>
      <c r="L41" s="118"/>
      <c r="M41" s="433"/>
      <c r="N41" s="85"/>
      <c r="O41" s="118"/>
      <c r="P41" s="84"/>
      <c r="Q41" s="119"/>
      <c r="R41" s="437"/>
      <c r="S41" s="615"/>
      <c r="T41" s="80"/>
      <c r="U41" s="80"/>
      <c r="V41" s="443"/>
      <c r="W41" s="120">
        <f>(U41-T41)*24*60</f>
        <v>0</v>
      </c>
      <c r="X41" s="158"/>
      <c r="Y41" s="158"/>
      <c r="Z41" s="159"/>
      <c r="AA41" s="159"/>
      <c r="AB41" s="616"/>
      <c r="AC41" s="616"/>
      <c r="AD41" s="443"/>
      <c r="AE41" s="443"/>
      <c r="AF41" s="78"/>
      <c r="AG41" s="169"/>
      <c r="AH41" s="632"/>
      <c r="AJ41" s="405" t="str">
        <f t="shared" si="30"/>
        <v/>
      </c>
      <c r="AK41" s="406" t="str">
        <f t="shared" si="31"/>
        <v/>
      </c>
    </row>
    <row r="42" spans="1:37" ht="19.2" customHeight="1">
      <c r="A42" s="644"/>
      <c r="B42" s="443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443"/>
      <c r="J42" s="129"/>
      <c r="K42" s="85"/>
      <c r="L42" s="118"/>
      <c r="M42" s="433" t="s">
        <v>15</v>
      </c>
      <c r="N42" s="85"/>
      <c r="O42" s="118"/>
      <c r="P42" s="84"/>
      <c r="Q42" s="119"/>
      <c r="R42" s="437"/>
      <c r="S42" s="615"/>
      <c r="T42" s="80"/>
      <c r="U42" s="80"/>
      <c r="V42" s="443"/>
      <c r="W42" s="120">
        <f t="shared" si="29"/>
        <v>0</v>
      </c>
      <c r="X42" s="158"/>
      <c r="Y42" s="158"/>
      <c r="Z42" s="159"/>
      <c r="AA42" s="159"/>
      <c r="AB42" s="616"/>
      <c r="AC42" s="616"/>
      <c r="AD42" s="443"/>
      <c r="AE42" s="443"/>
      <c r="AF42" s="78"/>
      <c r="AG42" s="169"/>
      <c r="AH42" s="632"/>
      <c r="AJ42" s="405" t="str">
        <f t="shared" si="30"/>
        <v/>
      </c>
      <c r="AK42" s="406" t="str">
        <f t="shared" si="31"/>
        <v/>
      </c>
    </row>
    <row r="43" spans="1:37" ht="19.2" customHeight="1">
      <c r="A43" s="644"/>
      <c r="B43" s="156">
        <v>0</v>
      </c>
      <c r="C43" s="132" t="s">
        <v>283</v>
      </c>
      <c r="D43" s="612" t="s">
        <v>219</v>
      </c>
      <c r="E43" s="612"/>
      <c r="F43" s="133"/>
      <c r="G43" s="103"/>
      <c r="H43" s="134"/>
      <c r="I43" s="135"/>
      <c r="J43" s="103">
        <v>14.333333333333334</v>
      </c>
      <c r="K43" s="103">
        <v>1905</v>
      </c>
      <c r="L43" s="136">
        <v>140.54871871048343</v>
      </c>
      <c r="M43" s="103">
        <f t="shared" ref="M43:O43" si="32">AVERAGE(M31:M42)</f>
        <v>14.333333333333334</v>
      </c>
      <c r="N43" s="103">
        <f t="shared" si="32"/>
        <v>1711.5132037249393</v>
      </c>
      <c r="O43" s="136">
        <f t="shared" si="32"/>
        <v>126.16868322798486</v>
      </c>
      <c r="P43" s="84">
        <f>M43-J43</f>
        <v>0</v>
      </c>
      <c r="Q43" s="119">
        <f>N43-K43</f>
        <v>-193.48679627506067</v>
      </c>
      <c r="R43" s="137">
        <f t="shared" ref="R43:R50" si="33">O43/L43</f>
        <v>0.89768647046779537</v>
      </c>
      <c r="S43" s="615"/>
      <c r="T43" s="80"/>
      <c r="U43" s="80"/>
      <c r="V43" s="443"/>
      <c r="W43" s="443"/>
      <c r="X43" s="158"/>
      <c r="Y43" s="158"/>
      <c r="Z43" s="171">
        <f>SUM(Z31:Z42)</f>
        <v>0</v>
      </c>
      <c r="AA43" s="171">
        <f>SUM(AA31:AA42)</f>
        <v>0</v>
      </c>
      <c r="AB43" s="616"/>
      <c r="AC43" s="616"/>
      <c r="AD43" s="139">
        <f>SUM(AD31:AD42)</f>
        <v>0</v>
      </c>
      <c r="AE43" s="139">
        <f>SUM(AE31:AE42)</f>
        <v>1</v>
      </c>
      <c r="AF43" s="78">
        <f t="shared" ref="AF43:AF54" si="34">N43-K43</f>
        <v>-193.48679627506067</v>
      </c>
      <c r="AG43" s="435">
        <f t="shared" si="7"/>
        <v>0.8984321279396007</v>
      </c>
      <c r="AH43" s="632"/>
      <c r="AJ43" s="182"/>
    </row>
    <row r="44" spans="1:37" s="182" customFormat="1" ht="19.2" customHeight="1">
      <c r="A44" s="654" t="s">
        <v>284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1639</v>
      </c>
      <c r="H44" s="75">
        <f>F44*G44</f>
        <v>40532.47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0" si="35">G44/W44*60</f>
        <v>2092.3404255319151</v>
      </c>
      <c r="O44" s="177">
        <f t="shared" ref="O44:O50" si="36">N44/M44</f>
        <v>418.468085106383</v>
      </c>
      <c r="P44" s="81">
        <f t="shared" ref="P44:P50" si="37">M44-J44</f>
        <v>1</v>
      </c>
      <c r="Q44" s="178">
        <f t="shared" ref="Q44:Q50" si="38">O44-L44</f>
        <v>-81.531914893617</v>
      </c>
      <c r="R44" s="179">
        <f t="shared" si="33"/>
        <v>0.83693617021276601</v>
      </c>
      <c r="S44" s="631">
        <f>R56</f>
        <v>0.90211256637829096</v>
      </c>
      <c r="T44" s="152">
        <v>0.16666666666666666</v>
      </c>
      <c r="U44" s="152">
        <v>0.19930555555555554</v>
      </c>
      <c r="V44" s="153">
        <v>5</v>
      </c>
      <c r="W44" s="180">
        <f t="shared" ref="W44:W56" si="39">(U44-T44)*24*60</f>
        <v>46.999999999999993</v>
      </c>
      <c r="X44" s="158"/>
      <c r="Y44" s="158"/>
      <c r="Z44" s="159"/>
      <c r="AA44" s="159"/>
      <c r="AB44" s="616"/>
      <c r="AC44" s="616"/>
      <c r="AD44" s="443"/>
      <c r="AE44" s="443"/>
      <c r="AF44" s="181">
        <f t="shared" si="34"/>
        <v>92.340425531915116</v>
      </c>
      <c r="AG44" s="439">
        <f t="shared" si="7"/>
        <v>1.0461702127659576</v>
      </c>
      <c r="AH44" s="648">
        <f>AG56</f>
        <v>0.98758606743956023</v>
      </c>
    </row>
    <row r="45" spans="1:37" s="182" customFormat="1" ht="19.2" customHeight="1">
      <c r="A45" s="655"/>
      <c r="B45" s="127" t="s">
        <v>165</v>
      </c>
      <c r="C45" s="172"/>
      <c r="D45" s="71" t="s">
        <v>113</v>
      </c>
      <c r="E45" s="72"/>
      <c r="F45" s="174">
        <v>24.73</v>
      </c>
      <c r="G45" s="145">
        <v>1538</v>
      </c>
      <c r="H45" s="75">
        <f>F45*G45</f>
        <v>38034.74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2097.272727272727</v>
      </c>
      <c r="O45" s="177">
        <f t="shared" si="36"/>
        <v>419.45454545454538</v>
      </c>
      <c r="P45" s="81">
        <f t="shared" si="37"/>
        <v>1</v>
      </c>
      <c r="Q45" s="178">
        <f t="shared" si="38"/>
        <v>-80.545454545454618</v>
      </c>
      <c r="R45" s="179">
        <f t="shared" si="33"/>
        <v>0.83890909090909072</v>
      </c>
      <c r="S45" s="631"/>
      <c r="T45" s="80">
        <v>0.20277777777777775</v>
      </c>
      <c r="U45" s="80">
        <v>0.23333333333333331</v>
      </c>
      <c r="V45" s="153">
        <v>5</v>
      </c>
      <c r="W45" s="180">
        <f t="shared" si="39"/>
        <v>44</v>
      </c>
      <c r="X45" s="158"/>
      <c r="Y45" s="158"/>
      <c r="Z45" s="159"/>
      <c r="AA45" s="159"/>
      <c r="AB45" s="616"/>
      <c r="AC45" s="616"/>
      <c r="AD45" s="443"/>
      <c r="AE45" s="443"/>
      <c r="AF45" s="181">
        <f t="shared" si="34"/>
        <v>97.272727272727025</v>
      </c>
      <c r="AG45" s="439">
        <f t="shared" si="7"/>
        <v>1.0486363636363636</v>
      </c>
      <c r="AH45" s="648"/>
    </row>
    <row r="46" spans="1:37" s="182" customFormat="1" ht="19.2" customHeight="1">
      <c r="A46" s="655"/>
      <c r="B46" s="127" t="s">
        <v>163</v>
      </c>
      <c r="C46" s="172"/>
      <c r="D46" s="71" t="s">
        <v>114</v>
      </c>
      <c r="E46" s="72"/>
      <c r="F46" s="174">
        <v>28.26</v>
      </c>
      <c r="G46" s="145">
        <v>1028</v>
      </c>
      <c r="H46" s="75">
        <f t="shared" ref="H46:H55" si="40">F46*G46</f>
        <v>29051.280000000002</v>
      </c>
      <c r="I46" s="183"/>
      <c r="J46" s="176">
        <v>7</v>
      </c>
      <c r="K46" s="163">
        <v>1500</v>
      </c>
      <c r="L46" s="177">
        <v>214.28571428571428</v>
      </c>
      <c r="M46" s="92">
        <v>7</v>
      </c>
      <c r="N46" s="163">
        <f t="shared" si="35"/>
        <v>1468.5714285714296</v>
      </c>
      <c r="O46" s="177">
        <f t="shared" si="36"/>
        <v>209.79591836734707</v>
      </c>
      <c r="P46" s="81">
        <f t="shared" si="37"/>
        <v>0</v>
      </c>
      <c r="Q46" s="178">
        <f t="shared" si="38"/>
        <v>-4.4897959183672072</v>
      </c>
      <c r="R46" s="179">
        <f t="shared" si="33"/>
        <v>0.97904761904761972</v>
      </c>
      <c r="S46" s="631"/>
      <c r="T46" s="80">
        <v>0.23680555555555552</v>
      </c>
      <c r="U46" s="80">
        <v>0.26597222222222217</v>
      </c>
      <c r="V46" s="153">
        <v>5</v>
      </c>
      <c r="W46" s="180">
        <f t="shared" si="39"/>
        <v>41.999999999999972</v>
      </c>
      <c r="X46" s="158"/>
      <c r="Y46" s="158"/>
      <c r="Z46" s="159"/>
      <c r="AA46" s="159"/>
      <c r="AB46" s="616"/>
      <c r="AC46" s="616"/>
      <c r="AD46" s="443"/>
      <c r="AE46" s="443"/>
      <c r="AF46" s="181">
        <f t="shared" si="34"/>
        <v>-31.428571428570422</v>
      </c>
      <c r="AG46" s="439">
        <f t="shared" si="7"/>
        <v>0.97904761904761972</v>
      </c>
      <c r="AH46" s="648"/>
    </row>
    <row r="47" spans="1:37" s="182" customFormat="1" ht="19.2" customHeight="1">
      <c r="A47" s="655"/>
      <c r="B47" s="127" t="s">
        <v>163</v>
      </c>
      <c r="C47" s="172"/>
      <c r="D47" s="71" t="s">
        <v>115</v>
      </c>
      <c r="E47" s="184"/>
      <c r="F47" s="174">
        <v>28.47</v>
      </c>
      <c r="G47" s="163">
        <v>1316</v>
      </c>
      <c r="H47" s="75">
        <f t="shared" si="40"/>
        <v>37466.519999999997</v>
      </c>
      <c r="I47" s="183"/>
      <c r="J47" s="176">
        <v>7</v>
      </c>
      <c r="K47" s="163">
        <v>1500</v>
      </c>
      <c r="L47" s="177">
        <v>214.28571428571428</v>
      </c>
      <c r="M47" s="164">
        <v>7</v>
      </c>
      <c r="N47" s="163">
        <f t="shared" si="35"/>
        <v>1435.6363636363646</v>
      </c>
      <c r="O47" s="177">
        <f t="shared" si="36"/>
        <v>205.09090909090924</v>
      </c>
      <c r="P47" s="81">
        <f t="shared" si="37"/>
        <v>0</v>
      </c>
      <c r="Q47" s="178">
        <f t="shared" si="38"/>
        <v>-9.194805194805042</v>
      </c>
      <c r="R47" s="179">
        <f t="shared" si="33"/>
        <v>0.95709090909090977</v>
      </c>
      <c r="S47" s="631"/>
      <c r="T47" s="80">
        <v>0.26944444444444438</v>
      </c>
      <c r="U47" s="80">
        <v>0.3076388888888888</v>
      </c>
      <c r="V47" s="163">
        <v>5</v>
      </c>
      <c r="W47" s="180">
        <f t="shared" si="39"/>
        <v>54.999999999999964</v>
      </c>
      <c r="X47" s="158"/>
      <c r="Y47" s="158"/>
      <c r="Z47" s="159"/>
      <c r="AA47" s="159"/>
      <c r="AB47" s="616"/>
      <c r="AC47" s="616"/>
      <c r="AD47" s="443"/>
      <c r="AE47" s="443"/>
      <c r="AF47" s="181">
        <f t="shared" si="34"/>
        <v>-64.363636363635351</v>
      </c>
      <c r="AG47" s="439">
        <f t="shared" si="7"/>
        <v>0.95709090909090977</v>
      </c>
      <c r="AH47" s="648"/>
    </row>
    <row r="48" spans="1:37" s="182" customFormat="1" ht="19.2" customHeight="1">
      <c r="A48" s="655"/>
      <c r="B48" s="127" t="s">
        <v>163</v>
      </c>
      <c r="C48" s="172"/>
      <c r="D48" s="71" t="s">
        <v>116</v>
      </c>
      <c r="E48" s="184"/>
      <c r="F48" s="174">
        <v>11.86</v>
      </c>
      <c r="G48" s="163">
        <v>1553</v>
      </c>
      <c r="H48" s="75">
        <f t="shared" si="40"/>
        <v>18418.579999999998</v>
      </c>
      <c r="I48" s="183"/>
      <c r="J48" s="176">
        <v>6</v>
      </c>
      <c r="K48" s="163">
        <v>1636</v>
      </c>
      <c r="L48" s="177">
        <v>272.66666666666669</v>
      </c>
      <c r="M48" s="164">
        <v>6</v>
      </c>
      <c r="N48" s="163">
        <f t="shared" si="35"/>
        <v>1455.9374999999995</v>
      </c>
      <c r="O48" s="177">
        <f t="shared" si="36"/>
        <v>242.65624999999991</v>
      </c>
      <c r="P48" s="81">
        <f t="shared" si="37"/>
        <v>0</v>
      </c>
      <c r="Q48" s="178">
        <f t="shared" si="38"/>
        <v>-30.010416666666771</v>
      </c>
      <c r="R48" s="179">
        <f t="shared" si="33"/>
        <v>0.88993734718826367</v>
      </c>
      <c r="S48" s="631"/>
      <c r="T48" s="80">
        <v>0.3249999999999999</v>
      </c>
      <c r="U48" s="80">
        <v>0.36944444444444435</v>
      </c>
      <c r="V48" s="145">
        <v>25</v>
      </c>
      <c r="W48" s="180">
        <f t="shared" si="39"/>
        <v>64.000000000000014</v>
      </c>
      <c r="X48" s="158">
        <v>0.3125</v>
      </c>
      <c r="Y48" s="158">
        <v>0.32361111111111113</v>
      </c>
      <c r="Z48" s="159"/>
      <c r="AA48" s="159"/>
      <c r="AB48" s="616"/>
      <c r="AC48" s="616"/>
      <c r="AD48" s="443"/>
      <c r="AE48" s="443"/>
      <c r="AF48" s="181">
        <f t="shared" si="34"/>
        <v>-180.06250000000045</v>
      </c>
      <c r="AG48" s="439">
        <f t="shared" si="7"/>
        <v>0.88993734718826378</v>
      </c>
      <c r="AH48" s="648"/>
    </row>
    <row r="49" spans="1:34" s="182" customFormat="1" ht="19.2" customHeight="1">
      <c r="A49" s="655"/>
      <c r="B49" s="127" t="s">
        <v>166</v>
      </c>
      <c r="C49" s="172"/>
      <c r="D49" s="71" t="s">
        <v>117</v>
      </c>
      <c r="E49" s="184"/>
      <c r="F49" s="174">
        <v>10.09</v>
      </c>
      <c r="G49" s="145">
        <v>3934.61</v>
      </c>
      <c r="H49" s="75">
        <f t="shared" si="40"/>
        <v>39700.214899999999</v>
      </c>
      <c r="I49" s="183"/>
      <c r="J49" s="176">
        <v>6</v>
      </c>
      <c r="K49" s="163">
        <v>1500</v>
      </c>
      <c r="L49" s="177">
        <v>250</v>
      </c>
      <c r="M49" s="164">
        <v>6</v>
      </c>
      <c r="N49" s="163">
        <f t="shared" si="35"/>
        <v>1475.47875</v>
      </c>
      <c r="O49" s="177">
        <f t="shared" si="36"/>
        <v>245.91312500000001</v>
      </c>
      <c r="P49" s="81">
        <f t="shared" si="37"/>
        <v>0</v>
      </c>
      <c r="Q49" s="178">
        <f t="shared" si="38"/>
        <v>-4.086874999999992</v>
      </c>
      <c r="R49" s="179">
        <f t="shared" si="33"/>
        <v>0.98365250000000004</v>
      </c>
      <c r="S49" s="631"/>
      <c r="T49" s="80">
        <v>0.37499999999999989</v>
      </c>
      <c r="U49" s="80">
        <v>0.48611111111111099</v>
      </c>
      <c r="V49" s="145">
        <v>8</v>
      </c>
      <c r="W49" s="180">
        <f t="shared" si="39"/>
        <v>160</v>
      </c>
      <c r="X49" s="185"/>
      <c r="Y49" s="185"/>
      <c r="Z49" s="186"/>
      <c r="AA49" s="159"/>
      <c r="AB49" s="616"/>
      <c r="AC49" s="616"/>
      <c r="AD49" s="443"/>
      <c r="AE49" s="443"/>
      <c r="AF49" s="181">
        <f t="shared" si="34"/>
        <v>-24.521250000000009</v>
      </c>
      <c r="AG49" s="439">
        <f t="shared" si="7"/>
        <v>0.98365250000000004</v>
      </c>
      <c r="AH49" s="648"/>
    </row>
    <row r="50" spans="1:34" s="182" customFormat="1" ht="19.2" customHeight="1">
      <c r="A50" s="655"/>
      <c r="B50" s="127" t="s">
        <v>166</v>
      </c>
      <c r="C50" s="172"/>
      <c r="D50" s="71" t="s">
        <v>117</v>
      </c>
      <c r="E50" s="184"/>
      <c r="F50" s="174">
        <v>10.09</v>
      </c>
      <c r="G50" s="145">
        <v>3592.47</v>
      </c>
      <c r="H50" s="75">
        <f t="shared" si="40"/>
        <v>36248.022299999997</v>
      </c>
      <c r="I50" s="183"/>
      <c r="J50" s="176">
        <v>6</v>
      </c>
      <c r="K50" s="163">
        <v>1500</v>
      </c>
      <c r="L50" s="177">
        <v>250</v>
      </c>
      <c r="M50" s="164">
        <v>6</v>
      </c>
      <c r="N50" s="163">
        <f t="shared" si="35"/>
        <v>1466.3142857142861</v>
      </c>
      <c r="O50" s="177">
        <f t="shared" si="36"/>
        <v>244.38571428571436</v>
      </c>
      <c r="P50" s="81">
        <f t="shared" si="37"/>
        <v>0</v>
      </c>
      <c r="Q50" s="178">
        <f t="shared" si="38"/>
        <v>-5.6142857142856428</v>
      </c>
      <c r="R50" s="179">
        <f t="shared" si="33"/>
        <v>0.97754285714285738</v>
      </c>
      <c r="S50" s="631"/>
      <c r="T50" s="80">
        <v>0.52569444444444424</v>
      </c>
      <c r="U50" s="80">
        <v>0.62777777777777755</v>
      </c>
      <c r="V50" s="145">
        <v>4</v>
      </c>
      <c r="W50" s="180">
        <f t="shared" si="39"/>
        <v>146.99999999999994</v>
      </c>
      <c r="X50" s="185"/>
      <c r="Y50" s="185"/>
      <c r="Z50" s="186"/>
      <c r="AA50" s="186"/>
      <c r="AB50" s="616"/>
      <c r="AC50" s="616"/>
      <c r="AD50" s="443"/>
      <c r="AE50" s="443"/>
      <c r="AF50" s="181">
        <f t="shared" si="34"/>
        <v>-33.685714285713857</v>
      </c>
      <c r="AG50" s="439">
        <f t="shared" si="7"/>
        <v>0.97754285714285738</v>
      </c>
      <c r="AH50" s="648"/>
    </row>
    <row r="51" spans="1:34" s="182" customFormat="1" ht="19.2" customHeight="1">
      <c r="A51" s="655"/>
      <c r="B51" s="127">
        <v>0</v>
      </c>
      <c r="C51" s="172"/>
      <c r="D51" s="165"/>
      <c r="E51" s="184"/>
      <c r="F51" s="174" t="s">
        <v>161</v>
      </c>
      <c r="G51" s="145"/>
      <c r="H51" s="75">
        <f t="shared" si="40"/>
        <v>0</v>
      </c>
      <c r="I51" s="183"/>
      <c r="J51" s="176"/>
      <c r="K51" s="163"/>
      <c r="L51" s="177"/>
      <c r="M51" s="164"/>
      <c r="N51" s="163"/>
      <c r="O51" s="177"/>
      <c r="P51" s="81"/>
      <c r="Q51" s="178"/>
      <c r="R51" s="179"/>
      <c r="S51" s="631"/>
      <c r="T51" s="167"/>
      <c r="U51" s="167"/>
      <c r="V51" s="145"/>
      <c r="W51" s="180">
        <f t="shared" si="39"/>
        <v>0</v>
      </c>
      <c r="X51" s="185"/>
      <c r="Y51" s="185"/>
      <c r="Z51" s="186"/>
      <c r="AA51" s="186"/>
      <c r="AB51" s="616"/>
      <c r="AC51" s="616"/>
      <c r="AD51" s="443"/>
      <c r="AE51" s="443"/>
      <c r="AF51" s="181">
        <f t="shared" si="34"/>
        <v>0</v>
      </c>
      <c r="AG51" s="439" t="e">
        <f t="shared" si="7"/>
        <v>#DIV/0!</v>
      </c>
      <c r="AH51" s="648"/>
    </row>
    <row r="52" spans="1:34" s="182" customFormat="1" ht="19.2" customHeight="1">
      <c r="A52" s="655"/>
      <c r="B52" s="127">
        <v>0</v>
      </c>
      <c r="C52" s="172"/>
      <c r="D52" s="165"/>
      <c r="E52" s="184"/>
      <c r="F52" s="174" t="s">
        <v>161</v>
      </c>
      <c r="G52" s="145"/>
      <c r="H52" s="75">
        <f t="shared" si="40"/>
        <v>0</v>
      </c>
      <c r="I52" s="183"/>
      <c r="J52" s="176"/>
      <c r="K52" s="163"/>
      <c r="L52" s="177"/>
      <c r="M52" s="164"/>
      <c r="N52" s="163"/>
      <c r="O52" s="177"/>
      <c r="P52" s="81"/>
      <c r="Q52" s="178"/>
      <c r="R52" s="179"/>
      <c r="S52" s="631"/>
      <c r="T52" s="167"/>
      <c r="U52" s="167"/>
      <c r="V52" s="145"/>
      <c r="W52" s="180">
        <f t="shared" si="39"/>
        <v>0</v>
      </c>
      <c r="X52" s="185"/>
      <c r="Y52" s="185"/>
      <c r="Z52" s="186"/>
      <c r="AA52" s="186"/>
      <c r="AB52" s="616"/>
      <c r="AC52" s="616"/>
      <c r="AD52" s="443"/>
      <c r="AE52" s="443"/>
      <c r="AF52" s="181">
        <f t="shared" si="34"/>
        <v>0</v>
      </c>
      <c r="AG52" s="439" t="e">
        <f t="shared" si="7"/>
        <v>#DIV/0!</v>
      </c>
      <c r="AH52" s="648"/>
    </row>
    <row r="53" spans="1:34" s="182" customFormat="1" ht="19.2" customHeight="1">
      <c r="A53" s="655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437"/>
      <c r="S53" s="631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616"/>
      <c r="AC53" s="616"/>
      <c r="AD53" s="443"/>
      <c r="AE53" s="443"/>
      <c r="AF53" s="181">
        <f t="shared" si="34"/>
        <v>0</v>
      </c>
      <c r="AG53" s="439" t="e">
        <f t="shared" si="7"/>
        <v>#DIV/0!</v>
      </c>
      <c r="AH53" s="648"/>
    </row>
    <row r="54" spans="1:34" s="182" customFormat="1" ht="19.2" customHeight="1">
      <c r="A54" s="655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437"/>
      <c r="S54" s="631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616"/>
      <c r="AC54" s="616"/>
      <c r="AD54" s="443"/>
      <c r="AE54" s="443"/>
      <c r="AF54" s="181">
        <f t="shared" si="34"/>
        <v>0</v>
      </c>
      <c r="AG54" s="439" t="e">
        <f t="shared" si="7"/>
        <v>#DIV/0!</v>
      </c>
      <c r="AH54" s="648"/>
    </row>
    <row r="55" spans="1:34" s="182" customFormat="1" ht="19.2" customHeight="1">
      <c r="A55" s="655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437"/>
      <c r="S55" s="631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616"/>
      <c r="AC55" s="616"/>
      <c r="AD55" s="443"/>
      <c r="AE55" s="443"/>
      <c r="AF55" s="181"/>
      <c r="AG55" s="439"/>
      <c r="AH55" s="648"/>
    </row>
    <row r="56" spans="1:34" ht="19.2" customHeight="1">
      <c r="A56" s="656"/>
      <c r="B56" s="190">
        <v>0</v>
      </c>
      <c r="C56" s="191" t="s">
        <v>285</v>
      </c>
      <c r="D56" s="653" t="s">
        <v>219</v>
      </c>
      <c r="E56" s="612"/>
      <c r="F56" s="133"/>
      <c r="G56" s="103"/>
      <c r="H56" s="134"/>
      <c r="I56" s="135"/>
      <c r="J56" s="103">
        <v>5.7142857142857144</v>
      </c>
      <c r="K56" s="103">
        <v>1662.2857142857142</v>
      </c>
      <c r="L56" s="136">
        <v>314.46258503401361</v>
      </c>
      <c r="M56" s="103">
        <f t="shared" ref="M56:O56" si="41">AVERAGE(M44:M55)</f>
        <v>6</v>
      </c>
      <c r="N56" s="103">
        <f t="shared" si="41"/>
        <v>1641.650211532389</v>
      </c>
      <c r="O56" s="136">
        <f t="shared" si="41"/>
        <v>283.68064961498555</v>
      </c>
      <c r="P56" s="192">
        <f>M56-J56</f>
        <v>0.28571428571428559</v>
      </c>
      <c r="Q56" s="151">
        <f>N56-K56</f>
        <v>-20.635502753325227</v>
      </c>
      <c r="R56" s="193">
        <f t="shared" ref="R56:R60" si="42">O56/L56</f>
        <v>0.90211256637829096</v>
      </c>
      <c r="S56" s="631"/>
      <c r="T56" s="194"/>
      <c r="U56" s="194"/>
      <c r="V56" s="432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616"/>
      <c r="AC56" s="616"/>
      <c r="AD56" s="139">
        <f>SUM(AD44:AD55)</f>
        <v>0</v>
      </c>
      <c r="AE56" s="139">
        <f>SUM(AE44:AE55)</f>
        <v>0</v>
      </c>
      <c r="AF56" s="196">
        <f>N56-K56</f>
        <v>-20.635502753325227</v>
      </c>
      <c r="AG56" s="437">
        <f>N56/K56</f>
        <v>0.98758606743956023</v>
      </c>
      <c r="AH56" s="648"/>
    </row>
    <row r="57" spans="1:34" ht="19.2" customHeight="1">
      <c r="A57" s="643" t="s">
        <v>286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3159</v>
      </c>
      <c r="H57" s="116">
        <f t="shared" ref="H57:H66" si="43">F57*G57</f>
        <v>88072.92</v>
      </c>
      <c r="I57" s="443"/>
      <c r="J57" s="129">
        <v>7</v>
      </c>
      <c r="K57" s="85">
        <v>1500</v>
      </c>
      <c r="L57" s="118">
        <v>214.28571428571428</v>
      </c>
      <c r="M57" s="433">
        <v>7</v>
      </c>
      <c r="N57" s="85">
        <f t="shared" ref="N57:N60" si="44">G57/W57*60</f>
        <v>1469.3023255813957</v>
      </c>
      <c r="O57" s="118">
        <f t="shared" ref="O57:O60" si="45">N57/M57</f>
        <v>209.90033222591367</v>
      </c>
      <c r="P57" s="197">
        <f t="shared" ref="P57:P60" si="46">M57-J57</f>
        <v>0</v>
      </c>
      <c r="Q57" s="79">
        <f t="shared" ref="Q57:Q60" si="47">O57-L57</f>
        <v>-4.3853820598006052</v>
      </c>
      <c r="R57" s="434">
        <f t="shared" si="42"/>
        <v>0.97953488372093056</v>
      </c>
      <c r="S57" s="631">
        <f>R69</f>
        <v>0.97871610869750425</v>
      </c>
      <c r="T57" s="198">
        <v>0.16666666666666666</v>
      </c>
      <c r="U57" s="198">
        <v>0.25624999999999998</v>
      </c>
      <c r="V57" s="430">
        <v>5</v>
      </c>
      <c r="W57" s="427">
        <f>(U57-T57)*24*60</f>
        <v>128.99999999999997</v>
      </c>
      <c r="X57" s="83"/>
      <c r="Y57" s="83"/>
      <c r="Z57" s="84"/>
      <c r="AA57" s="84"/>
      <c r="AB57" s="616"/>
      <c r="AC57" s="616"/>
      <c r="AD57" s="443"/>
      <c r="AE57" s="443"/>
      <c r="AF57" s="78">
        <f t="shared" si="6"/>
        <v>-30.697674418604265</v>
      </c>
      <c r="AG57" s="438">
        <f t="shared" si="7"/>
        <v>0.97953488372093045</v>
      </c>
      <c r="AH57" s="630">
        <f>AG69</f>
        <v>0.97881387966039135</v>
      </c>
    </row>
    <row r="58" spans="1:34" ht="19.2" customHeight="1">
      <c r="A58" s="644"/>
      <c r="B58" s="156" t="s">
        <v>163</v>
      </c>
      <c r="C58" s="443"/>
      <c r="D58" s="71" t="s">
        <v>119</v>
      </c>
      <c r="E58" s="72"/>
      <c r="F58" s="73">
        <v>28</v>
      </c>
      <c r="G58" s="74">
        <v>3089</v>
      </c>
      <c r="H58" s="75">
        <f t="shared" si="43"/>
        <v>86492</v>
      </c>
      <c r="I58" s="430"/>
      <c r="J58" s="76">
        <v>7</v>
      </c>
      <c r="K58" s="74">
        <v>1500</v>
      </c>
      <c r="L58" s="118">
        <v>214.28571428571428</v>
      </c>
      <c r="M58" s="428">
        <v>7</v>
      </c>
      <c r="N58" s="74">
        <f t="shared" si="44"/>
        <v>1470.9523809523805</v>
      </c>
      <c r="O58" s="77">
        <f t="shared" si="45"/>
        <v>210.13605442176865</v>
      </c>
      <c r="P58" s="197">
        <f t="shared" si="46"/>
        <v>0</v>
      </c>
      <c r="Q58" s="79">
        <f t="shared" si="47"/>
        <v>-4.1496598639456295</v>
      </c>
      <c r="R58" s="434">
        <f t="shared" si="42"/>
        <v>0.98063492063492042</v>
      </c>
      <c r="S58" s="631"/>
      <c r="T58" s="198">
        <v>0.26180555555555551</v>
      </c>
      <c r="U58" s="198">
        <v>0.34930555555555554</v>
      </c>
      <c r="V58" s="430">
        <v>8</v>
      </c>
      <c r="W58" s="427">
        <f>(U58-T58)*24*60</f>
        <v>126.00000000000003</v>
      </c>
      <c r="X58" s="83"/>
      <c r="Y58" s="83"/>
      <c r="Z58" s="84"/>
      <c r="AA58" s="84"/>
      <c r="AB58" s="649"/>
      <c r="AC58" s="650"/>
      <c r="AD58" s="443"/>
      <c r="AE58" s="443"/>
      <c r="AF58" s="78">
        <f t="shared" si="6"/>
        <v>-29.047619047619492</v>
      </c>
      <c r="AG58" s="434">
        <f t="shared" si="7"/>
        <v>0.9806349206349203</v>
      </c>
      <c r="AH58" s="631"/>
    </row>
    <row r="59" spans="1:34" ht="19.2" customHeight="1">
      <c r="A59" s="644"/>
      <c r="B59" s="156" t="s">
        <v>166</v>
      </c>
      <c r="C59" s="443"/>
      <c r="D59" s="71" t="s">
        <v>117</v>
      </c>
      <c r="E59" s="72"/>
      <c r="F59" s="73">
        <v>10.09</v>
      </c>
      <c r="G59" s="74">
        <v>4105.68</v>
      </c>
      <c r="H59" s="75">
        <f t="shared" si="43"/>
        <v>41426.311200000004</v>
      </c>
      <c r="I59" s="430"/>
      <c r="J59" s="76">
        <v>6</v>
      </c>
      <c r="K59" s="74">
        <v>1500</v>
      </c>
      <c r="L59" s="118">
        <v>250</v>
      </c>
      <c r="M59" s="428">
        <v>6</v>
      </c>
      <c r="N59" s="74">
        <f t="shared" si="44"/>
        <v>1466.3142857142861</v>
      </c>
      <c r="O59" s="77">
        <f t="shared" si="45"/>
        <v>244.38571428571436</v>
      </c>
      <c r="P59" s="197">
        <f t="shared" si="46"/>
        <v>0</v>
      </c>
      <c r="Q59" s="79">
        <f t="shared" si="47"/>
        <v>-5.6142857142856428</v>
      </c>
      <c r="R59" s="434">
        <f t="shared" si="42"/>
        <v>0.97754285714285738</v>
      </c>
      <c r="S59" s="631"/>
      <c r="T59" s="198">
        <v>0.36666666666666664</v>
      </c>
      <c r="U59" s="198">
        <v>0.48333333333333328</v>
      </c>
      <c r="V59" s="153">
        <v>25</v>
      </c>
      <c r="W59" s="427">
        <f t="shared" ref="W59:W69" si="48">(U59-T59)*24*60</f>
        <v>167.99999999999997</v>
      </c>
      <c r="X59" s="83">
        <v>0.35416666666666669</v>
      </c>
      <c r="Y59" s="83">
        <v>0.36527777777777781</v>
      </c>
      <c r="Z59" s="84"/>
      <c r="AA59" s="84"/>
      <c r="AB59" s="616"/>
      <c r="AC59" s="616"/>
      <c r="AD59" s="443"/>
      <c r="AE59" s="443"/>
      <c r="AF59" s="78">
        <f t="shared" si="6"/>
        <v>-33.685714285713857</v>
      </c>
      <c r="AG59" s="434">
        <f t="shared" si="7"/>
        <v>0.97754285714285738</v>
      </c>
      <c r="AH59" s="631"/>
    </row>
    <row r="60" spans="1:34" ht="19.2" customHeight="1">
      <c r="A60" s="644"/>
      <c r="B60" s="156" t="s">
        <v>166</v>
      </c>
      <c r="C60" s="443"/>
      <c r="D60" s="71" t="s">
        <v>117</v>
      </c>
      <c r="E60" s="72"/>
      <c r="F60" s="73">
        <v>10.09</v>
      </c>
      <c r="G60" s="74">
        <v>3763.54</v>
      </c>
      <c r="H60" s="75">
        <f t="shared" si="43"/>
        <v>37974.118600000002</v>
      </c>
      <c r="I60" s="430"/>
      <c r="J60" s="76">
        <v>6</v>
      </c>
      <c r="K60" s="74">
        <v>1500</v>
      </c>
      <c r="L60" s="118">
        <v>250</v>
      </c>
      <c r="M60" s="428">
        <v>6</v>
      </c>
      <c r="N60" s="74">
        <f t="shared" si="44"/>
        <v>1466.3142857142861</v>
      </c>
      <c r="O60" s="77">
        <f t="shared" si="45"/>
        <v>244.38571428571436</v>
      </c>
      <c r="P60" s="197">
        <f t="shared" si="46"/>
        <v>0</v>
      </c>
      <c r="Q60" s="79">
        <f t="shared" si="47"/>
        <v>-5.6142857142856428</v>
      </c>
      <c r="R60" s="434">
        <f t="shared" si="42"/>
        <v>0.97754285714285738</v>
      </c>
      <c r="S60" s="631"/>
      <c r="T60" s="198">
        <v>0.52361111111111103</v>
      </c>
      <c r="U60" s="198">
        <v>0.63055555555555542</v>
      </c>
      <c r="V60" s="153">
        <v>5</v>
      </c>
      <c r="W60" s="427">
        <f t="shared" si="48"/>
        <v>153.99999999999994</v>
      </c>
      <c r="X60" s="83"/>
      <c r="Y60" s="83"/>
      <c r="Z60" s="84"/>
      <c r="AA60" s="84"/>
      <c r="AB60" s="616"/>
      <c r="AC60" s="616"/>
      <c r="AD60" s="443"/>
      <c r="AE60" s="443"/>
      <c r="AF60" s="78">
        <f t="shared" si="6"/>
        <v>-33.685714285713857</v>
      </c>
      <c r="AG60" s="438">
        <f t="shared" si="7"/>
        <v>0.97754285714285738</v>
      </c>
      <c r="AH60" s="631"/>
    </row>
    <row r="61" spans="1:34" ht="19.2" customHeight="1">
      <c r="A61" s="644"/>
      <c r="B61" s="156">
        <v>0</v>
      </c>
      <c r="C61" s="443"/>
      <c r="D61" s="71"/>
      <c r="E61" s="72"/>
      <c r="F61" s="73" t="s">
        <v>161</v>
      </c>
      <c r="G61" s="74"/>
      <c r="H61" s="75">
        <f t="shared" si="43"/>
        <v>0</v>
      </c>
      <c r="I61" s="430"/>
      <c r="J61" s="76"/>
      <c r="K61" s="74"/>
      <c r="L61" s="118"/>
      <c r="M61" s="428"/>
      <c r="N61" s="74"/>
      <c r="O61" s="77"/>
      <c r="P61" s="197"/>
      <c r="Q61" s="79"/>
      <c r="R61" s="434"/>
      <c r="S61" s="631"/>
      <c r="T61" s="198"/>
      <c r="U61" s="198"/>
      <c r="V61" s="153"/>
      <c r="W61" s="427">
        <f t="shared" si="48"/>
        <v>0</v>
      </c>
      <c r="X61" s="83"/>
      <c r="Y61" s="83"/>
      <c r="Z61" s="84"/>
      <c r="AA61" s="84"/>
      <c r="AB61" s="616"/>
      <c r="AC61" s="616"/>
      <c r="AD61" s="443"/>
      <c r="AE61" s="443"/>
      <c r="AF61" s="78">
        <f t="shared" si="6"/>
        <v>0</v>
      </c>
      <c r="AG61" s="434" t="e">
        <f t="shared" si="7"/>
        <v>#DIV/0!</v>
      </c>
      <c r="AH61" s="631"/>
    </row>
    <row r="62" spans="1:34" ht="19.2" customHeight="1">
      <c r="A62" s="644"/>
      <c r="B62" s="156">
        <v>0</v>
      </c>
      <c r="C62" s="443"/>
      <c r="D62" s="71"/>
      <c r="E62" s="72"/>
      <c r="F62" s="73" t="s">
        <v>161</v>
      </c>
      <c r="G62" s="145"/>
      <c r="H62" s="75">
        <f t="shared" si="43"/>
        <v>0</v>
      </c>
      <c r="I62" s="430"/>
      <c r="J62" s="76"/>
      <c r="K62" s="74"/>
      <c r="L62" s="118"/>
      <c r="M62" s="92"/>
      <c r="N62" s="74"/>
      <c r="O62" s="77"/>
      <c r="P62" s="197"/>
      <c r="Q62" s="79"/>
      <c r="R62" s="434"/>
      <c r="S62" s="631"/>
      <c r="T62" s="199"/>
      <c r="U62" s="199"/>
      <c r="V62" s="153"/>
      <c r="W62" s="427">
        <f t="shared" si="48"/>
        <v>0</v>
      </c>
      <c r="X62" s="83"/>
      <c r="Y62" s="83"/>
      <c r="Z62" s="84"/>
      <c r="AA62" s="84"/>
      <c r="AB62" s="616"/>
      <c r="AC62" s="616"/>
      <c r="AD62" s="443"/>
      <c r="AE62" s="443"/>
      <c r="AF62" s="78">
        <f t="shared" si="6"/>
        <v>0</v>
      </c>
      <c r="AG62" s="434" t="e">
        <f t="shared" si="7"/>
        <v>#DIV/0!</v>
      </c>
      <c r="AH62" s="631"/>
    </row>
    <row r="63" spans="1:34" ht="19.2" customHeight="1">
      <c r="A63" s="644"/>
      <c r="B63" s="156">
        <v>0</v>
      </c>
      <c r="C63" s="443"/>
      <c r="D63" s="71"/>
      <c r="E63" s="72"/>
      <c r="F63" s="73" t="s">
        <v>161</v>
      </c>
      <c r="G63" s="145"/>
      <c r="H63" s="75">
        <f t="shared" si="43"/>
        <v>0</v>
      </c>
      <c r="I63" s="430"/>
      <c r="J63" s="76"/>
      <c r="K63" s="74"/>
      <c r="L63" s="118"/>
      <c r="M63" s="92" t="s">
        <v>15</v>
      </c>
      <c r="N63" s="74"/>
      <c r="O63" s="77"/>
      <c r="P63" s="197"/>
      <c r="Q63" s="79"/>
      <c r="R63" s="434"/>
      <c r="S63" s="631"/>
      <c r="T63" s="199"/>
      <c r="U63" s="199"/>
      <c r="V63" s="153"/>
      <c r="W63" s="427">
        <f t="shared" si="48"/>
        <v>0</v>
      </c>
      <c r="X63" s="83"/>
      <c r="Y63" s="83"/>
      <c r="Z63" s="84"/>
      <c r="AA63" s="84"/>
      <c r="AB63" s="616"/>
      <c r="AC63" s="616"/>
      <c r="AD63" s="443"/>
      <c r="AE63" s="443"/>
      <c r="AF63" s="78">
        <f t="shared" si="6"/>
        <v>0</v>
      </c>
      <c r="AG63" s="438" t="e">
        <f t="shared" si="7"/>
        <v>#DIV/0!</v>
      </c>
      <c r="AH63" s="631"/>
    </row>
    <row r="64" spans="1:34" ht="19.2" customHeight="1">
      <c r="A64" s="645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430"/>
      <c r="J64" s="202"/>
      <c r="K64" s="91"/>
      <c r="L64" s="118"/>
      <c r="M64" s="92"/>
      <c r="N64" s="74"/>
      <c r="O64" s="77"/>
      <c r="P64" s="197"/>
      <c r="Q64" s="79"/>
      <c r="R64" s="434"/>
      <c r="S64" s="631"/>
      <c r="T64" s="199"/>
      <c r="U64" s="199"/>
      <c r="V64" s="153"/>
      <c r="W64" s="427">
        <f t="shared" si="48"/>
        <v>0</v>
      </c>
      <c r="X64" s="430"/>
      <c r="Y64" s="430"/>
      <c r="Z64" s="84"/>
      <c r="AA64" s="84"/>
      <c r="AB64" s="616"/>
      <c r="AC64" s="616"/>
      <c r="AD64" s="443"/>
      <c r="AE64" s="443"/>
      <c r="AF64" s="78">
        <f t="shared" si="6"/>
        <v>0</v>
      </c>
      <c r="AG64" s="434" t="e">
        <f t="shared" si="7"/>
        <v>#DIV/0!</v>
      </c>
      <c r="AH64" s="631"/>
    </row>
    <row r="65" spans="1:37" ht="19.2" customHeight="1">
      <c r="A65" s="645"/>
      <c r="B65" s="127">
        <v>0</v>
      </c>
      <c r="C65" s="440"/>
      <c r="D65" s="71"/>
      <c r="E65" s="72"/>
      <c r="F65" s="73" t="s">
        <v>161</v>
      </c>
      <c r="G65" s="145"/>
      <c r="H65" s="75">
        <f t="shared" si="43"/>
        <v>0</v>
      </c>
      <c r="I65" s="430"/>
      <c r="J65" s="202"/>
      <c r="K65" s="91"/>
      <c r="L65" s="118"/>
      <c r="M65" s="92"/>
      <c r="N65" s="91"/>
      <c r="O65" s="108"/>
      <c r="P65" s="78"/>
      <c r="Q65" s="79"/>
      <c r="R65" s="434"/>
      <c r="S65" s="631"/>
      <c r="T65" s="199"/>
      <c r="U65" s="199"/>
      <c r="V65" s="153"/>
      <c r="W65" s="427">
        <f t="shared" si="48"/>
        <v>0</v>
      </c>
      <c r="X65" s="430"/>
      <c r="Y65" s="430"/>
      <c r="Z65" s="84"/>
      <c r="AA65" s="84"/>
      <c r="AB65" s="616"/>
      <c r="AC65" s="616"/>
      <c r="AD65" s="443"/>
      <c r="AE65" s="443"/>
      <c r="AF65" s="78">
        <f t="shared" si="6"/>
        <v>0</v>
      </c>
      <c r="AG65" s="434" t="e">
        <f t="shared" si="7"/>
        <v>#DIV/0!</v>
      </c>
      <c r="AH65" s="631"/>
    </row>
    <row r="66" spans="1:37" ht="19.2" customHeight="1">
      <c r="A66" s="645"/>
      <c r="B66" s="127">
        <v>0</v>
      </c>
      <c r="C66" s="440"/>
      <c r="D66" s="71"/>
      <c r="E66" s="72"/>
      <c r="F66" s="73" t="s">
        <v>161</v>
      </c>
      <c r="G66" s="145"/>
      <c r="H66" s="75">
        <f t="shared" si="43"/>
        <v>0</v>
      </c>
      <c r="I66" s="430"/>
      <c r="J66" s="202"/>
      <c r="K66" s="91"/>
      <c r="L66" s="118"/>
      <c r="M66" s="92"/>
      <c r="N66" s="91"/>
      <c r="O66" s="108"/>
      <c r="P66" s="78"/>
      <c r="Q66" s="79"/>
      <c r="R66" s="434"/>
      <c r="S66" s="631"/>
      <c r="T66" s="199"/>
      <c r="U66" s="199"/>
      <c r="V66" s="153"/>
      <c r="W66" s="427">
        <f t="shared" si="48"/>
        <v>0</v>
      </c>
      <c r="X66" s="430"/>
      <c r="Y66" s="430"/>
      <c r="Z66" s="84"/>
      <c r="AA66" s="84"/>
      <c r="AB66" s="616"/>
      <c r="AC66" s="616"/>
      <c r="AD66" s="443"/>
      <c r="AE66" s="443"/>
      <c r="AF66" s="78">
        <f t="shared" si="6"/>
        <v>0</v>
      </c>
      <c r="AG66" s="438" t="e">
        <f t="shared" si="7"/>
        <v>#DIV/0!</v>
      </c>
      <c r="AH66" s="631"/>
    </row>
    <row r="67" spans="1:37" ht="19.2" customHeight="1">
      <c r="A67" s="645"/>
      <c r="B67" s="127">
        <v>0</v>
      </c>
      <c r="C67" s="440"/>
      <c r="D67" s="71"/>
      <c r="E67" s="72"/>
      <c r="F67" s="73" t="s">
        <v>161</v>
      </c>
      <c r="G67" s="145"/>
      <c r="H67" s="75">
        <f>F67*G67</f>
        <v>0</v>
      </c>
      <c r="I67" s="430"/>
      <c r="J67" s="202"/>
      <c r="K67" s="91"/>
      <c r="L67" s="118"/>
      <c r="M67" s="92"/>
      <c r="N67" s="91"/>
      <c r="O67" s="108"/>
      <c r="P67" s="78"/>
      <c r="Q67" s="79"/>
      <c r="R67" s="434"/>
      <c r="S67" s="631"/>
      <c r="T67" s="199"/>
      <c r="U67" s="199"/>
      <c r="V67" s="153"/>
      <c r="W67" s="427">
        <f t="shared" si="48"/>
        <v>0</v>
      </c>
      <c r="X67" s="430"/>
      <c r="Y67" s="430"/>
      <c r="Z67" s="84"/>
      <c r="AA67" s="84"/>
      <c r="AB67" s="616"/>
      <c r="AC67" s="616"/>
      <c r="AD67" s="443"/>
      <c r="AE67" s="443"/>
      <c r="AF67" s="78">
        <f t="shared" si="6"/>
        <v>0</v>
      </c>
      <c r="AG67" s="434" t="e">
        <f t="shared" si="7"/>
        <v>#DIV/0!</v>
      </c>
      <c r="AH67" s="631"/>
    </row>
    <row r="68" spans="1:37" ht="19.2" customHeight="1">
      <c r="A68" s="645"/>
      <c r="B68" s="430">
        <v>0</v>
      </c>
      <c r="C68" s="440"/>
      <c r="D68" s="71"/>
      <c r="E68" s="72"/>
      <c r="F68" s="174" t="s">
        <v>161</v>
      </c>
      <c r="G68" s="145"/>
      <c r="H68" s="75">
        <f>F68*G68</f>
        <v>0</v>
      </c>
      <c r="I68" s="430"/>
      <c r="J68" s="202"/>
      <c r="K68" s="91"/>
      <c r="L68" s="118"/>
      <c r="M68" s="92"/>
      <c r="N68" s="91"/>
      <c r="O68" s="108"/>
      <c r="P68" s="78"/>
      <c r="Q68" s="79"/>
      <c r="R68" s="434"/>
      <c r="S68" s="631"/>
      <c r="T68" s="199"/>
      <c r="U68" s="199"/>
      <c r="V68" s="153"/>
      <c r="W68" s="427">
        <f t="shared" si="48"/>
        <v>0</v>
      </c>
      <c r="X68" s="430"/>
      <c r="Y68" s="430"/>
      <c r="Z68" s="84"/>
      <c r="AA68" s="84"/>
      <c r="AB68" s="616"/>
      <c r="AC68" s="616"/>
      <c r="AD68" s="443"/>
      <c r="AE68" s="443"/>
      <c r="AF68" s="78"/>
      <c r="AG68" s="434"/>
      <c r="AH68" s="631"/>
    </row>
    <row r="69" spans="1:37" ht="19.2" customHeight="1">
      <c r="A69" s="645"/>
      <c r="B69" s="203">
        <v>0</v>
      </c>
      <c r="C69" s="204" t="s">
        <v>287</v>
      </c>
      <c r="D69" s="612" t="s">
        <v>219</v>
      </c>
      <c r="E69" s="612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1468.220819490587</v>
      </c>
      <c r="O69" s="102">
        <f t="shared" si="49"/>
        <v>227.20195380477776</v>
      </c>
      <c r="P69" s="78">
        <f>M69-J69</f>
        <v>0</v>
      </c>
      <c r="Q69" s="79">
        <f>N69-K69</f>
        <v>-31.779180509412981</v>
      </c>
      <c r="R69" s="209">
        <f t="shared" ref="R69:R75" si="50">O69/L69</f>
        <v>0.97871610869750425</v>
      </c>
      <c r="S69" s="631"/>
      <c r="T69" s="210"/>
      <c r="U69" s="210"/>
      <c r="V69" s="74"/>
      <c r="W69" s="427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616"/>
      <c r="AC69" s="616"/>
      <c r="AD69" s="139">
        <f>SUM(AD57:AD68)</f>
        <v>0</v>
      </c>
      <c r="AE69" s="139">
        <f>SUM(AE57:AE68)</f>
        <v>0</v>
      </c>
      <c r="AF69" s="78">
        <f t="shared" si="6"/>
        <v>-31.779180509412981</v>
      </c>
      <c r="AG69" s="434">
        <f t="shared" si="7"/>
        <v>0.97881387966039135</v>
      </c>
      <c r="AH69" s="631"/>
    </row>
    <row r="70" spans="1:37" ht="19.2" customHeight="1">
      <c r="A70" s="646" t="s">
        <v>288</v>
      </c>
      <c r="B70" s="430" t="s">
        <v>166</v>
      </c>
      <c r="C70" s="127"/>
      <c r="D70" s="71" t="s">
        <v>120</v>
      </c>
      <c r="E70" s="72"/>
      <c r="F70" s="73">
        <v>54.09</v>
      </c>
      <c r="G70" s="85">
        <v>449.20000000000005</v>
      </c>
      <c r="H70" s="75">
        <f>F70*G70</f>
        <v>24297.228000000003</v>
      </c>
      <c r="I70" s="430"/>
      <c r="J70" s="76">
        <v>16</v>
      </c>
      <c r="K70" s="74">
        <v>1500</v>
      </c>
      <c r="L70" s="77">
        <v>93.75</v>
      </c>
      <c r="M70" s="428">
        <v>16</v>
      </c>
      <c r="N70" s="74">
        <f t="shared" ref="N70:N75" si="51">G70/W70*60</f>
        <v>1283.4285714285711</v>
      </c>
      <c r="O70" s="77">
        <f t="shared" ref="O70:O75" si="52">N70/M70</f>
        <v>80.214285714285694</v>
      </c>
      <c r="P70" s="78">
        <f t="shared" ref="P70:P75" si="53">M70-J70</f>
        <v>0</v>
      </c>
      <c r="Q70" s="79">
        <f t="shared" ref="Q70:Q75" si="54">O70-L70</f>
        <v>-13.535714285714306</v>
      </c>
      <c r="R70" s="434">
        <f t="shared" si="50"/>
        <v>0.85561904761904739</v>
      </c>
      <c r="S70" s="631">
        <f>R82</f>
        <v>0.90071731638969987</v>
      </c>
      <c r="T70" s="198">
        <v>0.25</v>
      </c>
      <c r="U70" s="198">
        <v>0.26458333333333334</v>
      </c>
      <c r="V70" s="430">
        <v>5</v>
      </c>
      <c r="W70" s="427">
        <f>(U70-T70)*24*60</f>
        <v>21.000000000000007</v>
      </c>
      <c r="X70" s="430"/>
      <c r="Y70" s="430"/>
      <c r="Z70" s="84"/>
      <c r="AA70" s="84"/>
      <c r="AB70" s="616"/>
      <c r="AC70" s="616"/>
      <c r="AD70" s="443"/>
      <c r="AE70" s="443"/>
      <c r="AF70" s="78">
        <f t="shared" si="6"/>
        <v>-216.5714285714289</v>
      </c>
      <c r="AG70" s="434">
        <f t="shared" si="7"/>
        <v>0.85561904761904739</v>
      </c>
      <c r="AH70" s="631">
        <f>AG82</f>
        <v>0.90123940914399703</v>
      </c>
      <c r="AJ70" s="62" t="str">
        <f>A70</f>
        <v>四度三組
(ET-55)</v>
      </c>
      <c r="AK70" s="404">
        <f>AVERAGE(AK71:AK81)</f>
        <v>6.4000000000000075</v>
      </c>
    </row>
    <row r="71" spans="1:37" ht="19.2" customHeight="1">
      <c r="A71" s="646"/>
      <c r="B71" s="430" t="s">
        <v>167</v>
      </c>
      <c r="C71" s="70"/>
      <c r="D71" s="211" t="s">
        <v>121</v>
      </c>
      <c r="E71" s="72"/>
      <c r="F71" s="73">
        <v>77.34</v>
      </c>
      <c r="G71" s="74">
        <v>1822</v>
      </c>
      <c r="H71" s="75">
        <f>F71*G71</f>
        <v>140913.48000000001</v>
      </c>
      <c r="I71" s="430"/>
      <c r="J71" s="76">
        <v>18</v>
      </c>
      <c r="K71" s="212">
        <v>1440</v>
      </c>
      <c r="L71" s="77">
        <v>80</v>
      </c>
      <c r="M71" s="433">
        <v>18</v>
      </c>
      <c r="N71" s="74">
        <f t="shared" si="51"/>
        <v>1333.1707317073167</v>
      </c>
      <c r="O71" s="77">
        <f t="shared" si="52"/>
        <v>74.065040650406488</v>
      </c>
      <c r="P71" s="78">
        <f t="shared" si="53"/>
        <v>0</v>
      </c>
      <c r="Q71" s="79">
        <f t="shared" si="54"/>
        <v>-5.9349593495935125</v>
      </c>
      <c r="R71" s="434">
        <f t="shared" si="50"/>
        <v>0.92581300813008105</v>
      </c>
      <c r="S71" s="631"/>
      <c r="T71" s="198">
        <v>0.26944444444444443</v>
      </c>
      <c r="U71" s="198">
        <v>0.3263888888888889</v>
      </c>
      <c r="V71" s="430">
        <v>7</v>
      </c>
      <c r="W71" s="427">
        <f t="shared" ref="W71:W81" si="55">(U71-T71)*24*60</f>
        <v>82.000000000000028</v>
      </c>
      <c r="X71" s="83"/>
      <c r="Y71" s="83"/>
      <c r="Z71" s="84"/>
      <c r="AA71" s="84"/>
      <c r="AB71" s="616"/>
      <c r="AC71" s="616"/>
      <c r="AD71" s="443"/>
      <c r="AE71" s="443"/>
      <c r="AF71" s="78">
        <f>N71-K71</f>
        <v>-106.82926829268331</v>
      </c>
      <c r="AG71" s="434">
        <f>N71/K71</f>
        <v>0.92581300813008105</v>
      </c>
      <c r="AH71" s="631"/>
      <c r="AJ71" s="405">
        <f t="shared" ref="AJ71:AJ81" si="56">IF((IF(V71&lt;10,V71,(X71-U70)*1440))=0,"",IF(V71&lt;10,V71,(X71-U70)*1440))</f>
        <v>7</v>
      </c>
      <c r="AK71" s="406">
        <f>IF(AJ71&gt;4,AJ71,"")</f>
        <v>7</v>
      </c>
    </row>
    <row r="72" spans="1:37" ht="19.2" customHeight="1">
      <c r="A72" s="646"/>
      <c r="B72" s="430" t="s">
        <v>167</v>
      </c>
      <c r="C72" s="94"/>
      <c r="D72" s="211" t="s">
        <v>128</v>
      </c>
      <c r="E72" s="72"/>
      <c r="F72" s="73">
        <v>69.260000000000005</v>
      </c>
      <c r="G72" s="74">
        <v>1168.05</v>
      </c>
      <c r="H72" s="75">
        <f t="shared" ref="H72:H76" si="57">F72*G72</f>
        <v>80899.142999999996</v>
      </c>
      <c r="I72" s="430"/>
      <c r="J72" s="129">
        <v>20</v>
      </c>
      <c r="K72" s="85">
        <v>1385</v>
      </c>
      <c r="L72" s="118">
        <v>69.25</v>
      </c>
      <c r="M72" s="428">
        <v>20</v>
      </c>
      <c r="N72" s="74">
        <f t="shared" si="51"/>
        <v>1297.8333333333339</v>
      </c>
      <c r="O72" s="77">
        <f t="shared" si="52"/>
        <v>64.891666666666694</v>
      </c>
      <c r="P72" s="78">
        <f t="shared" si="53"/>
        <v>0</v>
      </c>
      <c r="Q72" s="79">
        <f t="shared" si="54"/>
        <v>-4.3583333333333059</v>
      </c>
      <c r="R72" s="434">
        <f t="shared" si="50"/>
        <v>0.93706377858002443</v>
      </c>
      <c r="S72" s="631"/>
      <c r="T72" s="198">
        <v>0.33124999999999999</v>
      </c>
      <c r="U72" s="198">
        <v>0.36874999999999997</v>
      </c>
      <c r="V72" s="430">
        <v>7</v>
      </c>
      <c r="W72" s="427">
        <f t="shared" si="55"/>
        <v>53.999999999999972</v>
      </c>
      <c r="X72" s="83"/>
      <c r="Y72" s="83"/>
      <c r="Z72" s="84"/>
      <c r="AA72" s="84"/>
      <c r="AB72" s="616"/>
      <c r="AC72" s="616"/>
      <c r="AD72" s="443"/>
      <c r="AE72" s="443"/>
      <c r="AF72" s="78">
        <f>N72-K72</f>
        <v>-87.16666666666606</v>
      </c>
      <c r="AG72" s="434">
        <f>N72/K72</f>
        <v>0.93706377858002454</v>
      </c>
      <c r="AH72" s="631"/>
      <c r="AJ72" s="405">
        <f t="shared" si="56"/>
        <v>7</v>
      </c>
      <c r="AK72" s="406">
        <f t="shared" ref="AK72:AK81" si="58">IF(AJ72&gt;4,AJ72,"")</f>
        <v>7</v>
      </c>
    </row>
    <row r="73" spans="1:37" ht="19.2" customHeight="1">
      <c r="A73" s="646"/>
      <c r="B73" s="430" t="s">
        <v>167</v>
      </c>
      <c r="C73" s="213"/>
      <c r="D73" s="214" t="s">
        <v>122</v>
      </c>
      <c r="E73" s="215"/>
      <c r="F73" s="73">
        <v>53.36</v>
      </c>
      <c r="G73" s="74">
        <v>3532.75</v>
      </c>
      <c r="H73" s="75">
        <f t="shared" si="57"/>
        <v>188507.54</v>
      </c>
      <c r="I73" s="443"/>
      <c r="J73" s="216">
        <v>19</v>
      </c>
      <c r="K73" s="217">
        <v>1636</v>
      </c>
      <c r="L73" s="118">
        <v>86.10526315789474</v>
      </c>
      <c r="M73" s="428">
        <v>19</v>
      </c>
      <c r="N73" s="74">
        <f t="shared" si="51"/>
        <v>1403.7417218543044</v>
      </c>
      <c r="O73" s="77">
        <f t="shared" si="52"/>
        <v>73.881143255489704</v>
      </c>
      <c r="P73" s="78">
        <f t="shared" si="53"/>
        <v>0</v>
      </c>
      <c r="Q73" s="79">
        <f t="shared" si="54"/>
        <v>-12.224119902405036</v>
      </c>
      <c r="R73" s="434">
        <f t="shared" si="50"/>
        <v>0.85803283731925695</v>
      </c>
      <c r="S73" s="631"/>
      <c r="T73" s="198">
        <v>0.38402777777777775</v>
      </c>
      <c r="U73" s="198">
        <v>0.48888888888888887</v>
      </c>
      <c r="V73" s="430">
        <v>22</v>
      </c>
      <c r="W73" s="427">
        <f t="shared" si="55"/>
        <v>151.00000000000003</v>
      </c>
      <c r="X73" s="218">
        <v>0.37361111111111112</v>
      </c>
      <c r="Y73" s="218">
        <v>0.3833333333333333</v>
      </c>
      <c r="Z73" s="159"/>
      <c r="AA73" s="159"/>
      <c r="AB73" s="616"/>
      <c r="AC73" s="616"/>
      <c r="AD73" s="443"/>
      <c r="AE73" s="443"/>
      <c r="AF73" s="78">
        <f>N73-K73</f>
        <v>-232.25827814569561</v>
      </c>
      <c r="AG73" s="434">
        <f>N73/K73</f>
        <v>0.85803283731925695</v>
      </c>
      <c r="AH73" s="631"/>
      <c r="AJ73" s="405">
        <f t="shared" si="56"/>
        <v>7.0000000000000551</v>
      </c>
      <c r="AK73" s="406">
        <f t="shared" si="58"/>
        <v>7.0000000000000551</v>
      </c>
    </row>
    <row r="74" spans="1:37" ht="19.2" customHeight="1">
      <c r="A74" s="646"/>
      <c r="B74" s="430" t="s">
        <v>167</v>
      </c>
      <c r="C74" s="213"/>
      <c r="D74" s="214" t="s">
        <v>125</v>
      </c>
      <c r="E74" s="215"/>
      <c r="F74" s="73">
        <v>53.76</v>
      </c>
      <c r="G74" s="212">
        <v>2586</v>
      </c>
      <c r="H74" s="75">
        <f t="shared" si="57"/>
        <v>139023.35999999999</v>
      </c>
      <c r="I74" s="430"/>
      <c r="J74" s="76">
        <v>16</v>
      </c>
      <c r="K74" s="74">
        <v>1440</v>
      </c>
      <c r="L74" s="77">
        <v>90</v>
      </c>
      <c r="M74" s="428">
        <v>16</v>
      </c>
      <c r="N74" s="74">
        <f t="shared" si="51"/>
        <v>1326.1538461538455</v>
      </c>
      <c r="O74" s="77">
        <f t="shared" si="52"/>
        <v>82.884615384615344</v>
      </c>
      <c r="P74" s="78">
        <f t="shared" si="53"/>
        <v>0</v>
      </c>
      <c r="Q74" s="79">
        <f t="shared" si="54"/>
        <v>-7.1153846153846558</v>
      </c>
      <c r="R74" s="434">
        <f t="shared" si="50"/>
        <v>0.92094017094017044</v>
      </c>
      <c r="S74" s="631"/>
      <c r="T74" s="198">
        <v>0.52916666666666667</v>
      </c>
      <c r="U74" s="198">
        <v>0.61041666666666672</v>
      </c>
      <c r="V74" s="430">
        <v>5</v>
      </c>
      <c r="W74" s="427">
        <f t="shared" si="55"/>
        <v>117.00000000000006</v>
      </c>
      <c r="X74" s="218"/>
      <c r="Y74" s="218"/>
      <c r="Z74" s="159"/>
      <c r="AA74" s="159"/>
      <c r="AB74" s="616"/>
      <c r="AC74" s="616"/>
      <c r="AD74" s="443">
        <v>1</v>
      </c>
      <c r="AE74" s="443"/>
      <c r="AF74" s="78">
        <f t="shared" ref="AF74:AF80" si="59">N74-K74</f>
        <v>-113.84615384615449</v>
      </c>
      <c r="AG74" s="434">
        <f t="shared" ref="AG74:AG80" si="60">N74/K74</f>
        <v>0.92094017094017044</v>
      </c>
      <c r="AH74" s="631"/>
      <c r="AJ74" s="405">
        <f t="shared" si="56"/>
        <v>5</v>
      </c>
      <c r="AK74" s="406">
        <f t="shared" si="58"/>
        <v>5</v>
      </c>
    </row>
    <row r="75" spans="1:37" ht="19.2" customHeight="1">
      <c r="A75" s="646"/>
      <c r="B75" s="430" t="s">
        <v>167</v>
      </c>
      <c r="C75" s="94"/>
      <c r="D75" s="214" t="s">
        <v>124</v>
      </c>
      <c r="E75" s="215"/>
      <c r="F75" s="73">
        <v>47.51</v>
      </c>
      <c r="G75" s="212">
        <v>1875</v>
      </c>
      <c r="H75" s="75">
        <f t="shared" si="57"/>
        <v>89081.25</v>
      </c>
      <c r="I75" s="430"/>
      <c r="J75" s="129">
        <v>17</v>
      </c>
      <c r="K75" s="85">
        <v>1440</v>
      </c>
      <c r="L75" s="118">
        <v>84.705882352941174</v>
      </c>
      <c r="M75" s="428">
        <v>17</v>
      </c>
      <c r="N75" s="74">
        <f t="shared" si="51"/>
        <v>1323.5294117647056</v>
      </c>
      <c r="O75" s="77">
        <f t="shared" si="52"/>
        <v>77.854671280276804</v>
      </c>
      <c r="P75" s="78">
        <f t="shared" si="53"/>
        <v>0</v>
      </c>
      <c r="Q75" s="79">
        <f t="shared" si="54"/>
        <v>-6.8512110726643698</v>
      </c>
      <c r="R75" s="434">
        <f t="shared" si="50"/>
        <v>0.91911764705882337</v>
      </c>
      <c r="S75" s="631"/>
      <c r="T75" s="198">
        <v>0.62569444444444444</v>
      </c>
      <c r="U75" s="198">
        <v>0.68472222222222223</v>
      </c>
      <c r="V75" s="430">
        <v>22</v>
      </c>
      <c r="W75" s="427">
        <f t="shared" si="55"/>
        <v>85.000000000000014</v>
      </c>
      <c r="X75" s="218">
        <v>0.61458333333333337</v>
      </c>
      <c r="Y75" s="218">
        <v>0.625</v>
      </c>
      <c r="Z75" s="159"/>
      <c r="AA75" s="159"/>
      <c r="AB75" s="616"/>
      <c r="AC75" s="616"/>
      <c r="AD75" s="443"/>
      <c r="AE75" s="443"/>
      <c r="AF75" s="78">
        <f t="shared" si="59"/>
        <v>-116.47058823529437</v>
      </c>
      <c r="AG75" s="434">
        <f t="shared" si="60"/>
        <v>0.91911764705882337</v>
      </c>
      <c r="AH75" s="631"/>
      <c r="AJ75" s="405">
        <f t="shared" si="56"/>
        <v>5.9999999999999787</v>
      </c>
      <c r="AK75" s="406">
        <f t="shared" si="58"/>
        <v>5.9999999999999787</v>
      </c>
    </row>
    <row r="76" spans="1:37" ht="19.2" customHeight="1">
      <c r="A76" s="646"/>
      <c r="B76" s="430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430"/>
      <c r="J76" s="76"/>
      <c r="K76" s="74"/>
      <c r="L76" s="77"/>
      <c r="M76" s="433"/>
      <c r="N76" s="74"/>
      <c r="O76" s="77"/>
      <c r="P76" s="78"/>
      <c r="Q76" s="79"/>
      <c r="R76" s="434"/>
      <c r="S76" s="631"/>
      <c r="T76" s="198"/>
      <c r="U76" s="198"/>
      <c r="V76" s="430"/>
      <c r="W76" s="427">
        <f t="shared" si="55"/>
        <v>0</v>
      </c>
      <c r="X76" s="218"/>
      <c r="Y76" s="218"/>
      <c r="Z76" s="159"/>
      <c r="AA76" s="159"/>
      <c r="AB76" s="616"/>
      <c r="AC76" s="616"/>
      <c r="AD76" s="443"/>
      <c r="AE76" s="443"/>
      <c r="AF76" s="78">
        <f t="shared" si="59"/>
        <v>0</v>
      </c>
      <c r="AG76" s="434" t="e">
        <f t="shared" si="60"/>
        <v>#DIV/0!</v>
      </c>
      <c r="AH76" s="631"/>
      <c r="AJ76" s="405" t="str">
        <f t="shared" si="56"/>
        <v/>
      </c>
      <c r="AK76" s="406" t="str">
        <f t="shared" si="58"/>
        <v/>
      </c>
    </row>
    <row r="77" spans="1:37" ht="19.2" customHeight="1">
      <c r="A77" s="646"/>
      <c r="B77" s="430">
        <v>0</v>
      </c>
      <c r="C77" s="440"/>
      <c r="D77" s="71"/>
      <c r="E77" s="72"/>
      <c r="F77" s="73" t="s">
        <v>161</v>
      </c>
      <c r="G77" s="212"/>
      <c r="H77" s="75"/>
      <c r="I77" s="443"/>
      <c r="J77" s="76"/>
      <c r="K77" s="212"/>
      <c r="L77" s="77"/>
      <c r="M77" s="433"/>
      <c r="N77" s="74"/>
      <c r="O77" s="77"/>
      <c r="P77" s="78"/>
      <c r="Q77" s="79"/>
      <c r="R77" s="434"/>
      <c r="S77" s="631"/>
      <c r="T77" s="198"/>
      <c r="U77" s="198"/>
      <c r="V77" s="430"/>
      <c r="W77" s="427">
        <f t="shared" si="55"/>
        <v>0</v>
      </c>
      <c r="X77" s="218"/>
      <c r="Y77" s="218"/>
      <c r="Z77" s="159"/>
      <c r="AA77" s="159"/>
      <c r="AB77" s="616"/>
      <c r="AC77" s="616"/>
      <c r="AD77" s="443"/>
      <c r="AE77" s="443"/>
      <c r="AF77" s="78">
        <f t="shared" si="59"/>
        <v>0</v>
      </c>
      <c r="AG77" s="434" t="e">
        <f t="shared" si="60"/>
        <v>#DIV/0!</v>
      </c>
      <c r="AH77" s="631"/>
      <c r="AJ77" s="405" t="str">
        <f t="shared" si="56"/>
        <v/>
      </c>
      <c r="AK77" s="406" t="str">
        <f t="shared" si="58"/>
        <v/>
      </c>
    </row>
    <row r="78" spans="1:37" ht="19.2" customHeight="1">
      <c r="A78" s="646"/>
      <c r="B78" s="430">
        <v>0</v>
      </c>
      <c r="C78" s="440"/>
      <c r="D78" s="71"/>
      <c r="E78" s="72"/>
      <c r="F78" s="73" t="s">
        <v>161</v>
      </c>
      <c r="G78" s="85"/>
      <c r="H78" s="75"/>
      <c r="I78" s="443"/>
      <c r="J78" s="129"/>
      <c r="K78" s="85"/>
      <c r="L78" s="118"/>
      <c r="M78" s="433"/>
      <c r="N78" s="74"/>
      <c r="O78" s="77"/>
      <c r="P78" s="78"/>
      <c r="Q78" s="79"/>
      <c r="R78" s="434"/>
      <c r="S78" s="631"/>
      <c r="T78" s="198"/>
      <c r="U78" s="198"/>
      <c r="V78" s="430"/>
      <c r="W78" s="427">
        <f t="shared" si="55"/>
        <v>0</v>
      </c>
      <c r="X78" s="218"/>
      <c r="Y78" s="218"/>
      <c r="Z78" s="159"/>
      <c r="AA78" s="159"/>
      <c r="AB78" s="616"/>
      <c r="AC78" s="616"/>
      <c r="AD78" s="443"/>
      <c r="AE78" s="443"/>
      <c r="AF78" s="78">
        <f t="shared" si="59"/>
        <v>0</v>
      </c>
      <c r="AG78" s="434" t="e">
        <f t="shared" si="60"/>
        <v>#DIV/0!</v>
      </c>
      <c r="AH78" s="631"/>
      <c r="AJ78" s="405" t="str">
        <f t="shared" si="56"/>
        <v/>
      </c>
      <c r="AK78" s="406" t="str">
        <f t="shared" si="58"/>
        <v/>
      </c>
    </row>
    <row r="79" spans="1:37" ht="19.2" customHeight="1">
      <c r="A79" s="646"/>
      <c r="B79" s="430">
        <v>0</v>
      </c>
      <c r="C79" s="213"/>
      <c r="D79" s="214"/>
      <c r="E79" s="215"/>
      <c r="F79" s="73" t="s">
        <v>161</v>
      </c>
      <c r="G79" s="85"/>
      <c r="H79" s="75"/>
      <c r="I79" s="443"/>
      <c r="J79" s="129"/>
      <c r="K79" s="85"/>
      <c r="L79" s="118"/>
      <c r="M79" s="433"/>
      <c r="N79" s="85"/>
      <c r="O79" s="219"/>
      <c r="P79" s="140"/>
      <c r="Q79" s="220"/>
      <c r="R79" s="141"/>
      <c r="S79" s="631"/>
      <c r="T79" s="198"/>
      <c r="U79" s="198"/>
      <c r="V79" s="430"/>
      <c r="W79" s="427">
        <f t="shared" si="55"/>
        <v>0</v>
      </c>
      <c r="X79" s="218"/>
      <c r="Y79" s="218"/>
      <c r="Z79" s="159"/>
      <c r="AA79" s="159"/>
      <c r="AB79" s="616"/>
      <c r="AC79" s="616"/>
      <c r="AD79" s="443"/>
      <c r="AE79" s="443"/>
      <c r="AF79" s="78">
        <f t="shared" si="59"/>
        <v>0</v>
      </c>
      <c r="AG79" s="434" t="e">
        <f t="shared" si="60"/>
        <v>#DIV/0!</v>
      </c>
      <c r="AH79" s="631"/>
      <c r="AJ79" s="405" t="str">
        <f t="shared" si="56"/>
        <v/>
      </c>
      <c r="AK79" s="406" t="str">
        <f t="shared" si="58"/>
        <v/>
      </c>
    </row>
    <row r="80" spans="1:37" ht="19.2" customHeight="1">
      <c r="A80" s="646"/>
      <c r="B80" s="430">
        <v>0</v>
      </c>
      <c r="C80" s="440"/>
      <c r="D80" s="71"/>
      <c r="E80" s="72"/>
      <c r="F80" s="73" t="s">
        <v>161</v>
      </c>
      <c r="G80" s="85"/>
      <c r="H80" s="75"/>
      <c r="I80" s="443"/>
      <c r="J80" s="129"/>
      <c r="K80" s="85"/>
      <c r="L80" s="118"/>
      <c r="M80" s="433"/>
      <c r="N80" s="85"/>
      <c r="O80" s="221"/>
      <c r="P80" s="84"/>
      <c r="Q80" s="119"/>
      <c r="R80" s="442"/>
      <c r="S80" s="631"/>
      <c r="T80" s="198"/>
      <c r="U80" s="198"/>
      <c r="V80" s="430"/>
      <c r="W80" s="427">
        <f t="shared" si="55"/>
        <v>0</v>
      </c>
      <c r="X80" s="218"/>
      <c r="Y80" s="218"/>
      <c r="Z80" s="159"/>
      <c r="AA80" s="159"/>
      <c r="AB80" s="616"/>
      <c r="AC80" s="616"/>
      <c r="AD80" s="443"/>
      <c r="AE80" s="443"/>
      <c r="AF80" s="78">
        <f t="shared" si="59"/>
        <v>0</v>
      </c>
      <c r="AG80" s="434" t="e">
        <f t="shared" si="60"/>
        <v>#DIV/0!</v>
      </c>
      <c r="AH80" s="631"/>
      <c r="AJ80" s="405" t="str">
        <f t="shared" si="56"/>
        <v/>
      </c>
      <c r="AK80" s="406" t="str">
        <f t="shared" si="58"/>
        <v/>
      </c>
    </row>
    <row r="81" spans="1:37" ht="19.2" customHeight="1">
      <c r="A81" s="646"/>
      <c r="B81" s="430">
        <v>0</v>
      </c>
      <c r="C81" s="440"/>
      <c r="D81" s="71"/>
      <c r="E81" s="72"/>
      <c r="F81" s="73" t="s">
        <v>161</v>
      </c>
      <c r="G81" s="85"/>
      <c r="H81" s="116"/>
      <c r="I81" s="443"/>
      <c r="J81" s="129"/>
      <c r="K81" s="85"/>
      <c r="L81" s="118"/>
      <c r="M81" s="433"/>
      <c r="N81" s="85"/>
      <c r="O81" s="221"/>
      <c r="P81" s="84"/>
      <c r="Q81" s="119"/>
      <c r="R81" s="442"/>
      <c r="S81" s="631"/>
      <c r="T81" s="198"/>
      <c r="U81" s="198"/>
      <c r="V81" s="430"/>
      <c r="W81" s="427">
        <f t="shared" si="55"/>
        <v>0</v>
      </c>
      <c r="X81" s="218"/>
      <c r="Y81" s="218"/>
      <c r="Z81" s="159"/>
      <c r="AA81" s="159"/>
      <c r="AB81" s="616"/>
      <c r="AC81" s="616"/>
      <c r="AD81" s="443"/>
      <c r="AE81" s="443"/>
      <c r="AF81" s="78"/>
      <c r="AG81" s="160"/>
      <c r="AH81" s="631"/>
      <c r="AJ81" s="405" t="str">
        <f t="shared" si="56"/>
        <v/>
      </c>
      <c r="AK81" s="406" t="str">
        <f t="shared" si="58"/>
        <v/>
      </c>
    </row>
    <row r="82" spans="1:37" ht="19.2" customHeight="1">
      <c r="A82" s="647"/>
      <c r="B82" s="203">
        <v>0</v>
      </c>
      <c r="C82" s="132" t="s">
        <v>289</v>
      </c>
      <c r="D82" s="612" t="s">
        <v>219</v>
      </c>
      <c r="E82" s="612"/>
      <c r="F82" s="222"/>
      <c r="G82" s="103"/>
      <c r="H82" s="134"/>
      <c r="I82" s="135"/>
      <c r="J82" s="103">
        <v>17.666666666666668</v>
      </c>
      <c r="K82" s="103">
        <v>1473.5</v>
      </c>
      <c r="L82" s="136">
        <v>83.968524251805988</v>
      </c>
      <c r="M82" s="103">
        <f t="shared" ref="M82:O82" si="61">AVERAGE(M70:M81)</f>
        <v>17.666666666666668</v>
      </c>
      <c r="N82" s="103">
        <f t="shared" si="61"/>
        <v>1327.9762693736795</v>
      </c>
      <c r="O82" s="223">
        <f t="shared" si="61"/>
        <v>75.631903825290124</v>
      </c>
      <c r="P82" s="150">
        <f>M82-J82</f>
        <v>0</v>
      </c>
      <c r="Q82" s="151">
        <f>N82-K82</f>
        <v>-145.52373062632046</v>
      </c>
      <c r="R82" s="209">
        <f>O82/L82</f>
        <v>0.90071731638969987</v>
      </c>
      <c r="S82" s="631"/>
      <c r="T82" s="198"/>
      <c r="U82" s="198"/>
      <c r="V82" s="430"/>
      <c r="W82" s="74"/>
      <c r="X82" s="77"/>
      <c r="Y82" s="77"/>
      <c r="Z82" s="138">
        <f>SUM(Z70:Z81)</f>
        <v>0</v>
      </c>
      <c r="AA82" s="138">
        <f>SUM(AA70:AA81)</f>
        <v>0</v>
      </c>
      <c r="AB82" s="616"/>
      <c r="AC82" s="616"/>
      <c r="AD82" s="139">
        <f>SUM(AD70:AD81)</f>
        <v>1</v>
      </c>
      <c r="AE82" s="139">
        <f>SUM(AE70:AE81)</f>
        <v>0</v>
      </c>
      <c r="AF82" s="78">
        <f>N82-K82</f>
        <v>-145.52373062632046</v>
      </c>
      <c r="AG82" s="434">
        <f>N82/K82</f>
        <v>0.90123940914399703</v>
      </c>
      <c r="AH82" s="631"/>
    </row>
    <row r="83" spans="1:37" ht="19.2" customHeight="1">
      <c r="A83" s="639" t="s">
        <v>290</v>
      </c>
      <c r="B83" s="142" t="s">
        <v>163</v>
      </c>
      <c r="C83" s="440"/>
      <c r="D83" s="225" t="s">
        <v>100</v>
      </c>
      <c r="E83" s="72"/>
      <c r="F83" s="174">
        <v>27.5</v>
      </c>
      <c r="G83" s="74">
        <v>386</v>
      </c>
      <c r="H83" s="116">
        <f t="shared" ref="H83:H94" si="62">F83*G83</f>
        <v>10615</v>
      </c>
      <c r="I83" s="430"/>
      <c r="J83" s="129">
        <v>12</v>
      </c>
      <c r="K83" s="85">
        <v>2000</v>
      </c>
      <c r="L83" s="118">
        <v>166.66666666666666</v>
      </c>
      <c r="M83" s="433">
        <v>12</v>
      </c>
      <c r="N83" s="85">
        <f t="shared" ref="N83:N89" si="63">G83/W83*60</f>
        <v>1218.9473684210516</v>
      </c>
      <c r="O83" s="221">
        <f t="shared" ref="O83:O89" si="64">N83/M83</f>
        <v>101.57894736842097</v>
      </c>
      <c r="P83" s="84">
        <f t="shared" ref="P83:P84" si="65">M83-J83</f>
        <v>0</v>
      </c>
      <c r="Q83" s="119">
        <f t="shared" ref="Q83:Q84" si="66">O83-L83</f>
        <v>-65.087719298245688</v>
      </c>
      <c r="R83" s="224">
        <f t="shared" ref="R83:R84" si="67">O83/L83</f>
        <v>0.60947368421052583</v>
      </c>
      <c r="S83" s="631">
        <f>R95</f>
        <v>0.80349981533457515</v>
      </c>
      <c r="T83" s="198">
        <v>0.29166666666666669</v>
      </c>
      <c r="U83" s="198">
        <v>0.30486111111111114</v>
      </c>
      <c r="V83" s="430">
        <v>5</v>
      </c>
      <c r="W83" s="427">
        <f t="shared" ref="W83:W93" si="68">(U83-T83)*24*60</f>
        <v>19.000000000000014</v>
      </c>
      <c r="X83" s="83"/>
      <c r="Y83" s="83"/>
      <c r="Z83" s="84"/>
      <c r="AA83" s="84"/>
      <c r="AB83" s="616"/>
      <c r="AC83" s="616"/>
      <c r="AD83" s="443"/>
      <c r="AE83" s="443"/>
      <c r="AF83" s="78">
        <f t="shared" ref="AF83:AF173" si="69">N83-K83</f>
        <v>-781.05263157894842</v>
      </c>
      <c r="AG83" s="434">
        <f t="shared" ref="AG83:AG173" si="70">N83/K83</f>
        <v>0.60947368421052583</v>
      </c>
      <c r="AH83" s="631">
        <f>AG95</f>
        <v>0.82063526015718447</v>
      </c>
      <c r="AJ83" s="62" t="str">
        <f>A83</f>
        <v>四度四組
(ET-55)</v>
      </c>
      <c r="AK83" s="404">
        <f>AVERAGE(AK84:AK94)</f>
        <v>6.5000000000000187</v>
      </c>
    </row>
    <row r="84" spans="1:37" ht="19.2" customHeight="1">
      <c r="A84" s="640"/>
      <c r="B84" s="142" t="s">
        <v>164</v>
      </c>
      <c r="C84" s="157"/>
      <c r="D84" s="225" t="s">
        <v>129</v>
      </c>
      <c r="E84" s="72"/>
      <c r="F84" s="174">
        <v>68.88</v>
      </c>
      <c r="G84" s="74">
        <v>1497</v>
      </c>
      <c r="H84" s="116">
        <f t="shared" si="62"/>
        <v>103113.35999999999</v>
      </c>
      <c r="I84" s="430"/>
      <c r="J84" s="129">
        <v>17</v>
      </c>
      <c r="K84" s="85">
        <v>1440</v>
      </c>
      <c r="L84" s="118">
        <v>84.705882352941174</v>
      </c>
      <c r="M84" s="433">
        <v>17</v>
      </c>
      <c r="N84" s="85">
        <f t="shared" si="63"/>
        <v>1283.1428571428573</v>
      </c>
      <c r="O84" s="221">
        <f t="shared" si="64"/>
        <v>75.478991596638664</v>
      </c>
      <c r="P84" s="84">
        <f t="shared" si="65"/>
        <v>0</v>
      </c>
      <c r="Q84" s="119">
        <f t="shared" si="66"/>
        <v>-9.2268907563025095</v>
      </c>
      <c r="R84" s="224">
        <f t="shared" si="67"/>
        <v>0.89107142857142874</v>
      </c>
      <c r="S84" s="631"/>
      <c r="T84" s="198">
        <v>0.30972222222222223</v>
      </c>
      <c r="U84" s="198">
        <v>0.35833333333333334</v>
      </c>
      <c r="V84" s="430">
        <v>7</v>
      </c>
      <c r="W84" s="427">
        <f t="shared" si="68"/>
        <v>69.999999999999986</v>
      </c>
      <c r="X84" s="83"/>
      <c r="Y84" s="83"/>
      <c r="Z84" s="84"/>
      <c r="AA84" s="84"/>
      <c r="AB84" s="616"/>
      <c r="AC84" s="616"/>
      <c r="AD84" s="443"/>
      <c r="AE84" s="443"/>
      <c r="AF84" s="78">
        <f t="shared" si="69"/>
        <v>-156.85714285714266</v>
      </c>
      <c r="AG84" s="434">
        <f t="shared" si="70"/>
        <v>0.89107142857142874</v>
      </c>
      <c r="AH84" s="631"/>
      <c r="AJ84" s="405">
        <f t="shared" ref="AJ84:AJ94" si="71">IF((IF(V84&lt;10,V84,(X84-U83)*1440))=0,"",IF(V84&lt;10,V84,(X84-U83)*1440))</f>
        <v>7</v>
      </c>
      <c r="AK84" s="406">
        <f>IF(AJ84&gt;4,AJ84,"")</f>
        <v>7</v>
      </c>
    </row>
    <row r="85" spans="1:37" ht="19.2" customHeight="1">
      <c r="A85" s="640"/>
      <c r="B85" s="142" t="s">
        <v>167</v>
      </c>
      <c r="C85" s="127"/>
      <c r="D85" s="225" t="s">
        <v>126</v>
      </c>
      <c r="E85" s="72"/>
      <c r="F85" s="174">
        <v>61.11</v>
      </c>
      <c r="G85" s="74">
        <v>2065</v>
      </c>
      <c r="H85" s="116">
        <f t="shared" si="62"/>
        <v>126192.15</v>
      </c>
      <c r="I85" s="430"/>
      <c r="J85" s="129">
        <v>16</v>
      </c>
      <c r="K85" s="85">
        <v>1440</v>
      </c>
      <c r="L85" s="118">
        <v>90</v>
      </c>
      <c r="M85" s="433">
        <v>16</v>
      </c>
      <c r="N85" s="85">
        <f t="shared" si="63"/>
        <v>1277.3195876288664</v>
      </c>
      <c r="O85" s="221">
        <f t="shared" si="64"/>
        <v>79.832474226804152</v>
      </c>
      <c r="P85" s="84">
        <f>M85-J85</f>
        <v>0</v>
      </c>
      <c r="Q85" s="119">
        <f>O85-L85</f>
        <v>-10.167525773195848</v>
      </c>
      <c r="R85" s="224">
        <f>O85/L85</f>
        <v>0.887027491408935</v>
      </c>
      <c r="S85" s="631"/>
      <c r="T85" s="198">
        <v>0.37361111111111112</v>
      </c>
      <c r="U85" s="198">
        <v>0.44097222222222221</v>
      </c>
      <c r="V85" s="430">
        <v>22</v>
      </c>
      <c r="W85" s="427">
        <f t="shared" si="68"/>
        <v>96.999999999999972</v>
      </c>
      <c r="X85" s="83">
        <v>0.36249999999999999</v>
      </c>
      <c r="Y85" s="83">
        <v>0.37222222222222223</v>
      </c>
      <c r="Z85" s="84"/>
      <c r="AA85" s="84"/>
      <c r="AB85" s="616"/>
      <c r="AC85" s="616"/>
      <c r="AD85" s="443"/>
      <c r="AE85" s="443"/>
      <c r="AF85" s="78">
        <f t="shared" si="69"/>
        <v>-162.68041237113357</v>
      </c>
      <c r="AG85" s="434">
        <f t="shared" si="70"/>
        <v>0.887027491408935</v>
      </c>
      <c r="AH85" s="631"/>
      <c r="AJ85" s="405">
        <f t="shared" si="71"/>
        <v>5.9999999999999787</v>
      </c>
      <c r="AK85" s="406">
        <f t="shared" ref="AK85:AK94" si="72">IF(AJ85&gt;4,AJ85,"")</f>
        <v>5.9999999999999787</v>
      </c>
    </row>
    <row r="86" spans="1:37" ht="19.2" customHeight="1">
      <c r="A86" s="640"/>
      <c r="B86" s="142" t="s">
        <v>167</v>
      </c>
      <c r="C86" s="127"/>
      <c r="D86" s="225" t="s">
        <v>127</v>
      </c>
      <c r="E86" s="72"/>
      <c r="F86" s="174">
        <v>61.09</v>
      </c>
      <c r="G86" s="74">
        <v>1956</v>
      </c>
      <c r="H86" s="116">
        <f t="shared" si="62"/>
        <v>119492.04000000001</v>
      </c>
      <c r="I86" s="430"/>
      <c r="J86" s="129">
        <v>17</v>
      </c>
      <c r="K86" s="85">
        <v>1440</v>
      </c>
      <c r="L86" s="118">
        <v>84.705882352941174</v>
      </c>
      <c r="M86" s="433">
        <v>17</v>
      </c>
      <c r="N86" s="85">
        <f t="shared" si="63"/>
        <v>1289.6703296703295</v>
      </c>
      <c r="O86" s="221">
        <f t="shared" si="64"/>
        <v>75.862960568842908</v>
      </c>
      <c r="P86" s="84">
        <f>M86-J86</f>
        <v>0</v>
      </c>
      <c r="Q86" s="119">
        <f>O86-L86</f>
        <v>-8.8429217840982659</v>
      </c>
      <c r="R86" s="224">
        <f>O86/L86</f>
        <v>0.89560439560439542</v>
      </c>
      <c r="S86" s="631"/>
      <c r="T86" s="198">
        <v>0.4458333333333333</v>
      </c>
      <c r="U86" s="198">
        <v>0.50902777777777775</v>
      </c>
      <c r="V86" s="430">
        <v>7</v>
      </c>
      <c r="W86" s="427">
        <f t="shared" si="68"/>
        <v>91</v>
      </c>
      <c r="X86" s="83"/>
      <c r="Y86" s="83"/>
      <c r="Z86" s="84"/>
      <c r="AA86" s="84"/>
      <c r="AB86" s="616"/>
      <c r="AC86" s="616"/>
      <c r="AD86" s="443"/>
      <c r="AE86" s="443"/>
      <c r="AF86" s="78">
        <f>N86-K86</f>
        <v>-150.32967032967053</v>
      </c>
      <c r="AG86" s="434">
        <f>N86/K86</f>
        <v>0.89560439560439542</v>
      </c>
      <c r="AH86" s="631"/>
      <c r="AJ86" s="405">
        <f t="shared" si="71"/>
        <v>7</v>
      </c>
      <c r="AK86" s="406">
        <f t="shared" si="72"/>
        <v>7</v>
      </c>
    </row>
    <row r="87" spans="1:37" ht="19.2" customHeight="1">
      <c r="A87" s="640"/>
      <c r="B87" s="142" t="s">
        <v>163</v>
      </c>
      <c r="C87" s="440"/>
      <c r="D87" s="71" t="s">
        <v>131</v>
      </c>
      <c r="E87" s="72"/>
      <c r="F87" s="174">
        <v>28.26</v>
      </c>
      <c r="G87" s="85">
        <v>572</v>
      </c>
      <c r="H87" s="116">
        <f t="shared" si="62"/>
        <v>16164.720000000001</v>
      </c>
      <c r="I87" s="430"/>
      <c r="J87" s="129">
        <v>19</v>
      </c>
      <c r="K87" s="85">
        <v>1200</v>
      </c>
      <c r="L87" s="118">
        <v>63.157894736842103</v>
      </c>
      <c r="M87" s="433">
        <v>19</v>
      </c>
      <c r="N87" s="85">
        <f t="shared" si="63"/>
        <v>980.57142857142765</v>
      </c>
      <c r="O87" s="221">
        <f t="shared" si="64"/>
        <v>51.609022556390926</v>
      </c>
      <c r="P87" s="84">
        <f>M87-J87</f>
        <v>0</v>
      </c>
      <c r="Q87" s="119">
        <f>O87-L87</f>
        <v>-11.548872180451177</v>
      </c>
      <c r="R87" s="224">
        <f>O87/L87</f>
        <v>0.81714285714285639</v>
      </c>
      <c r="S87" s="631"/>
      <c r="T87" s="198">
        <v>0.54930555555555549</v>
      </c>
      <c r="U87" s="198">
        <v>0.57361111111111107</v>
      </c>
      <c r="V87" s="430">
        <v>5</v>
      </c>
      <c r="W87" s="427">
        <f t="shared" si="68"/>
        <v>35.000000000000036</v>
      </c>
      <c r="X87" s="83"/>
      <c r="Y87" s="83"/>
      <c r="Z87" s="84"/>
      <c r="AA87" s="84"/>
      <c r="AB87" s="616"/>
      <c r="AC87" s="616"/>
      <c r="AD87" s="443"/>
      <c r="AE87" s="443"/>
      <c r="AF87" s="78">
        <f>N87-K87</f>
        <v>-219.42857142857235</v>
      </c>
      <c r="AG87" s="434">
        <f>N87/K87</f>
        <v>0.81714285714285639</v>
      </c>
      <c r="AH87" s="631"/>
      <c r="AJ87" s="405">
        <f t="shared" si="71"/>
        <v>5</v>
      </c>
      <c r="AK87" s="406">
        <f t="shared" si="72"/>
        <v>5</v>
      </c>
    </row>
    <row r="88" spans="1:37" ht="19.2" customHeight="1">
      <c r="A88" s="640"/>
      <c r="B88" s="142" t="s">
        <v>167</v>
      </c>
      <c r="C88" s="440"/>
      <c r="D88" s="71" t="s">
        <v>122</v>
      </c>
      <c r="E88" s="72"/>
      <c r="F88" s="174">
        <v>53.36</v>
      </c>
      <c r="G88" s="148">
        <v>1902.2499999999998</v>
      </c>
      <c r="H88" s="116">
        <f t="shared" si="62"/>
        <v>101504.05999999998</v>
      </c>
      <c r="I88" s="430">
        <v>1</v>
      </c>
      <c r="J88" s="129">
        <v>19</v>
      </c>
      <c r="K88" s="85">
        <v>1636</v>
      </c>
      <c r="L88" s="118">
        <v>86.10526315789474</v>
      </c>
      <c r="M88" s="433">
        <v>19</v>
      </c>
      <c r="N88" s="85">
        <f t="shared" si="63"/>
        <v>1342.7647058823525</v>
      </c>
      <c r="O88" s="221">
        <f t="shared" si="64"/>
        <v>70.67182662538697</v>
      </c>
      <c r="P88" s="84">
        <f>M88-J88</f>
        <v>0</v>
      </c>
      <c r="Q88" s="119">
        <f>O88-L88</f>
        <v>-15.43343653250777</v>
      </c>
      <c r="R88" s="224">
        <f>O88/L88</f>
        <v>0.82076082266647454</v>
      </c>
      <c r="S88" s="631"/>
      <c r="T88" s="198">
        <v>0.58958333333333335</v>
      </c>
      <c r="U88" s="198">
        <v>0.64861111111111114</v>
      </c>
      <c r="V88" s="430">
        <v>23</v>
      </c>
      <c r="W88" s="427">
        <f t="shared" si="68"/>
        <v>85.000000000000014</v>
      </c>
      <c r="X88" s="83">
        <v>0.57777777777777783</v>
      </c>
      <c r="Y88" s="83">
        <v>0.58888888888888891</v>
      </c>
      <c r="Z88" s="84"/>
      <c r="AA88" s="84"/>
      <c r="AB88" s="616"/>
      <c r="AC88" s="616"/>
      <c r="AD88" s="443"/>
      <c r="AE88" s="443"/>
      <c r="AF88" s="78">
        <f>N88-K88</f>
        <v>-293.23529411764753</v>
      </c>
      <c r="AG88" s="434">
        <f>N88/K88</f>
        <v>0.82076082266647465</v>
      </c>
      <c r="AH88" s="631"/>
      <c r="AJ88" s="405">
        <f t="shared" si="71"/>
        <v>6.0000000000001386</v>
      </c>
      <c r="AK88" s="406">
        <f t="shared" si="72"/>
        <v>6.0000000000001386</v>
      </c>
    </row>
    <row r="89" spans="1:37" ht="19.2" customHeight="1">
      <c r="A89" s="640"/>
      <c r="B89" s="142" t="s">
        <v>167</v>
      </c>
      <c r="C89" s="440"/>
      <c r="D89" s="71" t="s">
        <v>128</v>
      </c>
      <c r="E89" s="72"/>
      <c r="F89" s="174">
        <v>69.260000000000005</v>
      </c>
      <c r="G89" s="148">
        <v>628.94999999999993</v>
      </c>
      <c r="H89" s="116">
        <f t="shared" si="62"/>
        <v>43561.076999999997</v>
      </c>
      <c r="I89" s="430"/>
      <c r="J89" s="129">
        <v>20</v>
      </c>
      <c r="K89" s="85">
        <v>1385</v>
      </c>
      <c r="L89" s="118">
        <v>69.25</v>
      </c>
      <c r="M89" s="433">
        <v>20</v>
      </c>
      <c r="N89" s="85">
        <f t="shared" si="63"/>
        <v>1257.8999999999976</v>
      </c>
      <c r="O89" s="221">
        <f t="shared" si="64"/>
        <v>62.894999999999882</v>
      </c>
      <c r="P89" s="84">
        <f>M89-J89</f>
        <v>0</v>
      </c>
      <c r="Q89" s="119">
        <f>O89-L89</f>
        <v>-6.3550000000001177</v>
      </c>
      <c r="R89" s="224">
        <f>O89/L89</f>
        <v>0.90823104693140622</v>
      </c>
      <c r="S89" s="631"/>
      <c r="T89" s="198">
        <v>0.65416666666666667</v>
      </c>
      <c r="U89" s="198">
        <v>0.67500000000000004</v>
      </c>
      <c r="V89" s="430">
        <v>8</v>
      </c>
      <c r="W89" s="427">
        <f t="shared" si="68"/>
        <v>30.000000000000053</v>
      </c>
      <c r="X89" s="83"/>
      <c r="Y89" s="83"/>
      <c r="Z89" s="84"/>
      <c r="AA89" s="84"/>
      <c r="AB89" s="616"/>
      <c r="AC89" s="616"/>
      <c r="AD89" s="443"/>
      <c r="AE89" s="443"/>
      <c r="AF89" s="78">
        <f>N89-K89</f>
        <v>-127.10000000000241</v>
      </c>
      <c r="AG89" s="434">
        <f>N89/K89</f>
        <v>0.90823104693140622</v>
      </c>
      <c r="AH89" s="631"/>
      <c r="AJ89" s="405">
        <f t="shared" si="71"/>
        <v>8</v>
      </c>
      <c r="AK89" s="406">
        <f t="shared" si="72"/>
        <v>8</v>
      </c>
    </row>
    <row r="90" spans="1:37" ht="19.2" customHeight="1">
      <c r="A90" s="640"/>
      <c r="B90" s="142">
        <v>0</v>
      </c>
      <c r="C90" s="440"/>
      <c r="D90" s="71"/>
      <c r="E90" s="72"/>
      <c r="F90" s="174" t="s">
        <v>161</v>
      </c>
      <c r="G90" s="74"/>
      <c r="H90" s="116">
        <f t="shared" si="62"/>
        <v>0</v>
      </c>
      <c r="I90" s="226"/>
      <c r="J90" s="129"/>
      <c r="K90" s="85"/>
      <c r="L90" s="118"/>
      <c r="M90" s="433"/>
      <c r="N90" s="85"/>
      <c r="O90" s="221"/>
      <c r="P90" s="84"/>
      <c r="Q90" s="119"/>
      <c r="R90" s="224"/>
      <c r="S90" s="631"/>
      <c r="T90" s="198"/>
      <c r="U90" s="198"/>
      <c r="V90" s="430"/>
      <c r="W90" s="427">
        <f t="shared" si="68"/>
        <v>0</v>
      </c>
      <c r="X90" s="227"/>
      <c r="Y90" s="227"/>
      <c r="Z90" s="84"/>
      <c r="AA90" s="84"/>
      <c r="AB90" s="616"/>
      <c r="AC90" s="616"/>
      <c r="AD90" s="443"/>
      <c r="AE90" s="443"/>
      <c r="AF90" s="78">
        <f t="shared" si="69"/>
        <v>0</v>
      </c>
      <c r="AG90" s="434" t="e">
        <f t="shared" si="70"/>
        <v>#DIV/0!</v>
      </c>
      <c r="AH90" s="631"/>
      <c r="AJ90" s="405" t="str">
        <f t="shared" si="71"/>
        <v/>
      </c>
      <c r="AK90" s="406" t="str">
        <f t="shared" si="72"/>
        <v/>
      </c>
    </row>
    <row r="91" spans="1:37" ht="19.2" customHeight="1">
      <c r="A91" s="640"/>
      <c r="B91" s="142">
        <v>0</v>
      </c>
      <c r="C91" s="440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433"/>
      <c r="N91" s="85"/>
      <c r="O91" s="221"/>
      <c r="P91" s="84"/>
      <c r="Q91" s="119"/>
      <c r="R91" s="224"/>
      <c r="S91" s="632"/>
      <c r="T91" s="198"/>
      <c r="U91" s="198"/>
      <c r="V91" s="430"/>
      <c r="W91" s="427">
        <f t="shared" si="68"/>
        <v>0</v>
      </c>
      <c r="X91" s="149"/>
      <c r="Y91" s="149"/>
      <c r="Z91" s="84"/>
      <c r="AA91" s="84"/>
      <c r="AB91" s="616"/>
      <c r="AC91" s="616"/>
      <c r="AD91" s="443"/>
      <c r="AE91" s="443"/>
      <c r="AF91" s="78">
        <f t="shared" si="69"/>
        <v>0</v>
      </c>
      <c r="AG91" s="434" t="e">
        <f t="shared" si="70"/>
        <v>#DIV/0!</v>
      </c>
      <c r="AH91" s="632"/>
      <c r="AJ91" s="405" t="str">
        <f t="shared" si="71"/>
        <v/>
      </c>
      <c r="AK91" s="406" t="str">
        <f t="shared" si="72"/>
        <v/>
      </c>
    </row>
    <row r="92" spans="1:37" ht="19.2" customHeight="1">
      <c r="A92" s="640"/>
      <c r="B92" s="142">
        <v>0</v>
      </c>
      <c r="C92" s="440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632"/>
      <c r="T92" s="198"/>
      <c r="U92" s="198"/>
      <c r="V92" s="430"/>
      <c r="W92" s="427">
        <f t="shared" si="68"/>
        <v>0</v>
      </c>
      <c r="X92" s="218"/>
      <c r="Y92" s="218"/>
      <c r="Z92" s="159"/>
      <c r="AA92" s="159"/>
      <c r="AB92" s="616"/>
      <c r="AC92" s="616"/>
      <c r="AD92" s="443"/>
      <c r="AE92" s="443"/>
      <c r="AF92" s="78">
        <f t="shared" si="69"/>
        <v>0</v>
      </c>
      <c r="AG92" s="434" t="e">
        <f t="shared" si="70"/>
        <v>#DIV/0!</v>
      </c>
      <c r="AH92" s="632"/>
      <c r="AJ92" s="405" t="str">
        <f t="shared" si="71"/>
        <v/>
      </c>
      <c r="AK92" s="406" t="str">
        <f t="shared" si="72"/>
        <v/>
      </c>
    </row>
    <row r="93" spans="1:37" ht="19.2" customHeight="1">
      <c r="A93" s="640"/>
      <c r="B93" s="431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433"/>
      <c r="N93" s="85"/>
      <c r="O93" s="118"/>
      <c r="P93" s="84"/>
      <c r="Q93" s="119"/>
      <c r="R93" s="437"/>
      <c r="S93" s="641"/>
      <c r="T93" s="232"/>
      <c r="U93" s="232"/>
      <c r="V93" s="431"/>
      <c r="W93" s="427">
        <f t="shared" si="68"/>
        <v>0</v>
      </c>
      <c r="X93" s="233"/>
      <c r="Y93" s="233"/>
      <c r="Z93" s="159"/>
      <c r="AA93" s="159"/>
      <c r="AB93" s="616"/>
      <c r="AC93" s="616"/>
      <c r="AD93" s="443"/>
      <c r="AE93" s="443"/>
      <c r="AF93" s="78">
        <f t="shared" si="69"/>
        <v>0</v>
      </c>
      <c r="AG93" s="434" t="e">
        <f t="shared" si="70"/>
        <v>#DIV/0!</v>
      </c>
      <c r="AH93" s="632"/>
      <c r="AJ93" s="405" t="str">
        <f t="shared" si="71"/>
        <v/>
      </c>
      <c r="AK93" s="406" t="str">
        <f t="shared" si="72"/>
        <v/>
      </c>
    </row>
    <row r="94" spans="1:37" ht="19.2" customHeight="1">
      <c r="A94" s="640"/>
      <c r="B94" s="431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437"/>
      <c r="S94" s="641"/>
      <c r="T94" s="232"/>
      <c r="U94" s="232"/>
      <c r="V94" s="431"/>
      <c r="W94" s="427">
        <f>(U94-T94)*24*60</f>
        <v>0</v>
      </c>
      <c r="X94" s="233"/>
      <c r="Y94" s="233"/>
      <c r="Z94" s="159"/>
      <c r="AA94" s="159"/>
      <c r="AB94" s="616"/>
      <c r="AC94" s="616"/>
      <c r="AD94" s="443"/>
      <c r="AE94" s="443"/>
      <c r="AF94" s="78">
        <f t="shared" si="69"/>
        <v>0</v>
      </c>
      <c r="AG94" s="434" t="e">
        <f t="shared" si="70"/>
        <v>#DIV/0!</v>
      </c>
      <c r="AH94" s="632"/>
      <c r="AJ94" s="405" t="str">
        <f t="shared" si="71"/>
        <v/>
      </c>
      <c r="AK94" s="406" t="str">
        <f t="shared" si="72"/>
        <v/>
      </c>
    </row>
    <row r="95" spans="1:37" ht="19.2" customHeight="1">
      <c r="A95" s="640"/>
      <c r="B95" s="236">
        <v>0</v>
      </c>
      <c r="C95" s="132" t="s">
        <v>291</v>
      </c>
      <c r="D95" s="612" t="s">
        <v>219</v>
      </c>
      <c r="E95" s="612"/>
      <c r="F95" s="98"/>
      <c r="G95" s="99"/>
      <c r="H95" s="237"/>
      <c r="I95" s="135"/>
      <c r="J95" s="238">
        <v>17.142857142857142</v>
      </c>
      <c r="K95" s="238">
        <v>1505.8571428571429</v>
      </c>
      <c r="L95" s="239">
        <v>92.084512752469408</v>
      </c>
      <c r="M95" s="238">
        <f t="shared" ref="M95:O95" si="73">AVERAGE(M83:M94)</f>
        <v>17.142857142857142</v>
      </c>
      <c r="N95" s="238">
        <f t="shared" si="73"/>
        <v>1235.759468188126</v>
      </c>
      <c r="O95" s="239">
        <f t="shared" si="73"/>
        <v>73.989888991783502</v>
      </c>
      <c r="P95" s="240">
        <f t="shared" ref="P95:P100" si="74">M95-J95</f>
        <v>0</v>
      </c>
      <c r="Q95" s="241">
        <f t="shared" ref="Q95:Q100" si="75">O95-L95</f>
        <v>-18.094623760685906</v>
      </c>
      <c r="R95" s="242">
        <f>O95/L95</f>
        <v>0.80349981533457515</v>
      </c>
      <c r="S95" s="632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616"/>
      <c r="AC95" s="616"/>
      <c r="AD95" s="139">
        <f>SUM(AD83:AD94)</f>
        <v>0</v>
      </c>
      <c r="AE95" s="139">
        <f>SUM(AE83:AE94)</f>
        <v>0</v>
      </c>
      <c r="AF95" s="104">
        <f t="shared" si="69"/>
        <v>-270.0976746690169</v>
      </c>
      <c r="AG95" s="435">
        <f t="shared" si="70"/>
        <v>0.82063526015718447</v>
      </c>
      <c r="AH95" s="632"/>
    </row>
    <row r="96" spans="1:37" ht="19.2" customHeight="1">
      <c r="A96" s="642" t="s">
        <v>292</v>
      </c>
      <c r="B96" s="430" t="s">
        <v>163</v>
      </c>
      <c r="C96" s="127"/>
      <c r="D96" s="128" t="s">
        <v>111</v>
      </c>
      <c r="E96" s="72"/>
      <c r="F96" s="73">
        <v>43.14</v>
      </c>
      <c r="G96" s="74">
        <v>1925</v>
      </c>
      <c r="H96" s="75">
        <f t="shared" ref="H96:H105" si="76">F96*G96</f>
        <v>83044.5</v>
      </c>
      <c r="I96" s="430"/>
      <c r="J96" s="76">
        <v>17</v>
      </c>
      <c r="K96" s="74">
        <v>1500</v>
      </c>
      <c r="L96" s="77">
        <v>88.235294117647058</v>
      </c>
      <c r="M96" s="428">
        <v>17</v>
      </c>
      <c r="N96" s="74">
        <f t="shared" ref="N96:N100" si="77">G96/W96*60</f>
        <v>1358.8235294117646</v>
      </c>
      <c r="O96" s="77">
        <f>N96/M96</f>
        <v>79.930795847750858</v>
      </c>
      <c r="P96" s="78">
        <f t="shared" si="74"/>
        <v>0</v>
      </c>
      <c r="Q96" s="79">
        <f t="shared" si="75"/>
        <v>-8.3044982698962002</v>
      </c>
      <c r="R96" s="434">
        <f t="shared" ref="R96:R100" si="78">O96/L96</f>
        <v>0.90588235294117636</v>
      </c>
      <c r="S96" s="631">
        <f>R108</f>
        <v>0.87642529460979146</v>
      </c>
      <c r="T96" s="80">
        <v>0.29166666666666669</v>
      </c>
      <c r="U96" s="80">
        <v>0.35069444444444448</v>
      </c>
      <c r="V96" s="443">
        <v>5</v>
      </c>
      <c r="W96" s="120">
        <f t="shared" ref="W96:W133" si="79">(U96-T96)*24*60</f>
        <v>85.000000000000014</v>
      </c>
      <c r="X96" s="126"/>
      <c r="Y96" s="126"/>
      <c r="Z96" s="84"/>
      <c r="AA96" s="84"/>
      <c r="AB96" s="616"/>
      <c r="AC96" s="616"/>
      <c r="AD96" s="443"/>
      <c r="AE96" s="443"/>
      <c r="AF96" s="84">
        <f t="shared" si="69"/>
        <v>-141.17647058823536</v>
      </c>
      <c r="AG96" s="437">
        <f t="shared" si="70"/>
        <v>0.90588235294117647</v>
      </c>
      <c r="AH96" s="615">
        <f>AG108</f>
        <v>0.87445147862613559</v>
      </c>
    </row>
    <row r="97" spans="1:37" s="252" customFormat="1" ht="19.2" customHeight="1">
      <c r="A97" s="642"/>
      <c r="B97" s="430" t="s">
        <v>163</v>
      </c>
      <c r="C97" s="243"/>
      <c r="D97" s="244" t="s">
        <v>130</v>
      </c>
      <c r="E97" s="87"/>
      <c r="F97" s="245">
        <v>29.113149847094796</v>
      </c>
      <c r="G97" s="246">
        <v>2606</v>
      </c>
      <c r="H97" s="247">
        <f t="shared" si="76"/>
        <v>75868.868501529039</v>
      </c>
      <c r="I97" s="153"/>
      <c r="J97" s="76">
        <v>20</v>
      </c>
      <c r="K97" s="74">
        <v>1385</v>
      </c>
      <c r="L97" s="77">
        <v>69.25</v>
      </c>
      <c r="M97" s="129">
        <v>20</v>
      </c>
      <c r="N97" s="74">
        <f t="shared" si="77"/>
        <v>1116.8571428571431</v>
      </c>
      <c r="O97" s="77">
        <f>N97/M97</f>
        <v>55.842857142857156</v>
      </c>
      <c r="P97" s="78">
        <f t="shared" si="74"/>
        <v>0</v>
      </c>
      <c r="Q97" s="79">
        <f t="shared" si="75"/>
        <v>-13.407142857142844</v>
      </c>
      <c r="R97" s="434">
        <f t="shared" si="78"/>
        <v>0.80639504899432712</v>
      </c>
      <c r="S97" s="631"/>
      <c r="T97" s="248">
        <v>0.36597222222222225</v>
      </c>
      <c r="U97" s="248">
        <v>0.46319444444444446</v>
      </c>
      <c r="V97" s="249">
        <v>22</v>
      </c>
      <c r="W97" s="120">
        <f t="shared" si="79"/>
        <v>139.99999999999997</v>
      </c>
      <c r="X97" s="83">
        <v>0.35555555555555557</v>
      </c>
      <c r="Y97" s="83">
        <v>0.36527777777777781</v>
      </c>
      <c r="Z97" s="84"/>
      <c r="AA97" s="84"/>
      <c r="AB97" s="616"/>
      <c r="AC97" s="616"/>
      <c r="AD97" s="249"/>
      <c r="AE97" s="249"/>
      <c r="AF97" s="250">
        <f t="shared" si="69"/>
        <v>-268.14285714285688</v>
      </c>
      <c r="AG97" s="251">
        <f t="shared" si="70"/>
        <v>0.80639504899432712</v>
      </c>
      <c r="AH97" s="615"/>
      <c r="AJ97" s="62"/>
      <c r="AK97" s="62"/>
    </row>
    <row r="98" spans="1:37" s="255" customFormat="1" ht="19.2" customHeight="1">
      <c r="A98" s="642"/>
      <c r="B98" s="430" t="s">
        <v>166</v>
      </c>
      <c r="C98" s="86"/>
      <c r="D98" s="71" t="s">
        <v>123</v>
      </c>
      <c r="E98" s="114"/>
      <c r="F98" s="245">
        <v>51.44</v>
      </c>
      <c r="G98" s="85">
        <v>1043</v>
      </c>
      <c r="H98" s="247">
        <f t="shared" si="76"/>
        <v>53651.92</v>
      </c>
      <c r="I98" s="443"/>
      <c r="J98" s="76">
        <v>20</v>
      </c>
      <c r="K98" s="74">
        <v>1440</v>
      </c>
      <c r="L98" s="77">
        <v>72</v>
      </c>
      <c r="M98" s="129">
        <v>20</v>
      </c>
      <c r="N98" s="74">
        <f t="shared" si="77"/>
        <v>1180.7547169811328</v>
      </c>
      <c r="O98" s="77">
        <f>N98/M98</f>
        <v>59.037735849056638</v>
      </c>
      <c r="P98" s="78">
        <f t="shared" si="74"/>
        <v>0</v>
      </c>
      <c r="Q98" s="79">
        <f t="shared" si="75"/>
        <v>-12.962264150943362</v>
      </c>
      <c r="R98" s="434">
        <f t="shared" si="78"/>
        <v>0.81996855345912001</v>
      </c>
      <c r="S98" s="631"/>
      <c r="T98" s="80">
        <v>0.50347222222222221</v>
      </c>
      <c r="U98" s="80">
        <v>0.54027777777777775</v>
      </c>
      <c r="V98" s="443">
        <v>5</v>
      </c>
      <c r="W98" s="120">
        <f t="shared" si="79"/>
        <v>52.999999999999972</v>
      </c>
      <c r="X98" s="253"/>
      <c r="Y98" s="253"/>
      <c r="Z98" s="254"/>
      <c r="AA98" s="254"/>
      <c r="AB98" s="616"/>
      <c r="AC98" s="616"/>
      <c r="AD98" s="443"/>
      <c r="AE98" s="443"/>
      <c r="AF98" s="250">
        <f t="shared" si="69"/>
        <v>-259.24528301886721</v>
      </c>
      <c r="AG98" s="437">
        <f t="shared" si="70"/>
        <v>0.81996855345912001</v>
      </c>
      <c r="AH98" s="615"/>
      <c r="AJ98" s="62"/>
      <c r="AK98" s="62"/>
    </row>
    <row r="99" spans="1:37" ht="19.2" customHeight="1">
      <c r="A99" s="642"/>
      <c r="B99" s="430" t="s">
        <v>166</v>
      </c>
      <c r="C99" s="112"/>
      <c r="D99" s="113" t="s">
        <v>192</v>
      </c>
      <c r="E99" s="114"/>
      <c r="F99" s="245">
        <v>56.43</v>
      </c>
      <c r="G99" s="85">
        <v>1747</v>
      </c>
      <c r="H99" s="247">
        <f t="shared" si="76"/>
        <v>98583.21</v>
      </c>
      <c r="I99" s="443"/>
      <c r="J99" s="76">
        <v>19</v>
      </c>
      <c r="K99" s="74">
        <v>1385</v>
      </c>
      <c r="L99" s="77">
        <v>72.89473684210526</v>
      </c>
      <c r="M99" s="428">
        <v>19</v>
      </c>
      <c r="N99" s="74">
        <f t="shared" si="77"/>
        <v>1278.2926829268288</v>
      </c>
      <c r="O99" s="77">
        <f>N99/M99</f>
        <v>67.278562259306781</v>
      </c>
      <c r="P99" s="78">
        <f t="shared" si="74"/>
        <v>0</v>
      </c>
      <c r="Q99" s="79">
        <f t="shared" si="75"/>
        <v>-5.6161745827984788</v>
      </c>
      <c r="R99" s="434">
        <f t="shared" si="78"/>
        <v>0.92295500572334221</v>
      </c>
      <c r="S99" s="631"/>
      <c r="T99" s="80">
        <v>0.54513888888888884</v>
      </c>
      <c r="U99" s="80">
        <v>0.6020833333333333</v>
      </c>
      <c r="V99" s="443">
        <v>7</v>
      </c>
      <c r="W99" s="120">
        <f t="shared" si="79"/>
        <v>82.000000000000028</v>
      </c>
      <c r="X99" s="218"/>
      <c r="Y99" s="218"/>
      <c r="Z99" s="159"/>
      <c r="AA99" s="159"/>
      <c r="AB99" s="616"/>
      <c r="AC99" s="616"/>
      <c r="AD99" s="443"/>
      <c r="AE99" s="443"/>
      <c r="AF99" s="250">
        <f t="shared" si="69"/>
        <v>-106.70731707317123</v>
      </c>
      <c r="AG99" s="251">
        <f t="shared" si="70"/>
        <v>0.9229550057233421</v>
      </c>
      <c r="AH99" s="615"/>
    </row>
    <row r="100" spans="1:37" s="255" customFormat="1" ht="19.2" customHeight="1">
      <c r="A100" s="642"/>
      <c r="B100" s="430" t="s">
        <v>166</v>
      </c>
      <c r="C100" s="86"/>
      <c r="D100" s="71" t="s">
        <v>196</v>
      </c>
      <c r="E100" s="114"/>
      <c r="F100" s="245">
        <v>57.3</v>
      </c>
      <c r="G100" s="85">
        <v>2196</v>
      </c>
      <c r="H100" s="247">
        <f t="shared" si="76"/>
        <v>125830.79999999999</v>
      </c>
      <c r="I100" s="443"/>
      <c r="J100" s="76">
        <v>19</v>
      </c>
      <c r="K100" s="74">
        <v>1440</v>
      </c>
      <c r="L100" s="77">
        <v>75.78947368421052</v>
      </c>
      <c r="M100" s="129">
        <v>19</v>
      </c>
      <c r="N100" s="74">
        <f t="shared" si="77"/>
        <v>1317.6000000000004</v>
      </c>
      <c r="O100" s="77">
        <f>N100/M100</f>
        <v>69.34736842105265</v>
      </c>
      <c r="P100" s="78">
        <f t="shared" si="74"/>
        <v>0</v>
      </c>
      <c r="Q100" s="79">
        <f t="shared" si="75"/>
        <v>-6.4421052631578704</v>
      </c>
      <c r="R100" s="434">
        <f t="shared" si="78"/>
        <v>0.91500000000000037</v>
      </c>
      <c r="S100" s="631"/>
      <c r="T100" s="248">
        <v>0.61736111111111103</v>
      </c>
      <c r="U100" s="248">
        <v>0.68680555555555545</v>
      </c>
      <c r="V100" s="249">
        <v>22</v>
      </c>
      <c r="W100" s="120">
        <f t="shared" si="79"/>
        <v>99.999999999999972</v>
      </c>
      <c r="X100" s="256">
        <v>0.6069444444444444</v>
      </c>
      <c r="Y100" s="256">
        <v>0.6166666666666667</v>
      </c>
      <c r="Z100" s="254"/>
      <c r="AA100" s="254"/>
      <c r="AB100" s="616"/>
      <c r="AC100" s="616"/>
      <c r="AD100" s="443">
        <v>1</v>
      </c>
      <c r="AE100" s="443"/>
      <c r="AF100" s="250">
        <f t="shared" si="69"/>
        <v>-122.39999999999964</v>
      </c>
      <c r="AG100" s="437">
        <f t="shared" si="70"/>
        <v>0.91500000000000026</v>
      </c>
      <c r="AH100" s="615"/>
      <c r="AJ100" s="62"/>
      <c r="AK100" s="62"/>
    </row>
    <row r="101" spans="1:37" s="255" customFormat="1" ht="19.2" customHeight="1">
      <c r="A101" s="642"/>
      <c r="B101" s="430">
        <v>0</v>
      </c>
      <c r="C101" s="86"/>
      <c r="D101" s="113"/>
      <c r="E101" s="114"/>
      <c r="F101" s="245" t="s">
        <v>161</v>
      </c>
      <c r="G101" s="85"/>
      <c r="H101" s="247">
        <f t="shared" si="76"/>
        <v>0</v>
      </c>
      <c r="I101" s="443"/>
      <c r="J101" s="76"/>
      <c r="K101" s="74"/>
      <c r="L101" s="77"/>
      <c r="M101" s="129"/>
      <c r="N101" s="74"/>
      <c r="O101" s="77"/>
      <c r="P101" s="78"/>
      <c r="Q101" s="79"/>
      <c r="R101" s="434"/>
      <c r="S101" s="631"/>
      <c r="T101" s="248"/>
      <c r="U101" s="80"/>
      <c r="V101" s="249"/>
      <c r="W101" s="120">
        <f t="shared" si="79"/>
        <v>0</v>
      </c>
      <c r="X101" s="257"/>
      <c r="Y101" s="257"/>
      <c r="Z101" s="254"/>
      <c r="AA101" s="254"/>
      <c r="AB101" s="616"/>
      <c r="AC101" s="616"/>
      <c r="AD101" s="443"/>
      <c r="AE101" s="443"/>
      <c r="AF101" s="250">
        <f t="shared" si="69"/>
        <v>0</v>
      </c>
      <c r="AG101" s="251" t="e">
        <f t="shared" si="70"/>
        <v>#DIV/0!</v>
      </c>
      <c r="AH101" s="615"/>
      <c r="AJ101" s="62"/>
      <c r="AK101" s="62"/>
    </row>
    <row r="102" spans="1:37" s="255" customFormat="1" ht="19.2" customHeight="1">
      <c r="A102" s="642"/>
      <c r="B102" s="430">
        <v>0</v>
      </c>
      <c r="C102" s="213"/>
      <c r="D102" s="113"/>
      <c r="E102" s="215"/>
      <c r="F102" s="245" t="s">
        <v>161</v>
      </c>
      <c r="G102" s="85"/>
      <c r="H102" s="247">
        <f t="shared" si="76"/>
        <v>0</v>
      </c>
      <c r="I102" s="430"/>
      <c r="J102" s="76"/>
      <c r="K102" s="74"/>
      <c r="L102" s="77"/>
      <c r="M102" s="129"/>
      <c r="N102" s="74"/>
      <c r="O102" s="77"/>
      <c r="P102" s="78"/>
      <c r="Q102" s="79"/>
      <c r="R102" s="434"/>
      <c r="S102" s="631"/>
      <c r="T102" s="248"/>
      <c r="U102" s="248"/>
      <c r="V102" s="249"/>
      <c r="W102" s="120">
        <f t="shared" si="79"/>
        <v>0</v>
      </c>
      <c r="X102" s="257"/>
      <c r="Y102" s="257"/>
      <c r="Z102" s="254"/>
      <c r="AA102" s="254"/>
      <c r="AB102" s="616"/>
      <c r="AC102" s="616"/>
      <c r="AD102" s="443"/>
      <c r="AE102" s="443"/>
      <c r="AF102" s="250">
        <f t="shared" si="69"/>
        <v>0</v>
      </c>
      <c r="AG102" s="437" t="e">
        <f t="shared" si="70"/>
        <v>#DIV/0!</v>
      </c>
      <c r="AH102" s="615"/>
      <c r="AJ102" s="62"/>
      <c r="AK102" s="62"/>
    </row>
    <row r="103" spans="1:37" s="255" customFormat="1" ht="19.2" customHeight="1">
      <c r="A103" s="642"/>
      <c r="B103" s="430">
        <v>0</v>
      </c>
      <c r="C103" s="258"/>
      <c r="D103" s="113"/>
      <c r="E103" s="114"/>
      <c r="F103" s="245" t="s">
        <v>161</v>
      </c>
      <c r="G103" s="85"/>
      <c r="H103" s="247">
        <f t="shared" si="76"/>
        <v>0</v>
      </c>
      <c r="I103" s="259"/>
      <c r="J103" s="76"/>
      <c r="K103" s="74"/>
      <c r="L103" s="77"/>
      <c r="M103" s="129"/>
      <c r="N103" s="74"/>
      <c r="O103" s="77"/>
      <c r="P103" s="78"/>
      <c r="Q103" s="79"/>
      <c r="R103" s="434"/>
      <c r="S103" s="631"/>
      <c r="T103" s="248"/>
      <c r="U103" s="248"/>
      <c r="V103" s="249"/>
      <c r="W103" s="120">
        <f t="shared" si="79"/>
        <v>0</v>
      </c>
      <c r="X103" s="257"/>
      <c r="Y103" s="257"/>
      <c r="Z103" s="254"/>
      <c r="AA103" s="254"/>
      <c r="AB103" s="616"/>
      <c r="AC103" s="616"/>
      <c r="AD103" s="443"/>
      <c r="AE103" s="443"/>
      <c r="AF103" s="84">
        <f t="shared" si="69"/>
        <v>0</v>
      </c>
      <c r="AG103" s="437" t="e">
        <f t="shared" si="70"/>
        <v>#DIV/0!</v>
      </c>
      <c r="AH103" s="615"/>
      <c r="AJ103" s="62"/>
      <c r="AK103" s="62"/>
    </row>
    <row r="104" spans="1:37" s="255" customFormat="1" ht="19.2" customHeight="1">
      <c r="A104" s="642"/>
      <c r="B104" s="430">
        <v>0</v>
      </c>
      <c r="C104" s="260"/>
      <c r="D104" s="113"/>
      <c r="E104" s="114"/>
      <c r="F104" s="245" t="s">
        <v>161</v>
      </c>
      <c r="G104" s="246"/>
      <c r="H104" s="247">
        <f t="shared" si="76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434"/>
      <c r="S104" s="632"/>
      <c r="T104" s="248"/>
      <c r="U104" s="248"/>
      <c r="V104" s="249"/>
      <c r="W104" s="120">
        <f t="shared" si="79"/>
        <v>0</v>
      </c>
      <c r="X104" s="257"/>
      <c r="Y104" s="257"/>
      <c r="Z104" s="254"/>
      <c r="AA104" s="254"/>
      <c r="AB104" s="616"/>
      <c r="AC104" s="616"/>
      <c r="AD104" s="443"/>
      <c r="AE104" s="443"/>
      <c r="AF104" s="250">
        <f t="shared" si="69"/>
        <v>0</v>
      </c>
      <c r="AG104" s="251" t="e">
        <f t="shared" si="70"/>
        <v>#DIV/0!</v>
      </c>
      <c r="AH104" s="615"/>
      <c r="AJ104" s="62"/>
      <c r="AK104" s="62"/>
    </row>
    <row r="105" spans="1:37" s="255" customFormat="1" ht="19.2" customHeight="1">
      <c r="A105" s="642"/>
      <c r="B105" s="430">
        <v>0</v>
      </c>
      <c r="C105" s="260"/>
      <c r="D105" s="113"/>
      <c r="E105" s="114"/>
      <c r="F105" s="245" t="s">
        <v>161</v>
      </c>
      <c r="G105" s="246"/>
      <c r="H105" s="247">
        <f t="shared" si="76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434"/>
      <c r="S105" s="632"/>
      <c r="T105" s="248"/>
      <c r="U105" s="248"/>
      <c r="V105" s="249"/>
      <c r="W105" s="120">
        <f t="shared" si="79"/>
        <v>0</v>
      </c>
      <c r="X105" s="257"/>
      <c r="Y105" s="257"/>
      <c r="Z105" s="254"/>
      <c r="AA105" s="254"/>
      <c r="AB105" s="616"/>
      <c r="AC105" s="616"/>
      <c r="AD105" s="443"/>
      <c r="AE105" s="443"/>
      <c r="AF105" s="84">
        <f t="shared" si="69"/>
        <v>0</v>
      </c>
      <c r="AG105" s="437" t="e">
        <f t="shared" si="70"/>
        <v>#DIV/0!</v>
      </c>
      <c r="AH105" s="615"/>
      <c r="AJ105" s="62"/>
      <c r="AK105" s="62"/>
    </row>
    <row r="106" spans="1:37" s="255" customFormat="1" ht="19.2" customHeight="1">
      <c r="A106" s="642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434"/>
      <c r="S106" s="641"/>
      <c r="T106" s="248"/>
      <c r="U106" s="248"/>
      <c r="V106" s="249"/>
      <c r="W106" s="120">
        <f t="shared" si="79"/>
        <v>0</v>
      </c>
      <c r="X106" s="257"/>
      <c r="Y106" s="257"/>
      <c r="Z106" s="254"/>
      <c r="AA106" s="254"/>
      <c r="AB106" s="616"/>
      <c r="AC106" s="616"/>
      <c r="AD106" s="443"/>
      <c r="AE106" s="443"/>
      <c r="AF106" s="84">
        <f t="shared" si="69"/>
        <v>0</v>
      </c>
      <c r="AG106" s="437" t="e">
        <f t="shared" si="70"/>
        <v>#DIV/0!</v>
      </c>
      <c r="AH106" s="615"/>
      <c r="AJ106" s="62"/>
      <c r="AK106" s="62"/>
    </row>
    <row r="107" spans="1:37" s="255" customFormat="1" ht="19.2" customHeight="1">
      <c r="A107" s="642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437"/>
      <c r="S107" s="641"/>
      <c r="T107" s="248"/>
      <c r="U107" s="248"/>
      <c r="V107" s="249"/>
      <c r="W107" s="120">
        <f t="shared" si="79"/>
        <v>0</v>
      </c>
      <c r="X107" s="257"/>
      <c r="Y107" s="257"/>
      <c r="Z107" s="254"/>
      <c r="AA107" s="254"/>
      <c r="AB107" s="616"/>
      <c r="AC107" s="616"/>
      <c r="AD107" s="443"/>
      <c r="AE107" s="443"/>
      <c r="AF107" s="254"/>
      <c r="AG107" s="437"/>
      <c r="AH107" s="615"/>
      <c r="AJ107" s="62"/>
      <c r="AK107" s="62"/>
    </row>
    <row r="108" spans="1:37" ht="19.2" customHeight="1">
      <c r="A108" s="642"/>
      <c r="B108" s="142">
        <v>0</v>
      </c>
      <c r="C108" s="132" t="s">
        <v>293</v>
      </c>
      <c r="D108" s="612" t="s">
        <v>219</v>
      </c>
      <c r="E108" s="612"/>
      <c r="F108" s="263"/>
      <c r="G108" s="103"/>
      <c r="H108" s="134"/>
      <c r="I108" s="135"/>
      <c r="J108" s="103">
        <v>19</v>
      </c>
      <c r="K108" s="103">
        <v>1430</v>
      </c>
      <c r="L108" s="136">
        <v>75.633900928792571</v>
      </c>
      <c r="M108" s="103">
        <f>AVERAGE(M96:M107)</f>
        <v>19</v>
      </c>
      <c r="N108" s="103">
        <f t="shared" ref="N108:O108" si="80">AVERAGE(N96:N107)</f>
        <v>1250.4656144353739</v>
      </c>
      <c r="O108" s="136">
        <f t="shared" si="80"/>
        <v>66.287463904004809</v>
      </c>
      <c r="P108" s="84">
        <f t="shared" ref="P108:P118" si="81">M108-J108</f>
        <v>0</v>
      </c>
      <c r="Q108" s="119">
        <f t="shared" ref="Q108:Q118" si="82">O108-L108</f>
        <v>-9.3464370247877611</v>
      </c>
      <c r="R108" s="137">
        <f t="shared" ref="R108:R118" si="83">O108/L108</f>
        <v>0.87642529460979146</v>
      </c>
      <c r="S108" s="632"/>
      <c r="T108" s="80"/>
      <c r="U108" s="80"/>
      <c r="V108" s="85"/>
      <c r="W108" s="120">
        <f t="shared" si="79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616"/>
      <c r="AC108" s="616"/>
      <c r="AD108" s="139">
        <f>SUM(AD96:AD107)</f>
        <v>1</v>
      </c>
      <c r="AE108" s="139">
        <f>SUM(AE96:AE107)</f>
        <v>0</v>
      </c>
      <c r="AF108" s="84">
        <f t="shared" si="69"/>
        <v>-179.53438556462606</v>
      </c>
      <c r="AG108" s="437">
        <f t="shared" si="70"/>
        <v>0.87445147862613559</v>
      </c>
      <c r="AH108" s="615"/>
    </row>
    <row r="109" spans="1:37" ht="19.2" customHeight="1">
      <c r="A109" s="633" t="s">
        <v>294</v>
      </c>
      <c r="B109" s="430" t="s">
        <v>165</v>
      </c>
      <c r="C109" s="440"/>
      <c r="D109" s="264" t="s">
        <v>133</v>
      </c>
      <c r="E109" s="72"/>
      <c r="F109" s="73">
        <v>29.965493443754308</v>
      </c>
      <c r="G109" s="74">
        <v>1433</v>
      </c>
      <c r="H109" s="75">
        <f t="shared" ref="H109:H119" si="84">F109*G109</f>
        <v>42940.552104899922</v>
      </c>
      <c r="I109" s="430"/>
      <c r="J109" s="76">
        <v>18</v>
      </c>
      <c r="K109" s="74">
        <v>1200</v>
      </c>
      <c r="L109" s="77">
        <v>66.666666666666671</v>
      </c>
      <c r="M109" s="428">
        <v>18</v>
      </c>
      <c r="N109" s="74">
        <f t="shared" ref="N109:N118" si="85">G109/W109*60</f>
        <v>1074.7499999999995</v>
      </c>
      <c r="O109" s="77">
        <f t="shared" ref="O109:O118" si="86">N109/M109</f>
        <v>59.708333333333307</v>
      </c>
      <c r="P109" s="78">
        <f t="shared" si="81"/>
        <v>0</v>
      </c>
      <c r="Q109" s="79">
        <f t="shared" si="82"/>
        <v>-6.9583333333333641</v>
      </c>
      <c r="R109" s="434">
        <f t="shared" si="83"/>
        <v>0.89562499999999956</v>
      </c>
      <c r="S109" s="636">
        <f>R121</f>
        <v>0.92053539890434866</v>
      </c>
      <c r="T109" s="265">
        <v>0.5</v>
      </c>
      <c r="U109" s="265">
        <v>0.55555555555555558</v>
      </c>
      <c r="V109" s="266">
        <v>5</v>
      </c>
      <c r="W109" s="427">
        <f t="shared" si="79"/>
        <v>80.000000000000028</v>
      </c>
      <c r="X109" s="83"/>
      <c r="Y109" s="83"/>
      <c r="Z109" s="84"/>
      <c r="AA109" s="84"/>
      <c r="AB109" s="616"/>
      <c r="AC109" s="616"/>
      <c r="AD109" s="443"/>
      <c r="AE109" s="443"/>
      <c r="AF109" s="78">
        <f t="shared" si="69"/>
        <v>-125.25000000000045</v>
      </c>
      <c r="AG109" s="160">
        <f t="shared" si="70"/>
        <v>0.89562499999999967</v>
      </c>
      <c r="AH109" s="615">
        <f>AG121</f>
        <v>0.92671167915540187</v>
      </c>
      <c r="AJ109" s="62" t="str">
        <f>A109</f>
        <v>綜合一組
(ET-55)</v>
      </c>
      <c r="AK109" s="404">
        <f>AVERAGE(AK110:AK120)</f>
        <v>6.5555555555555509</v>
      </c>
    </row>
    <row r="110" spans="1:37" ht="19.2" customHeight="1">
      <c r="A110" s="634"/>
      <c r="B110" s="430" t="s">
        <v>165</v>
      </c>
      <c r="C110" s="213"/>
      <c r="D110" s="71" t="s">
        <v>157</v>
      </c>
      <c r="E110" s="215"/>
      <c r="F110" s="73">
        <v>30.13</v>
      </c>
      <c r="G110" s="212">
        <v>1137.3</v>
      </c>
      <c r="H110" s="75">
        <f t="shared" si="84"/>
        <v>34266.848999999995</v>
      </c>
      <c r="I110" s="430">
        <v>1</v>
      </c>
      <c r="J110" s="76">
        <v>18</v>
      </c>
      <c r="K110" s="74">
        <v>1200</v>
      </c>
      <c r="L110" s="77">
        <v>66.666666666666671</v>
      </c>
      <c r="M110" s="428">
        <v>18</v>
      </c>
      <c r="N110" s="74">
        <f t="shared" si="85"/>
        <v>1083.1428571428582</v>
      </c>
      <c r="O110" s="77">
        <f t="shared" si="86"/>
        <v>60.174603174603234</v>
      </c>
      <c r="P110" s="78">
        <f t="shared" si="81"/>
        <v>0</v>
      </c>
      <c r="Q110" s="79">
        <f t="shared" si="82"/>
        <v>-6.492063492063437</v>
      </c>
      <c r="R110" s="434">
        <f t="shared" si="83"/>
        <v>0.90261904761904843</v>
      </c>
      <c r="S110" s="622"/>
      <c r="T110" s="265">
        <v>0.56041666666666667</v>
      </c>
      <c r="U110" s="265">
        <v>0.60416666666666663</v>
      </c>
      <c r="V110" s="266">
        <v>7</v>
      </c>
      <c r="W110" s="427">
        <f t="shared" si="79"/>
        <v>62.999999999999936</v>
      </c>
      <c r="X110" s="227"/>
      <c r="Y110" s="227"/>
      <c r="Z110" s="84"/>
      <c r="AA110" s="84"/>
      <c r="AB110" s="616"/>
      <c r="AC110" s="616"/>
      <c r="AD110" s="443"/>
      <c r="AE110" s="443"/>
      <c r="AF110" s="78">
        <f t="shared" si="69"/>
        <v>-116.85714285714175</v>
      </c>
      <c r="AG110" s="160">
        <f t="shared" si="70"/>
        <v>0.90261904761904854</v>
      </c>
      <c r="AH110" s="615"/>
      <c r="AJ110" s="405">
        <f t="shared" ref="AJ110:AJ120" si="87">IF((IF(V110&lt;10,V110,(X110-U109)*1440))=0,"",IF(V110&lt;10,V110,(X110-U109)*1440))</f>
        <v>7</v>
      </c>
      <c r="AK110" s="406">
        <f>IF(AJ110&gt;4,AJ110,"")</f>
        <v>7</v>
      </c>
    </row>
    <row r="111" spans="1:37" ht="19.2" customHeight="1">
      <c r="A111" s="634"/>
      <c r="B111" s="430" t="s">
        <v>165</v>
      </c>
      <c r="C111" s="213"/>
      <c r="D111" s="214" t="s">
        <v>109</v>
      </c>
      <c r="E111" s="215"/>
      <c r="F111" s="73">
        <v>34.229999999999997</v>
      </c>
      <c r="G111" s="85">
        <v>1060.8499999999999</v>
      </c>
      <c r="H111" s="75">
        <f t="shared" si="84"/>
        <v>36312.895499999991</v>
      </c>
      <c r="I111" s="443">
        <v>1</v>
      </c>
      <c r="J111" s="76">
        <v>13</v>
      </c>
      <c r="K111" s="74">
        <v>2250</v>
      </c>
      <c r="L111" s="77">
        <v>173.07692307692307</v>
      </c>
      <c r="M111" s="267">
        <v>13</v>
      </c>
      <c r="N111" s="74">
        <f t="shared" si="85"/>
        <v>2053.2580645161256</v>
      </c>
      <c r="O111" s="77">
        <f t="shared" si="86"/>
        <v>157.94292803970197</v>
      </c>
      <c r="P111" s="78">
        <f t="shared" si="81"/>
        <v>0</v>
      </c>
      <c r="Q111" s="79">
        <f t="shared" si="82"/>
        <v>-15.133995037221098</v>
      </c>
      <c r="R111" s="434">
        <f t="shared" si="83"/>
        <v>0.91255913978494474</v>
      </c>
      <c r="S111" s="622"/>
      <c r="T111" s="265">
        <v>0.6201388888888888</v>
      </c>
      <c r="U111" s="265">
        <v>0.64166666666666661</v>
      </c>
      <c r="V111" s="266">
        <v>23</v>
      </c>
      <c r="W111" s="427">
        <f t="shared" si="79"/>
        <v>31.00000000000005</v>
      </c>
      <c r="X111" s="83">
        <v>0.60833333333333328</v>
      </c>
      <c r="Y111" s="83">
        <v>0.61944444444444446</v>
      </c>
      <c r="Z111" s="84"/>
      <c r="AA111" s="84"/>
      <c r="AB111" s="616"/>
      <c r="AC111" s="616"/>
      <c r="AD111" s="443"/>
      <c r="AE111" s="443"/>
      <c r="AF111" s="78">
        <f t="shared" si="69"/>
        <v>-196.74193548387439</v>
      </c>
      <c r="AG111" s="160">
        <f t="shared" si="70"/>
        <v>0.91255913978494474</v>
      </c>
      <c r="AH111" s="615"/>
      <c r="AJ111" s="405">
        <f t="shared" si="87"/>
        <v>5.9999999999999787</v>
      </c>
      <c r="AK111" s="406">
        <f t="shared" ref="AK111:AK120" si="88">IF(AJ111&gt;4,AJ111,"")</f>
        <v>5.9999999999999787</v>
      </c>
    </row>
    <row r="112" spans="1:37" ht="19.2" customHeight="1">
      <c r="A112" s="634"/>
      <c r="B112" s="430" t="s">
        <v>165</v>
      </c>
      <c r="C112" s="213"/>
      <c r="D112" s="214" t="s">
        <v>110</v>
      </c>
      <c r="E112" s="114"/>
      <c r="F112" s="73">
        <v>35.83</v>
      </c>
      <c r="G112" s="85">
        <v>1543.1499999999999</v>
      </c>
      <c r="H112" s="75">
        <f t="shared" si="84"/>
        <v>55291.064499999993</v>
      </c>
      <c r="I112" s="443">
        <v>1</v>
      </c>
      <c r="J112" s="76">
        <v>11</v>
      </c>
      <c r="K112" s="74">
        <v>2250</v>
      </c>
      <c r="L112" s="77">
        <v>204.54545454545453</v>
      </c>
      <c r="M112" s="428">
        <v>11</v>
      </c>
      <c r="N112" s="74">
        <f t="shared" si="85"/>
        <v>2057.5333333333333</v>
      </c>
      <c r="O112" s="77">
        <f t="shared" si="86"/>
        <v>187.04848484848483</v>
      </c>
      <c r="P112" s="78">
        <f t="shared" si="81"/>
        <v>0</v>
      </c>
      <c r="Q112" s="79">
        <f t="shared" si="82"/>
        <v>-17.4969696969697</v>
      </c>
      <c r="R112" s="434">
        <f t="shared" si="83"/>
        <v>0.91445925925925919</v>
      </c>
      <c r="S112" s="622"/>
      <c r="T112" s="265">
        <v>0.64583333333333326</v>
      </c>
      <c r="U112" s="265">
        <v>0.67708333333333326</v>
      </c>
      <c r="V112" s="266">
        <v>6</v>
      </c>
      <c r="W112" s="427">
        <f t="shared" si="79"/>
        <v>45</v>
      </c>
      <c r="X112" s="253"/>
      <c r="Y112" s="253"/>
      <c r="Z112" s="84"/>
      <c r="AA112" s="84"/>
      <c r="AB112" s="616"/>
      <c r="AC112" s="616"/>
      <c r="AD112" s="443"/>
      <c r="AE112" s="443"/>
      <c r="AF112" s="78">
        <f t="shared" si="69"/>
        <v>-192.4666666666667</v>
      </c>
      <c r="AG112" s="160">
        <f t="shared" si="70"/>
        <v>0.91445925925925919</v>
      </c>
      <c r="AH112" s="615"/>
      <c r="AJ112" s="405">
        <f t="shared" si="87"/>
        <v>6</v>
      </c>
      <c r="AK112" s="406">
        <f t="shared" si="88"/>
        <v>6</v>
      </c>
    </row>
    <row r="113" spans="1:37" s="255" customFormat="1" ht="19.2" customHeight="1">
      <c r="A113" s="634"/>
      <c r="B113" s="430" t="s">
        <v>166</v>
      </c>
      <c r="C113" s="213"/>
      <c r="D113" s="214" t="s">
        <v>134</v>
      </c>
      <c r="E113" s="114"/>
      <c r="F113" s="73">
        <v>55.56</v>
      </c>
      <c r="G113" s="85">
        <v>906</v>
      </c>
      <c r="H113" s="75">
        <f t="shared" si="84"/>
        <v>50337.36</v>
      </c>
      <c r="I113" s="443"/>
      <c r="J113" s="76">
        <v>16</v>
      </c>
      <c r="K113" s="74">
        <v>1440</v>
      </c>
      <c r="L113" s="77">
        <v>90</v>
      </c>
      <c r="M113" s="433">
        <v>16</v>
      </c>
      <c r="N113" s="74">
        <f t="shared" si="85"/>
        <v>1358.9999999999995</v>
      </c>
      <c r="O113" s="77">
        <f t="shared" si="86"/>
        <v>84.937499999999972</v>
      </c>
      <c r="P113" s="78">
        <f t="shared" si="81"/>
        <v>0</v>
      </c>
      <c r="Q113" s="79">
        <f t="shared" si="82"/>
        <v>-5.0625000000000284</v>
      </c>
      <c r="R113" s="434">
        <f t="shared" si="83"/>
        <v>0.94374999999999964</v>
      </c>
      <c r="S113" s="622"/>
      <c r="T113" s="265">
        <v>0.71944444444444433</v>
      </c>
      <c r="U113" s="265">
        <v>0.74722222222222212</v>
      </c>
      <c r="V113" s="266">
        <v>8</v>
      </c>
      <c r="W113" s="427">
        <f t="shared" si="79"/>
        <v>40.000000000000014</v>
      </c>
      <c r="X113" s="253"/>
      <c r="Y113" s="253"/>
      <c r="Z113" s="254"/>
      <c r="AA113" s="254"/>
      <c r="AB113" s="616"/>
      <c r="AC113" s="616"/>
      <c r="AD113" s="258"/>
      <c r="AE113" s="258"/>
      <c r="AF113" s="78">
        <f t="shared" si="69"/>
        <v>-81.000000000000455</v>
      </c>
      <c r="AG113" s="160">
        <f t="shared" si="70"/>
        <v>0.94374999999999964</v>
      </c>
      <c r="AH113" s="615"/>
      <c r="AJ113" s="405">
        <f t="shared" si="87"/>
        <v>8</v>
      </c>
      <c r="AK113" s="406">
        <f t="shared" si="88"/>
        <v>8</v>
      </c>
    </row>
    <row r="114" spans="1:37" s="255" customFormat="1" ht="19.2" customHeight="1">
      <c r="A114" s="634"/>
      <c r="B114" s="430" t="s">
        <v>166</v>
      </c>
      <c r="C114" s="213"/>
      <c r="D114" s="113" t="s">
        <v>135</v>
      </c>
      <c r="E114" s="72"/>
      <c r="F114" s="73">
        <v>58.17</v>
      </c>
      <c r="G114" s="74">
        <v>889</v>
      </c>
      <c r="H114" s="75">
        <f t="shared" si="84"/>
        <v>51713.130000000005</v>
      </c>
      <c r="I114" s="443"/>
      <c r="J114" s="76">
        <v>14</v>
      </c>
      <c r="K114" s="74">
        <v>1440</v>
      </c>
      <c r="L114" s="77">
        <v>102.85714285714286</v>
      </c>
      <c r="M114" s="433">
        <v>14</v>
      </c>
      <c r="N114" s="74">
        <f t="shared" si="85"/>
        <v>1367.6923076923069</v>
      </c>
      <c r="O114" s="77">
        <f t="shared" si="86"/>
        <v>97.692307692307637</v>
      </c>
      <c r="P114" s="78">
        <f t="shared" si="81"/>
        <v>0</v>
      </c>
      <c r="Q114" s="79">
        <f t="shared" si="82"/>
        <v>-5.1648351648352246</v>
      </c>
      <c r="R114" s="434">
        <f t="shared" si="83"/>
        <v>0.94978632478632419</v>
      </c>
      <c r="S114" s="622"/>
      <c r="T114" s="265">
        <v>0.75069444444444433</v>
      </c>
      <c r="U114" s="265">
        <v>0.77777777777777768</v>
      </c>
      <c r="V114" s="266">
        <v>5</v>
      </c>
      <c r="W114" s="427">
        <f t="shared" si="79"/>
        <v>39.000000000000021</v>
      </c>
      <c r="X114" s="253"/>
      <c r="Y114" s="253"/>
      <c r="Z114" s="254"/>
      <c r="AA114" s="254"/>
      <c r="AB114" s="616"/>
      <c r="AC114" s="616"/>
      <c r="AD114" s="258"/>
      <c r="AE114" s="258"/>
      <c r="AF114" s="78">
        <f t="shared" si="69"/>
        <v>-72.30769230769306</v>
      </c>
      <c r="AG114" s="160">
        <f t="shared" si="70"/>
        <v>0.9497863247863243</v>
      </c>
      <c r="AH114" s="615"/>
      <c r="AJ114" s="405">
        <f t="shared" si="87"/>
        <v>5</v>
      </c>
      <c r="AK114" s="406">
        <f t="shared" si="88"/>
        <v>5</v>
      </c>
    </row>
    <row r="115" spans="1:37" s="255" customFormat="1" ht="19.2" customHeight="1">
      <c r="A115" s="634"/>
      <c r="B115" s="430" t="s">
        <v>166</v>
      </c>
      <c r="C115" s="213"/>
      <c r="D115" s="113" t="s">
        <v>136</v>
      </c>
      <c r="E115" s="114"/>
      <c r="F115" s="73">
        <v>54.09</v>
      </c>
      <c r="G115" s="268">
        <v>609</v>
      </c>
      <c r="H115" s="75">
        <f t="shared" si="84"/>
        <v>32940.810000000005</v>
      </c>
      <c r="I115" s="443"/>
      <c r="J115" s="76">
        <v>14</v>
      </c>
      <c r="K115" s="74">
        <v>1440</v>
      </c>
      <c r="L115" s="77">
        <v>102.85714285714286</v>
      </c>
      <c r="M115" s="433">
        <v>14</v>
      </c>
      <c r="N115" s="74">
        <f t="shared" si="85"/>
        <v>1353.3333333333303</v>
      </c>
      <c r="O115" s="77">
        <f t="shared" si="86"/>
        <v>96.666666666666444</v>
      </c>
      <c r="P115" s="78">
        <f t="shared" si="81"/>
        <v>0</v>
      </c>
      <c r="Q115" s="79">
        <f t="shared" si="82"/>
        <v>-6.1904761904764172</v>
      </c>
      <c r="R115" s="434">
        <f t="shared" si="83"/>
        <v>0.93981481481481266</v>
      </c>
      <c r="S115" s="622"/>
      <c r="T115" s="265">
        <v>0.78263888888888877</v>
      </c>
      <c r="U115" s="265">
        <v>0.80138888888888882</v>
      </c>
      <c r="V115" s="266">
        <v>7</v>
      </c>
      <c r="W115" s="427">
        <f t="shared" si="79"/>
        <v>27.000000000000064</v>
      </c>
      <c r="X115" s="253"/>
      <c r="Y115" s="253"/>
      <c r="Z115" s="254"/>
      <c r="AA115" s="254"/>
      <c r="AB115" s="616"/>
      <c r="AC115" s="616"/>
      <c r="AD115" s="258"/>
      <c r="AE115" s="258"/>
      <c r="AF115" s="78">
        <f t="shared" si="69"/>
        <v>-86.666666666669698</v>
      </c>
      <c r="AG115" s="160">
        <f t="shared" si="70"/>
        <v>0.93981481481481266</v>
      </c>
      <c r="AH115" s="615"/>
      <c r="AJ115" s="405">
        <f t="shared" si="87"/>
        <v>7</v>
      </c>
      <c r="AK115" s="406">
        <f t="shared" si="88"/>
        <v>7</v>
      </c>
    </row>
    <row r="116" spans="1:37" s="255" customFormat="1" ht="19.2" customHeight="1">
      <c r="A116" s="634"/>
      <c r="B116" s="430" t="s">
        <v>166</v>
      </c>
      <c r="C116" s="86"/>
      <c r="D116" s="113" t="s">
        <v>156</v>
      </c>
      <c r="E116" s="114"/>
      <c r="F116" s="73">
        <v>51.06</v>
      </c>
      <c r="G116" s="268">
        <v>1197</v>
      </c>
      <c r="H116" s="75">
        <f t="shared" si="84"/>
        <v>61118.82</v>
      </c>
      <c r="I116" s="443"/>
      <c r="J116" s="76">
        <v>16</v>
      </c>
      <c r="K116" s="74">
        <v>1500</v>
      </c>
      <c r="L116" s="77">
        <v>93.75</v>
      </c>
      <c r="M116" s="433">
        <v>16</v>
      </c>
      <c r="N116" s="74">
        <f t="shared" si="85"/>
        <v>1355.0943396226421</v>
      </c>
      <c r="O116" s="77">
        <f t="shared" si="86"/>
        <v>84.693396226415132</v>
      </c>
      <c r="P116" s="78">
        <f t="shared" si="81"/>
        <v>0</v>
      </c>
      <c r="Q116" s="79">
        <f t="shared" si="82"/>
        <v>-9.0566037735848681</v>
      </c>
      <c r="R116" s="434">
        <f t="shared" si="83"/>
        <v>0.90339622641509476</v>
      </c>
      <c r="S116" s="622"/>
      <c r="T116" s="265">
        <v>0.81736111111111098</v>
      </c>
      <c r="U116" s="265">
        <v>0.85416666666666652</v>
      </c>
      <c r="V116" s="266">
        <v>23</v>
      </c>
      <c r="W116" s="427">
        <f t="shared" si="79"/>
        <v>52.999999999999972</v>
      </c>
      <c r="X116" s="253">
        <v>0.80555555555555547</v>
      </c>
      <c r="Y116" s="253">
        <v>0.81666666666666676</v>
      </c>
      <c r="Z116" s="254"/>
      <c r="AA116" s="254"/>
      <c r="AB116" s="616"/>
      <c r="AC116" s="616"/>
      <c r="AD116" s="258"/>
      <c r="AE116" s="258"/>
      <c r="AF116" s="78">
        <f t="shared" si="69"/>
        <v>-144.90566037735789</v>
      </c>
      <c r="AG116" s="160">
        <f t="shared" si="70"/>
        <v>0.90339622641509476</v>
      </c>
      <c r="AH116" s="615"/>
      <c r="AJ116" s="405">
        <f t="shared" si="87"/>
        <v>5.9999999999999787</v>
      </c>
      <c r="AK116" s="406">
        <f t="shared" si="88"/>
        <v>5.9999999999999787</v>
      </c>
    </row>
    <row r="117" spans="1:37" s="255" customFormat="1" ht="19.2" customHeight="1">
      <c r="A117" s="634"/>
      <c r="B117" s="430" t="s">
        <v>166</v>
      </c>
      <c r="C117" s="86"/>
      <c r="D117" s="113" t="s">
        <v>151</v>
      </c>
      <c r="E117" s="114"/>
      <c r="F117" s="73">
        <v>50.49</v>
      </c>
      <c r="G117" s="268">
        <v>1117</v>
      </c>
      <c r="H117" s="75">
        <f t="shared" si="84"/>
        <v>56397.33</v>
      </c>
      <c r="I117" s="443"/>
      <c r="J117" s="76">
        <v>14</v>
      </c>
      <c r="K117" s="74">
        <v>1440</v>
      </c>
      <c r="L117" s="77">
        <v>102.85714285714286</v>
      </c>
      <c r="M117" s="433">
        <v>15</v>
      </c>
      <c r="N117" s="74">
        <f t="shared" si="85"/>
        <v>1367.7551020408168</v>
      </c>
      <c r="O117" s="77">
        <f t="shared" si="86"/>
        <v>91.183673469387784</v>
      </c>
      <c r="P117" s="78">
        <f t="shared" si="81"/>
        <v>1</v>
      </c>
      <c r="Q117" s="79">
        <f t="shared" si="82"/>
        <v>-11.673469387755077</v>
      </c>
      <c r="R117" s="434">
        <f t="shared" si="83"/>
        <v>0.8865079365079368</v>
      </c>
      <c r="S117" s="622"/>
      <c r="T117" s="265">
        <v>0.85833333333333317</v>
      </c>
      <c r="U117" s="265">
        <v>0.89236111111111094</v>
      </c>
      <c r="V117" s="266">
        <v>6</v>
      </c>
      <c r="W117" s="427">
        <f t="shared" si="79"/>
        <v>48.999999999999986</v>
      </c>
      <c r="X117" s="253"/>
      <c r="Y117" s="253"/>
      <c r="Z117" s="254"/>
      <c r="AA117" s="254"/>
      <c r="AB117" s="616"/>
      <c r="AC117" s="616"/>
      <c r="AD117" s="258"/>
      <c r="AE117" s="258"/>
      <c r="AF117" s="78">
        <f t="shared" si="69"/>
        <v>-72.244897959183163</v>
      </c>
      <c r="AG117" s="160">
        <f t="shared" si="70"/>
        <v>0.94982993197278942</v>
      </c>
      <c r="AH117" s="615"/>
      <c r="AJ117" s="405">
        <f t="shared" si="87"/>
        <v>6</v>
      </c>
      <c r="AK117" s="406">
        <f t="shared" si="88"/>
        <v>6</v>
      </c>
    </row>
    <row r="118" spans="1:37" s="255" customFormat="1" ht="19.2" customHeight="1">
      <c r="A118" s="634"/>
      <c r="B118" s="430" t="s">
        <v>166</v>
      </c>
      <c r="C118" s="200"/>
      <c r="D118" s="113" t="s">
        <v>150</v>
      </c>
      <c r="E118" s="72"/>
      <c r="F118" s="73">
        <v>50.67</v>
      </c>
      <c r="G118" s="74">
        <v>808</v>
      </c>
      <c r="H118" s="75">
        <f t="shared" si="84"/>
        <v>40941.360000000001</v>
      </c>
      <c r="I118" s="443"/>
      <c r="J118" s="76">
        <v>17</v>
      </c>
      <c r="K118" s="74">
        <v>1440</v>
      </c>
      <c r="L118" s="77">
        <v>84.705882352941174</v>
      </c>
      <c r="M118" s="433">
        <v>17</v>
      </c>
      <c r="N118" s="74">
        <f t="shared" si="85"/>
        <v>1385.1428571428555</v>
      </c>
      <c r="O118" s="77">
        <f t="shared" si="86"/>
        <v>81.478991596638565</v>
      </c>
      <c r="P118" s="78">
        <f t="shared" si="81"/>
        <v>0</v>
      </c>
      <c r="Q118" s="79">
        <f t="shared" si="82"/>
        <v>-3.226890756302609</v>
      </c>
      <c r="R118" s="434">
        <f t="shared" si="83"/>
        <v>0.96190476190476082</v>
      </c>
      <c r="S118" s="622"/>
      <c r="T118" s="265">
        <v>0.89791666666666647</v>
      </c>
      <c r="U118" s="265">
        <v>0.92222222222222205</v>
      </c>
      <c r="V118" s="266">
        <v>8</v>
      </c>
      <c r="W118" s="427">
        <f t="shared" si="79"/>
        <v>35.000000000000036</v>
      </c>
      <c r="X118" s="253"/>
      <c r="Y118" s="253"/>
      <c r="Z118" s="254"/>
      <c r="AA118" s="254"/>
      <c r="AB118" s="616"/>
      <c r="AC118" s="616"/>
      <c r="AD118" s="258"/>
      <c r="AE118" s="258"/>
      <c r="AF118" s="78">
        <f t="shared" si="69"/>
        <v>-54.857142857144481</v>
      </c>
      <c r="AG118" s="160">
        <f t="shared" si="70"/>
        <v>0.96190476190476082</v>
      </c>
      <c r="AH118" s="615"/>
      <c r="AJ118" s="405">
        <f t="shared" si="87"/>
        <v>8</v>
      </c>
      <c r="AK118" s="406">
        <f t="shared" si="88"/>
        <v>8</v>
      </c>
    </row>
    <row r="119" spans="1:37" s="255" customFormat="1" ht="19.2" customHeight="1">
      <c r="A119" s="634"/>
      <c r="B119" s="430">
        <v>0</v>
      </c>
      <c r="C119" s="260"/>
      <c r="D119" s="113"/>
      <c r="E119" s="114"/>
      <c r="F119" s="73" t="s">
        <v>161</v>
      </c>
      <c r="G119" s="268"/>
      <c r="H119" s="75">
        <f t="shared" si="84"/>
        <v>0</v>
      </c>
      <c r="I119" s="443"/>
      <c r="J119" s="76"/>
      <c r="K119" s="74"/>
      <c r="L119" s="77"/>
      <c r="M119" s="433"/>
      <c r="N119" s="74"/>
      <c r="O119" s="77"/>
      <c r="P119" s="78"/>
      <c r="Q119" s="79"/>
      <c r="R119" s="434"/>
      <c r="S119" s="622"/>
      <c r="T119" s="265"/>
      <c r="U119" s="265"/>
      <c r="V119" s="266"/>
      <c r="W119" s="427">
        <f t="shared" si="79"/>
        <v>0</v>
      </c>
      <c r="X119" s="253"/>
      <c r="Y119" s="253"/>
      <c r="Z119" s="254"/>
      <c r="AA119" s="254"/>
      <c r="AB119" s="616"/>
      <c r="AC119" s="616"/>
      <c r="AD119" s="258"/>
      <c r="AE119" s="258"/>
      <c r="AF119" s="78">
        <f t="shared" si="69"/>
        <v>0</v>
      </c>
      <c r="AG119" s="160" t="e">
        <f t="shared" si="70"/>
        <v>#DIV/0!</v>
      </c>
      <c r="AH119" s="615"/>
      <c r="AJ119" s="405" t="str">
        <f t="shared" si="87"/>
        <v/>
      </c>
      <c r="AK119" s="406" t="str">
        <f t="shared" si="88"/>
        <v/>
      </c>
    </row>
    <row r="120" spans="1:37" s="255" customFormat="1" ht="19.2" customHeight="1">
      <c r="A120" s="634"/>
      <c r="B120" s="430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443"/>
      <c r="J120" s="216"/>
      <c r="K120" s="270"/>
      <c r="L120" s="77"/>
      <c r="M120" s="433"/>
      <c r="N120" s="217"/>
      <c r="O120" s="262"/>
      <c r="P120" s="197"/>
      <c r="Q120" s="79"/>
      <c r="R120" s="434"/>
      <c r="S120" s="622"/>
      <c r="T120" s="265"/>
      <c r="U120" s="265"/>
      <c r="V120" s="266"/>
      <c r="W120" s="427">
        <f t="shared" si="79"/>
        <v>0</v>
      </c>
      <c r="X120" s="253"/>
      <c r="Y120" s="253"/>
      <c r="Z120" s="254"/>
      <c r="AA120" s="254"/>
      <c r="AB120" s="616"/>
      <c r="AC120" s="616"/>
      <c r="AD120" s="258"/>
      <c r="AE120" s="258"/>
      <c r="AF120" s="78">
        <f t="shared" si="69"/>
        <v>0</v>
      </c>
      <c r="AG120" s="160" t="e">
        <f t="shared" si="70"/>
        <v>#DIV/0!</v>
      </c>
      <c r="AH120" s="615"/>
      <c r="AJ120" s="405" t="str">
        <f t="shared" si="87"/>
        <v/>
      </c>
      <c r="AK120" s="406" t="str">
        <f t="shared" si="88"/>
        <v/>
      </c>
    </row>
    <row r="121" spans="1:37" ht="19.2" customHeight="1">
      <c r="A121" s="635"/>
      <c r="B121" s="156">
        <v>0</v>
      </c>
      <c r="C121" s="132" t="s">
        <v>295</v>
      </c>
      <c r="D121" s="271" t="s">
        <v>219</v>
      </c>
      <c r="E121" s="272"/>
      <c r="F121" s="205"/>
      <c r="G121" s="273"/>
      <c r="H121" s="274"/>
      <c r="I121" s="275"/>
      <c r="J121" s="238">
        <v>15.1</v>
      </c>
      <c r="K121" s="238">
        <v>1560</v>
      </c>
      <c r="L121" s="239">
        <v>108.79830218800808</v>
      </c>
      <c r="M121" s="238">
        <f>AVERAGE(M109:M120)</f>
        <v>15.2</v>
      </c>
      <c r="N121" s="238">
        <f t="shared" ref="N121:O121" si="89">AVERAGE(N109:N120)</f>
        <v>1445.670219482427</v>
      </c>
      <c r="O121" s="239">
        <f t="shared" si="89"/>
        <v>100.15268850475388</v>
      </c>
      <c r="P121" s="78">
        <f t="shared" ref="P121:P130" si="90">M121-J121</f>
        <v>9.9999999999999645E-2</v>
      </c>
      <c r="Q121" s="79">
        <f t="shared" ref="Q121:Q130" si="91">O121-L121</f>
        <v>-8.6456136832541972</v>
      </c>
      <c r="R121" s="209">
        <f t="shared" ref="R121:R130" si="92">O121/L121</f>
        <v>0.92053539890434866</v>
      </c>
      <c r="S121" s="630"/>
      <c r="T121" s="198"/>
      <c r="U121" s="198"/>
      <c r="V121" s="74"/>
      <c r="W121" s="427">
        <f t="shared" si="79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616"/>
      <c r="AC121" s="616"/>
      <c r="AD121" s="139">
        <f>SUM(AD109:AD120)</f>
        <v>0</v>
      </c>
      <c r="AE121" s="139">
        <f>SUM(AE109:AE120)</f>
        <v>0</v>
      </c>
      <c r="AF121" s="78">
        <f>N121-K121</f>
        <v>-114.329780517573</v>
      </c>
      <c r="AG121" s="160">
        <f>N121/K121</f>
        <v>0.92671167915540187</v>
      </c>
      <c r="AH121" s="615"/>
    </row>
    <row r="122" spans="1:37" ht="19.2" customHeight="1">
      <c r="A122" s="637" t="s">
        <v>296</v>
      </c>
      <c r="B122" s="168" t="s">
        <v>167</v>
      </c>
      <c r="C122" s="200"/>
      <c r="D122" s="214" t="s">
        <v>138</v>
      </c>
      <c r="E122" s="72"/>
      <c r="F122" s="73">
        <v>59.54</v>
      </c>
      <c r="G122" s="74">
        <v>1203</v>
      </c>
      <c r="H122" s="75">
        <f t="shared" ref="H122:H132" si="93">F122*G122</f>
        <v>71626.62</v>
      </c>
      <c r="I122" s="430"/>
      <c r="J122" s="76">
        <v>18</v>
      </c>
      <c r="K122" s="74">
        <v>1385</v>
      </c>
      <c r="L122" s="77">
        <v>76.944444444444443</v>
      </c>
      <c r="M122" s="428">
        <v>18</v>
      </c>
      <c r="N122" s="212">
        <f t="shared" ref="N122:N130" si="94">G122/W122*60</f>
        <v>1288.9285714285722</v>
      </c>
      <c r="O122" s="276">
        <f t="shared" ref="O122:O130" si="95">N122/M122</f>
        <v>71.607142857142904</v>
      </c>
      <c r="P122" s="140">
        <f t="shared" si="90"/>
        <v>0</v>
      </c>
      <c r="Q122" s="220">
        <f t="shared" si="91"/>
        <v>-5.337301587301539</v>
      </c>
      <c r="R122" s="141">
        <f t="shared" si="92"/>
        <v>0.93063434760185726</v>
      </c>
      <c r="S122" s="631">
        <f>R134</f>
        <v>0.95695685884002957</v>
      </c>
      <c r="T122" s="198">
        <v>0.5</v>
      </c>
      <c r="U122" s="198">
        <v>0.53888888888888886</v>
      </c>
      <c r="V122" s="266">
        <v>5</v>
      </c>
      <c r="W122" s="427">
        <f t="shared" si="79"/>
        <v>55.999999999999957</v>
      </c>
      <c r="X122" s="83"/>
      <c r="Y122" s="83"/>
      <c r="Z122" s="84"/>
      <c r="AA122" s="84"/>
      <c r="AB122" s="616"/>
      <c r="AC122" s="616"/>
      <c r="AD122" s="443"/>
      <c r="AE122" s="443"/>
      <c r="AF122" s="78">
        <f t="shared" si="69"/>
        <v>-96.071428571427759</v>
      </c>
      <c r="AG122" s="434">
        <f t="shared" si="70"/>
        <v>0.93063434760185726</v>
      </c>
      <c r="AH122" s="630">
        <f>AG134</f>
        <v>0.9556810441216157</v>
      </c>
      <c r="AJ122" s="62" t="str">
        <f>A122</f>
        <v>綜合二組
(ET-55)</v>
      </c>
      <c r="AK122" s="404">
        <f>AVERAGE(AK123:AK133)</f>
        <v>6.2499999999999947</v>
      </c>
    </row>
    <row r="123" spans="1:37" ht="19.2" customHeight="1">
      <c r="A123" s="637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1299</v>
      </c>
      <c r="H123" s="75">
        <f t="shared" si="93"/>
        <v>76212.33</v>
      </c>
      <c r="I123" s="443"/>
      <c r="J123" s="76">
        <v>19</v>
      </c>
      <c r="K123" s="74">
        <v>1440</v>
      </c>
      <c r="L123" s="77">
        <v>75.78947368421052</v>
      </c>
      <c r="M123" s="433">
        <v>19</v>
      </c>
      <c r="N123" s="85">
        <f t="shared" si="94"/>
        <v>1321.0169491525435</v>
      </c>
      <c r="O123" s="118">
        <f t="shared" si="95"/>
        <v>69.527207850133863</v>
      </c>
      <c r="P123" s="84">
        <f t="shared" si="90"/>
        <v>0</v>
      </c>
      <c r="Q123" s="119">
        <f t="shared" si="91"/>
        <v>-6.2622658340766577</v>
      </c>
      <c r="R123" s="437">
        <f t="shared" si="92"/>
        <v>0.91737288135593298</v>
      </c>
      <c r="S123" s="631"/>
      <c r="T123" s="198">
        <v>0.54374999999999996</v>
      </c>
      <c r="U123" s="198">
        <v>0.58472222222222214</v>
      </c>
      <c r="V123" s="266">
        <v>7</v>
      </c>
      <c r="W123" s="427">
        <f t="shared" si="79"/>
        <v>58.99999999999995</v>
      </c>
      <c r="X123" s="83"/>
      <c r="Y123" s="83"/>
      <c r="Z123" s="84"/>
      <c r="AA123" s="84"/>
      <c r="AB123" s="616"/>
      <c r="AC123" s="616"/>
      <c r="AD123" s="443"/>
      <c r="AE123" s="443"/>
      <c r="AF123" s="78">
        <f t="shared" si="69"/>
        <v>-118.98305084745652</v>
      </c>
      <c r="AG123" s="434">
        <f t="shared" si="70"/>
        <v>0.91737288135593298</v>
      </c>
      <c r="AH123" s="631"/>
      <c r="AJ123" s="405">
        <f t="shared" ref="AJ123:AJ133" si="96">IF((IF(V123&lt;10,V123,(X123-U122)*1440))=0,"",IF(V123&lt;10,V123,(X123-U122)*1440))</f>
        <v>7</v>
      </c>
      <c r="AK123" s="406">
        <f>IF(AJ123&gt;4,AJ123,"")</f>
        <v>7</v>
      </c>
    </row>
    <row r="124" spans="1:37" ht="19.2" customHeight="1">
      <c r="A124" s="637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1953</v>
      </c>
      <c r="H124" s="75">
        <f t="shared" si="93"/>
        <v>116242.56000000001</v>
      </c>
      <c r="I124" s="277"/>
      <c r="J124" s="76">
        <v>21</v>
      </c>
      <c r="K124" s="74">
        <v>1385</v>
      </c>
      <c r="L124" s="77">
        <v>65.952380952380949</v>
      </c>
      <c r="M124" s="428">
        <v>21</v>
      </c>
      <c r="N124" s="212">
        <f t="shared" si="94"/>
        <v>1273.695652173913</v>
      </c>
      <c r="O124" s="276">
        <f t="shared" si="95"/>
        <v>60.652173913043477</v>
      </c>
      <c r="P124" s="140">
        <f t="shared" si="90"/>
        <v>0</v>
      </c>
      <c r="Q124" s="220">
        <f t="shared" si="91"/>
        <v>-5.3002070393374723</v>
      </c>
      <c r="R124" s="141">
        <f t="shared" si="92"/>
        <v>0.91963584994506364</v>
      </c>
      <c r="S124" s="638"/>
      <c r="T124" s="198">
        <v>0.59999999999999987</v>
      </c>
      <c r="U124" s="198">
        <v>0.66388888888888875</v>
      </c>
      <c r="V124" s="266">
        <v>22</v>
      </c>
      <c r="W124" s="427">
        <f t="shared" si="79"/>
        <v>92</v>
      </c>
      <c r="X124" s="227">
        <v>0.58888888888888891</v>
      </c>
      <c r="Y124" s="227">
        <v>0.59861111111111109</v>
      </c>
      <c r="Z124" s="84"/>
      <c r="AA124" s="84"/>
      <c r="AB124" s="616"/>
      <c r="AC124" s="616"/>
      <c r="AD124" s="443"/>
      <c r="AE124" s="443"/>
      <c r="AF124" s="140">
        <f t="shared" si="69"/>
        <v>-111.304347826087</v>
      </c>
      <c r="AG124" s="141">
        <f t="shared" si="70"/>
        <v>0.91963584994506353</v>
      </c>
      <c r="AH124" s="631"/>
      <c r="AJ124" s="405">
        <f t="shared" si="96"/>
        <v>6.0000000000001386</v>
      </c>
      <c r="AK124" s="406">
        <f t="shared" ref="AK124:AK133" si="97">IF(AJ124&gt;4,AJ124,"")</f>
        <v>6.0000000000001386</v>
      </c>
    </row>
    <row r="125" spans="1:37" ht="19.2" customHeight="1">
      <c r="A125" s="637"/>
      <c r="B125" s="168" t="s">
        <v>166</v>
      </c>
      <c r="C125" s="127"/>
      <c r="D125" s="71" t="s">
        <v>190</v>
      </c>
      <c r="E125" s="72"/>
      <c r="F125" s="73">
        <v>47.6</v>
      </c>
      <c r="G125" s="74">
        <v>2067</v>
      </c>
      <c r="H125" s="75">
        <f t="shared" si="93"/>
        <v>98389.2</v>
      </c>
      <c r="I125" s="430"/>
      <c r="J125" s="76">
        <v>21</v>
      </c>
      <c r="K125" s="74">
        <v>1440</v>
      </c>
      <c r="L125" s="77">
        <v>68.571428571428569</v>
      </c>
      <c r="M125" s="428">
        <v>21</v>
      </c>
      <c r="N125" s="212">
        <f t="shared" si="94"/>
        <v>1378</v>
      </c>
      <c r="O125" s="276">
        <f t="shared" si="95"/>
        <v>65.61904761904762</v>
      </c>
      <c r="P125" s="140">
        <f t="shared" si="90"/>
        <v>0</v>
      </c>
      <c r="Q125" s="220">
        <f t="shared" si="91"/>
        <v>-2.952380952380949</v>
      </c>
      <c r="R125" s="141">
        <f t="shared" si="92"/>
        <v>0.95694444444444449</v>
      </c>
      <c r="S125" s="638"/>
      <c r="T125" s="198">
        <v>0.70833333333333337</v>
      </c>
      <c r="U125" s="198">
        <v>0.77083333333333337</v>
      </c>
      <c r="V125" s="266">
        <v>5</v>
      </c>
      <c r="W125" s="427">
        <f t="shared" si="79"/>
        <v>90</v>
      </c>
      <c r="X125" s="93"/>
      <c r="Y125" s="93"/>
      <c r="Z125" s="84"/>
      <c r="AA125" s="84"/>
      <c r="AB125" s="616"/>
      <c r="AC125" s="616"/>
      <c r="AD125" s="443"/>
      <c r="AE125" s="443"/>
      <c r="AF125" s="78">
        <f t="shared" si="69"/>
        <v>-62</v>
      </c>
      <c r="AG125" s="434">
        <f t="shared" si="70"/>
        <v>0.95694444444444449</v>
      </c>
      <c r="AH125" s="632"/>
      <c r="AJ125" s="405">
        <f t="shared" si="96"/>
        <v>5</v>
      </c>
      <c r="AK125" s="406">
        <f t="shared" si="97"/>
        <v>5</v>
      </c>
    </row>
    <row r="126" spans="1:37" ht="19.2" customHeight="1">
      <c r="A126" s="637"/>
      <c r="B126" s="168" t="s">
        <v>166</v>
      </c>
      <c r="C126" s="443"/>
      <c r="D126" s="278" t="s">
        <v>141</v>
      </c>
      <c r="E126" s="215"/>
      <c r="F126" s="73">
        <v>56.79</v>
      </c>
      <c r="G126" s="85">
        <v>1016</v>
      </c>
      <c r="H126" s="75">
        <f t="shared" si="93"/>
        <v>57698.64</v>
      </c>
      <c r="I126" s="443"/>
      <c r="J126" s="76">
        <v>18</v>
      </c>
      <c r="K126" s="74">
        <v>1636</v>
      </c>
      <c r="L126" s="77">
        <v>90.888888888888886</v>
      </c>
      <c r="M126" s="433">
        <v>18</v>
      </c>
      <c r="N126" s="85">
        <f t="shared" si="94"/>
        <v>1604.2105263157882</v>
      </c>
      <c r="O126" s="118">
        <f t="shared" si="95"/>
        <v>89.122807017543792</v>
      </c>
      <c r="P126" s="84">
        <f t="shared" si="90"/>
        <v>0</v>
      </c>
      <c r="Q126" s="119">
        <f t="shared" si="91"/>
        <v>-1.7660818713450936</v>
      </c>
      <c r="R126" s="437">
        <f t="shared" si="92"/>
        <v>0.98056878136661874</v>
      </c>
      <c r="S126" s="638"/>
      <c r="T126" s="198">
        <v>0.77500000000000002</v>
      </c>
      <c r="U126" s="198">
        <v>0.80138888888888893</v>
      </c>
      <c r="V126" s="266">
        <v>6</v>
      </c>
      <c r="W126" s="427">
        <f t="shared" si="79"/>
        <v>38.000000000000028</v>
      </c>
      <c r="X126" s="93"/>
      <c r="Y126" s="93"/>
      <c r="Z126" s="84"/>
      <c r="AA126" s="84"/>
      <c r="AB126" s="616"/>
      <c r="AC126" s="616"/>
      <c r="AD126" s="443"/>
      <c r="AE126" s="443"/>
      <c r="AF126" s="140">
        <f t="shared" si="69"/>
        <v>-31.789473684211771</v>
      </c>
      <c r="AG126" s="141">
        <f t="shared" si="70"/>
        <v>0.98056878136661874</v>
      </c>
      <c r="AH126" s="632"/>
      <c r="AJ126" s="405">
        <f t="shared" si="96"/>
        <v>6</v>
      </c>
      <c r="AK126" s="406">
        <f t="shared" si="97"/>
        <v>6</v>
      </c>
    </row>
    <row r="127" spans="1:37" ht="19.2" customHeight="1">
      <c r="A127" s="637"/>
      <c r="B127" s="168" t="s">
        <v>166</v>
      </c>
      <c r="C127" s="260"/>
      <c r="D127" s="279" t="s">
        <v>142</v>
      </c>
      <c r="E127" s="114"/>
      <c r="F127" s="73">
        <v>56.87</v>
      </c>
      <c r="G127" s="246">
        <v>931</v>
      </c>
      <c r="H127" s="75">
        <f t="shared" si="93"/>
        <v>52945.97</v>
      </c>
      <c r="I127" s="258"/>
      <c r="J127" s="76">
        <v>18</v>
      </c>
      <c r="K127" s="74">
        <v>1636</v>
      </c>
      <c r="L127" s="77">
        <v>90.888888888888886</v>
      </c>
      <c r="M127" s="428">
        <v>18</v>
      </c>
      <c r="N127" s="85">
        <f t="shared" si="94"/>
        <v>1595.9999999999984</v>
      </c>
      <c r="O127" s="118">
        <f t="shared" si="95"/>
        <v>88.666666666666572</v>
      </c>
      <c r="P127" s="84">
        <f t="shared" si="90"/>
        <v>0</v>
      </c>
      <c r="Q127" s="119">
        <f t="shared" si="91"/>
        <v>-2.2222222222223138</v>
      </c>
      <c r="R127" s="437">
        <f t="shared" si="92"/>
        <v>0.97555012224938775</v>
      </c>
      <c r="S127" s="638"/>
      <c r="T127" s="198">
        <v>0.81666666666666665</v>
      </c>
      <c r="U127" s="198">
        <v>0.84097222222222223</v>
      </c>
      <c r="V127" s="430">
        <v>22</v>
      </c>
      <c r="W127" s="427">
        <f t="shared" si="79"/>
        <v>35.000000000000036</v>
      </c>
      <c r="X127" s="93">
        <v>0.80555555555555547</v>
      </c>
      <c r="Y127" s="93">
        <v>0.81597222222222221</v>
      </c>
      <c r="Z127" s="84"/>
      <c r="AA127" s="84"/>
      <c r="AB127" s="616"/>
      <c r="AC127" s="616"/>
      <c r="AD127" s="443"/>
      <c r="AE127" s="443"/>
      <c r="AF127" s="140">
        <f t="shared" si="69"/>
        <v>-40.000000000001592</v>
      </c>
      <c r="AG127" s="141">
        <f t="shared" si="70"/>
        <v>0.97555012224938775</v>
      </c>
      <c r="AH127" s="632"/>
      <c r="AJ127" s="405">
        <f t="shared" si="96"/>
        <v>5.9999999999998188</v>
      </c>
      <c r="AK127" s="406">
        <f t="shared" si="97"/>
        <v>5.9999999999998188</v>
      </c>
    </row>
    <row r="128" spans="1:37" ht="19.2" customHeight="1">
      <c r="A128" s="637"/>
      <c r="B128" s="168" t="s">
        <v>166</v>
      </c>
      <c r="C128" s="190"/>
      <c r="D128" s="88" t="s">
        <v>132</v>
      </c>
      <c r="E128" s="114"/>
      <c r="F128" s="73">
        <v>58.17</v>
      </c>
      <c r="G128" s="85">
        <v>782</v>
      </c>
      <c r="H128" s="75">
        <f t="shared" si="93"/>
        <v>45488.94</v>
      </c>
      <c r="I128" s="443"/>
      <c r="J128" s="76">
        <v>16</v>
      </c>
      <c r="K128" s="74">
        <v>1636</v>
      </c>
      <c r="L128" s="77">
        <v>102.25</v>
      </c>
      <c r="M128" s="129">
        <v>16</v>
      </c>
      <c r="N128" s="212">
        <f t="shared" si="94"/>
        <v>1617.9310344827554</v>
      </c>
      <c r="O128" s="276">
        <f t="shared" si="95"/>
        <v>101.12068965517221</v>
      </c>
      <c r="P128" s="140">
        <f t="shared" si="90"/>
        <v>0</v>
      </c>
      <c r="Q128" s="220">
        <f t="shared" si="91"/>
        <v>-1.1293103448277861</v>
      </c>
      <c r="R128" s="141">
        <f t="shared" si="92"/>
        <v>0.98895540005058402</v>
      </c>
      <c r="S128" s="638"/>
      <c r="T128" s="198">
        <v>0.84583333333333333</v>
      </c>
      <c r="U128" s="198">
        <v>0.86597222222222225</v>
      </c>
      <c r="V128" s="430">
        <v>7</v>
      </c>
      <c r="W128" s="427">
        <f t="shared" si="79"/>
        <v>29.000000000000057</v>
      </c>
      <c r="X128" s="93"/>
      <c r="Y128" s="93"/>
      <c r="Z128" s="84"/>
      <c r="AA128" s="84"/>
      <c r="AB128" s="616"/>
      <c r="AC128" s="616"/>
      <c r="AD128" s="443"/>
      <c r="AE128" s="443"/>
      <c r="AF128" s="78">
        <f t="shared" si="69"/>
        <v>-18.068965517244578</v>
      </c>
      <c r="AG128" s="434">
        <f t="shared" si="70"/>
        <v>0.98895540005058402</v>
      </c>
      <c r="AH128" s="632"/>
      <c r="AJ128" s="405">
        <f t="shared" si="96"/>
        <v>7</v>
      </c>
      <c r="AK128" s="406">
        <f t="shared" si="97"/>
        <v>7</v>
      </c>
    </row>
    <row r="129" spans="1:37" ht="19.2" customHeight="1">
      <c r="A129" s="637"/>
      <c r="B129" s="168" t="s">
        <v>166</v>
      </c>
      <c r="C129" s="190"/>
      <c r="D129" s="88" t="s">
        <v>144</v>
      </c>
      <c r="E129" s="90"/>
      <c r="F129" s="73">
        <v>57.3</v>
      </c>
      <c r="G129" s="85">
        <v>732</v>
      </c>
      <c r="H129" s="75">
        <f t="shared" si="93"/>
        <v>41943.6</v>
      </c>
      <c r="I129" s="443"/>
      <c r="J129" s="76">
        <v>19</v>
      </c>
      <c r="K129" s="74">
        <v>1440</v>
      </c>
      <c r="L129" s="77">
        <v>75.78947368421052</v>
      </c>
      <c r="M129" s="129">
        <v>19</v>
      </c>
      <c r="N129" s="85">
        <f t="shared" si="94"/>
        <v>1372.4999999999982</v>
      </c>
      <c r="O129" s="118">
        <f t="shared" si="95"/>
        <v>72.236842105263065</v>
      </c>
      <c r="P129" s="84">
        <f t="shared" si="90"/>
        <v>0</v>
      </c>
      <c r="Q129" s="119">
        <f t="shared" si="91"/>
        <v>-3.5526315789474552</v>
      </c>
      <c r="R129" s="437">
        <f t="shared" si="92"/>
        <v>0.95312499999999889</v>
      </c>
      <c r="S129" s="638"/>
      <c r="T129" s="198">
        <v>0.87083333333333335</v>
      </c>
      <c r="U129" s="198">
        <v>0.8930555555555556</v>
      </c>
      <c r="V129" s="430">
        <v>7</v>
      </c>
      <c r="W129" s="427">
        <f t="shared" si="79"/>
        <v>32.000000000000043</v>
      </c>
      <c r="X129" s="93"/>
      <c r="Y129" s="93"/>
      <c r="Z129" s="84"/>
      <c r="AA129" s="84"/>
      <c r="AB129" s="616"/>
      <c r="AC129" s="616"/>
      <c r="AD129" s="443"/>
      <c r="AE129" s="443"/>
      <c r="AF129" s="140">
        <f t="shared" si="69"/>
        <v>-67.500000000001819</v>
      </c>
      <c r="AG129" s="141">
        <f t="shared" si="70"/>
        <v>0.95312499999999878</v>
      </c>
      <c r="AH129" s="632"/>
      <c r="AJ129" s="405">
        <f t="shared" si="96"/>
        <v>7</v>
      </c>
      <c r="AK129" s="406">
        <f t="shared" si="97"/>
        <v>7</v>
      </c>
    </row>
    <row r="130" spans="1:37" ht="19.2" customHeight="1">
      <c r="A130" s="637"/>
      <c r="B130" s="236" t="s">
        <v>166</v>
      </c>
      <c r="C130" s="190"/>
      <c r="D130" s="88" t="s">
        <v>143</v>
      </c>
      <c r="E130" s="90"/>
      <c r="F130" s="73">
        <v>50.67</v>
      </c>
      <c r="G130" s="85">
        <v>1158</v>
      </c>
      <c r="H130" s="75">
        <f t="shared" si="93"/>
        <v>58675.86</v>
      </c>
      <c r="I130" s="443"/>
      <c r="J130" s="76">
        <v>18</v>
      </c>
      <c r="K130" s="74">
        <v>1500</v>
      </c>
      <c r="L130" s="77">
        <v>83.333333333333329</v>
      </c>
      <c r="M130" s="433">
        <v>18</v>
      </c>
      <c r="N130" s="85">
        <f t="shared" si="94"/>
        <v>1447.5000000000005</v>
      </c>
      <c r="O130" s="118">
        <f t="shared" si="95"/>
        <v>80.416666666666686</v>
      </c>
      <c r="P130" s="84">
        <f t="shared" si="90"/>
        <v>0</v>
      </c>
      <c r="Q130" s="119">
        <f t="shared" si="91"/>
        <v>-2.916666666666643</v>
      </c>
      <c r="R130" s="437">
        <f t="shared" si="92"/>
        <v>0.9650000000000003</v>
      </c>
      <c r="S130" s="638"/>
      <c r="T130" s="198">
        <v>0.89722222222222225</v>
      </c>
      <c r="U130" s="198">
        <v>0.93055555555555558</v>
      </c>
      <c r="V130" s="430">
        <v>6</v>
      </c>
      <c r="W130" s="427">
        <f t="shared" si="79"/>
        <v>47.999999999999986</v>
      </c>
      <c r="X130" s="93"/>
      <c r="Y130" s="93"/>
      <c r="Z130" s="84"/>
      <c r="AA130" s="84"/>
      <c r="AB130" s="616"/>
      <c r="AC130" s="616"/>
      <c r="AD130" s="443">
        <v>1</v>
      </c>
      <c r="AE130" s="443"/>
      <c r="AF130" s="140">
        <f t="shared" si="69"/>
        <v>-52.499999999999545</v>
      </c>
      <c r="AG130" s="141">
        <f t="shared" si="70"/>
        <v>0.9650000000000003</v>
      </c>
      <c r="AH130" s="632"/>
      <c r="AJ130" s="405">
        <f t="shared" si="96"/>
        <v>6</v>
      </c>
      <c r="AK130" s="406">
        <f t="shared" si="97"/>
        <v>6</v>
      </c>
    </row>
    <row r="131" spans="1:37" ht="19.2" customHeight="1">
      <c r="A131" s="637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3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638"/>
      <c r="T131" s="198"/>
      <c r="U131" s="198"/>
      <c r="V131" s="430"/>
      <c r="W131" s="427">
        <f t="shared" si="79"/>
        <v>0</v>
      </c>
      <c r="X131" s="93"/>
      <c r="Y131" s="93"/>
      <c r="Z131" s="84"/>
      <c r="AA131" s="84"/>
      <c r="AB131" s="616"/>
      <c r="AC131" s="616"/>
      <c r="AD131" s="443"/>
      <c r="AE131" s="443"/>
      <c r="AF131" s="78">
        <f t="shared" si="69"/>
        <v>0</v>
      </c>
      <c r="AG131" s="434" t="e">
        <f t="shared" si="70"/>
        <v>#DIV/0!</v>
      </c>
      <c r="AH131" s="632"/>
      <c r="AJ131" s="405" t="str">
        <f t="shared" si="96"/>
        <v/>
      </c>
      <c r="AK131" s="406" t="str">
        <f t="shared" si="97"/>
        <v/>
      </c>
    </row>
    <row r="132" spans="1:37" ht="19.2" customHeight="1">
      <c r="A132" s="637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3"/>
        <v>0</v>
      </c>
      <c r="I132" s="443"/>
      <c r="J132" s="129"/>
      <c r="K132" s="85"/>
      <c r="L132" s="118"/>
      <c r="M132" s="433"/>
      <c r="N132" s="85"/>
      <c r="O132" s="118"/>
      <c r="P132" s="84"/>
      <c r="Q132" s="119"/>
      <c r="R132" s="437"/>
      <c r="S132" s="638"/>
      <c r="T132" s="198"/>
      <c r="U132" s="198"/>
      <c r="V132" s="430"/>
      <c r="W132" s="427">
        <f t="shared" si="79"/>
        <v>0</v>
      </c>
      <c r="X132" s="93"/>
      <c r="Y132" s="93"/>
      <c r="Z132" s="84"/>
      <c r="AA132" s="84"/>
      <c r="AB132" s="616"/>
      <c r="AC132" s="616"/>
      <c r="AD132" s="443"/>
      <c r="AE132" s="443"/>
      <c r="AF132" s="104"/>
      <c r="AG132" s="435"/>
      <c r="AH132" s="632"/>
      <c r="AJ132" s="405" t="str">
        <f t="shared" si="96"/>
        <v/>
      </c>
      <c r="AK132" s="406" t="str">
        <f t="shared" si="97"/>
        <v/>
      </c>
    </row>
    <row r="133" spans="1:37" ht="19.2" customHeight="1">
      <c r="A133" s="637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443"/>
      <c r="J133" s="129"/>
      <c r="K133" s="85"/>
      <c r="L133" s="118"/>
      <c r="M133" s="433"/>
      <c r="N133" s="85"/>
      <c r="O133" s="118"/>
      <c r="P133" s="84"/>
      <c r="Q133" s="119"/>
      <c r="R133" s="437"/>
      <c r="S133" s="638"/>
      <c r="T133" s="198"/>
      <c r="U133" s="198"/>
      <c r="V133" s="430"/>
      <c r="W133" s="282">
        <f t="shared" si="79"/>
        <v>0</v>
      </c>
      <c r="X133" s="93"/>
      <c r="Y133" s="93"/>
      <c r="Z133" s="84"/>
      <c r="AA133" s="84"/>
      <c r="AB133" s="616"/>
      <c r="AC133" s="616"/>
      <c r="AD133" s="443"/>
      <c r="AE133" s="443"/>
      <c r="AF133" s="104"/>
      <c r="AG133" s="435"/>
      <c r="AH133" s="632"/>
      <c r="AJ133" s="405" t="str">
        <f t="shared" si="96"/>
        <v/>
      </c>
      <c r="AK133" s="406" t="str">
        <f t="shared" si="97"/>
        <v/>
      </c>
    </row>
    <row r="134" spans="1:37" ht="19.2" customHeight="1">
      <c r="A134" s="637"/>
      <c r="B134" s="203">
        <v>0</v>
      </c>
      <c r="C134" s="132" t="s">
        <v>297</v>
      </c>
      <c r="D134" s="612" t="s">
        <v>219</v>
      </c>
      <c r="E134" s="612"/>
      <c r="F134" s="222"/>
      <c r="G134" s="103"/>
      <c r="H134" s="134"/>
      <c r="I134" s="283"/>
      <c r="J134" s="284">
        <v>18.666666666666668</v>
      </c>
      <c r="K134" s="284">
        <v>1499.7777777777778</v>
      </c>
      <c r="L134" s="285">
        <v>81.156479160865132</v>
      </c>
      <c r="M134" s="284">
        <f t="shared" ref="M134:O134" si="98">AVERAGE(M122:M133)</f>
        <v>18.666666666666668</v>
      </c>
      <c r="N134" s="284">
        <f t="shared" si="98"/>
        <v>1433.3091926170632</v>
      </c>
      <c r="O134" s="285">
        <f t="shared" si="98"/>
        <v>77.663249372297813</v>
      </c>
      <c r="P134" s="81">
        <f t="shared" ref="P134:P143" si="99">M134-J134</f>
        <v>0</v>
      </c>
      <c r="Q134" s="178">
        <f t="shared" ref="Q134:Q143" si="100">O134-L134</f>
        <v>-3.4932297885673194</v>
      </c>
      <c r="R134" s="286">
        <f t="shared" ref="R134:R143" si="101">O134/L134</f>
        <v>0.95695685884002957</v>
      </c>
      <c r="S134" s="631"/>
      <c r="T134" s="198"/>
      <c r="U134" s="198"/>
      <c r="V134" s="430"/>
      <c r="W134" s="430"/>
      <c r="X134" s="83"/>
      <c r="Y134" s="83"/>
      <c r="Z134" s="138">
        <f>SUM(Z122:Z133)</f>
        <v>0</v>
      </c>
      <c r="AA134" s="138">
        <f>SUM(AA122:AA133)</f>
        <v>0</v>
      </c>
      <c r="AB134" s="616"/>
      <c r="AC134" s="616"/>
      <c r="AD134" s="139">
        <f>SUM(AD122:AD133)</f>
        <v>1</v>
      </c>
      <c r="AE134" s="139">
        <f>SUM(AE122:AE133)</f>
        <v>0</v>
      </c>
      <c r="AF134" s="78">
        <f t="shared" si="69"/>
        <v>-66.468585160714611</v>
      </c>
      <c r="AG134" s="434">
        <f t="shared" si="70"/>
        <v>0.9556810441216157</v>
      </c>
      <c r="AH134" s="632"/>
    </row>
    <row r="135" spans="1:37" ht="19.2" customHeight="1">
      <c r="A135" s="618" t="s">
        <v>298</v>
      </c>
      <c r="B135" s="430" t="s">
        <v>166</v>
      </c>
      <c r="C135" s="443"/>
      <c r="D135" s="113" t="s">
        <v>120</v>
      </c>
      <c r="E135" s="114"/>
      <c r="F135" s="73">
        <v>54.09</v>
      </c>
      <c r="G135" s="85">
        <v>1796.8000000000002</v>
      </c>
      <c r="H135" s="287">
        <f t="shared" ref="H135:H146" si="102">F135*G135</f>
        <v>97188.912000000011</v>
      </c>
      <c r="I135" s="443"/>
      <c r="J135" s="76">
        <v>16</v>
      </c>
      <c r="K135" s="85">
        <v>1500</v>
      </c>
      <c r="L135" s="118">
        <v>93.75</v>
      </c>
      <c r="M135" s="267">
        <v>16</v>
      </c>
      <c r="N135" s="85">
        <f t="shared" ref="N135:N143" si="103">G135/W135*60</f>
        <v>1314.731707317073</v>
      </c>
      <c r="O135" s="149">
        <f t="shared" ref="O135:O143" si="104">N135/M135</f>
        <v>82.17073170731706</v>
      </c>
      <c r="P135" s="84">
        <f t="shared" si="99"/>
        <v>0</v>
      </c>
      <c r="Q135" s="119">
        <f t="shared" si="100"/>
        <v>-11.57926829268294</v>
      </c>
      <c r="R135" s="437">
        <f t="shared" si="101"/>
        <v>0.87648780487804867</v>
      </c>
      <c r="S135" s="622">
        <f>R147</f>
        <v>0.91285196525090417</v>
      </c>
      <c r="T135" s="288">
        <v>0.5</v>
      </c>
      <c r="U135" s="198">
        <v>0.55694444444444446</v>
      </c>
      <c r="V135" s="153">
        <v>5</v>
      </c>
      <c r="W135" s="289">
        <f t="shared" ref="W135:W147" si="105">(U135-T135)*24*60</f>
        <v>82.000000000000028</v>
      </c>
      <c r="X135" s="83"/>
      <c r="Y135" s="83"/>
      <c r="Z135" s="84"/>
      <c r="AA135" s="84"/>
      <c r="AB135" s="616"/>
      <c r="AC135" s="616"/>
      <c r="AD135" s="443"/>
      <c r="AE135" s="443"/>
      <c r="AF135" s="150">
        <f t="shared" si="69"/>
        <v>-185.26829268292704</v>
      </c>
      <c r="AG135" s="155">
        <f t="shared" si="70"/>
        <v>0.87648780487804867</v>
      </c>
      <c r="AH135" s="615">
        <f>AG147</f>
        <v>0.91504524985232161</v>
      </c>
      <c r="AJ135" s="62" t="str">
        <f>A135</f>
        <v>綜合三組
(ET-55)</v>
      </c>
      <c r="AK135" s="404">
        <f>AVERAGE(AK136:AK146)</f>
        <v>6.8750000000000346</v>
      </c>
    </row>
    <row r="136" spans="1:37" ht="19.2" customHeight="1">
      <c r="A136" s="619"/>
      <c r="B136" s="430" t="s">
        <v>166</v>
      </c>
      <c r="C136" s="443"/>
      <c r="D136" s="113" t="s">
        <v>145</v>
      </c>
      <c r="E136" s="114"/>
      <c r="F136" s="73">
        <v>50.67</v>
      </c>
      <c r="G136" s="85">
        <v>1186</v>
      </c>
      <c r="H136" s="116">
        <f t="shared" si="102"/>
        <v>60094.62</v>
      </c>
      <c r="I136" s="443"/>
      <c r="J136" s="76">
        <v>18</v>
      </c>
      <c r="K136" s="85">
        <v>1500</v>
      </c>
      <c r="L136" s="118">
        <v>83.333333333333329</v>
      </c>
      <c r="M136" s="433">
        <v>18</v>
      </c>
      <c r="N136" s="85">
        <f t="shared" si="103"/>
        <v>1317.7777777777785</v>
      </c>
      <c r="O136" s="118">
        <f t="shared" si="104"/>
        <v>73.209876543209916</v>
      </c>
      <c r="P136" s="84">
        <f t="shared" si="99"/>
        <v>0</v>
      </c>
      <c r="Q136" s="119">
        <f t="shared" si="100"/>
        <v>-10.123456790123413</v>
      </c>
      <c r="R136" s="437">
        <f t="shared" si="101"/>
        <v>0.87851851851851903</v>
      </c>
      <c r="S136" s="622"/>
      <c r="T136" s="288">
        <v>0.5625</v>
      </c>
      <c r="U136" s="198">
        <v>0.6</v>
      </c>
      <c r="V136" s="153">
        <v>8</v>
      </c>
      <c r="W136" s="289">
        <f t="shared" si="105"/>
        <v>53.999999999999972</v>
      </c>
      <c r="X136" s="83"/>
      <c r="Y136" s="83"/>
      <c r="Z136" s="84"/>
      <c r="AA136" s="84"/>
      <c r="AB136" s="616"/>
      <c r="AC136" s="616"/>
      <c r="AD136" s="443"/>
      <c r="AE136" s="443"/>
      <c r="AF136" s="78">
        <f t="shared" si="69"/>
        <v>-182.22222222222149</v>
      </c>
      <c r="AG136" s="160">
        <f t="shared" si="70"/>
        <v>0.87851851851851903</v>
      </c>
      <c r="AH136" s="615"/>
      <c r="AJ136" s="405">
        <f t="shared" ref="AJ136:AJ146" si="106">IF((IF(V136&lt;10,V136,(X136-U135)*1440))=0,"",IF(V136&lt;10,V136,(X136-U135)*1440))</f>
        <v>8</v>
      </c>
      <c r="AK136" s="406">
        <f>IF(AJ136&gt;4,AJ136,"")</f>
        <v>8</v>
      </c>
    </row>
    <row r="137" spans="1:37" ht="19.2" customHeight="1">
      <c r="A137" s="619"/>
      <c r="B137" s="430" t="s">
        <v>166</v>
      </c>
      <c r="C137" s="443"/>
      <c r="D137" s="113" t="s">
        <v>146</v>
      </c>
      <c r="E137" s="114"/>
      <c r="F137" s="73">
        <v>53.27</v>
      </c>
      <c r="G137" s="246">
        <v>1217</v>
      </c>
      <c r="H137" s="116">
        <f t="shared" si="102"/>
        <v>64829.590000000004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03"/>
        <v>1303.9285714285725</v>
      </c>
      <c r="O137" s="149">
        <f t="shared" si="104"/>
        <v>81.495535714285779</v>
      </c>
      <c r="P137" s="84">
        <f t="shared" si="99"/>
        <v>0</v>
      </c>
      <c r="Q137" s="119">
        <f t="shared" si="100"/>
        <v>-12.254464285714221</v>
      </c>
      <c r="R137" s="437">
        <f t="shared" si="101"/>
        <v>0.86928571428571499</v>
      </c>
      <c r="S137" s="622"/>
      <c r="T137" s="198">
        <v>0.61597222222222214</v>
      </c>
      <c r="U137" s="198">
        <v>0.65486111111111101</v>
      </c>
      <c r="V137" s="290">
        <v>23</v>
      </c>
      <c r="W137" s="289">
        <f t="shared" si="105"/>
        <v>55.999999999999957</v>
      </c>
      <c r="X137" s="83">
        <v>0.60416666666666663</v>
      </c>
      <c r="Y137" s="83">
        <v>0.61527777777777781</v>
      </c>
      <c r="Z137" s="84"/>
      <c r="AA137" s="84"/>
      <c r="AB137" s="616"/>
      <c r="AC137" s="616"/>
      <c r="AD137" s="443"/>
      <c r="AE137" s="443"/>
      <c r="AF137" s="78">
        <f t="shared" si="69"/>
        <v>-196.07142857142753</v>
      </c>
      <c r="AG137" s="160">
        <f t="shared" si="70"/>
        <v>0.86928571428571499</v>
      </c>
      <c r="AH137" s="615"/>
      <c r="AJ137" s="405">
        <f t="shared" si="106"/>
        <v>5.9999999999999787</v>
      </c>
      <c r="AK137" s="406">
        <f t="shared" ref="AK137:AK146" si="107">IF(AJ137&gt;4,AJ137,"")</f>
        <v>5.9999999999999787</v>
      </c>
    </row>
    <row r="138" spans="1:37" ht="19.2" customHeight="1">
      <c r="A138" s="619"/>
      <c r="B138" s="430" t="s">
        <v>166</v>
      </c>
      <c r="C138" s="260"/>
      <c r="D138" s="113" t="s">
        <v>147</v>
      </c>
      <c r="E138" s="114"/>
      <c r="F138" s="73">
        <v>57.734999999999999</v>
      </c>
      <c r="G138" s="85">
        <v>1645</v>
      </c>
      <c r="H138" s="116">
        <f t="shared" si="102"/>
        <v>94974.074999999997</v>
      </c>
      <c r="I138" s="443"/>
      <c r="J138" s="129">
        <v>16</v>
      </c>
      <c r="K138" s="85">
        <v>1565</v>
      </c>
      <c r="L138" s="118">
        <v>97.8125</v>
      </c>
      <c r="M138" s="267">
        <v>16</v>
      </c>
      <c r="N138" s="85">
        <f t="shared" si="103"/>
        <v>1281.8181818181811</v>
      </c>
      <c r="O138" s="118">
        <f t="shared" si="104"/>
        <v>80.113636363636317</v>
      </c>
      <c r="P138" s="84">
        <f t="shared" si="99"/>
        <v>0</v>
      </c>
      <c r="Q138" s="119">
        <f t="shared" si="100"/>
        <v>-17.698863636363683</v>
      </c>
      <c r="R138" s="437">
        <f t="shared" si="101"/>
        <v>0.81905315132152146</v>
      </c>
      <c r="S138" s="622"/>
      <c r="T138" s="198">
        <v>0.6597222222222221</v>
      </c>
      <c r="U138" s="198">
        <v>0.71319444444444435</v>
      </c>
      <c r="V138" s="290">
        <v>7</v>
      </c>
      <c r="W138" s="289">
        <f t="shared" si="105"/>
        <v>77.000000000000043</v>
      </c>
      <c r="X138" s="83"/>
      <c r="Y138" s="83"/>
      <c r="Z138" s="84"/>
      <c r="AA138" s="84"/>
      <c r="AB138" s="616"/>
      <c r="AC138" s="616"/>
      <c r="AD138" s="443"/>
      <c r="AE138" s="443"/>
      <c r="AF138" s="78">
        <f t="shared" si="69"/>
        <v>-283.18181818181893</v>
      </c>
      <c r="AG138" s="160">
        <f t="shared" si="70"/>
        <v>0.81905315132152146</v>
      </c>
      <c r="AH138" s="615"/>
      <c r="AJ138" s="405">
        <f t="shared" si="106"/>
        <v>7</v>
      </c>
      <c r="AK138" s="406">
        <f t="shared" si="107"/>
        <v>7</v>
      </c>
    </row>
    <row r="139" spans="1:37" ht="19.2" customHeight="1">
      <c r="A139" s="619"/>
      <c r="B139" s="430" t="s">
        <v>166</v>
      </c>
      <c r="C139" s="440"/>
      <c r="D139" s="71" t="s">
        <v>148</v>
      </c>
      <c r="E139" s="72"/>
      <c r="F139" s="73">
        <v>50.98</v>
      </c>
      <c r="G139" s="85">
        <v>1325</v>
      </c>
      <c r="H139" s="116">
        <f t="shared" si="102"/>
        <v>67548.5</v>
      </c>
      <c r="I139" s="443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03"/>
        <v>1370.6896551724149</v>
      </c>
      <c r="O139" s="149">
        <f t="shared" si="104"/>
        <v>68.53448275862074</v>
      </c>
      <c r="P139" s="84">
        <f t="shared" si="99"/>
        <v>0</v>
      </c>
      <c r="Q139" s="119">
        <f t="shared" si="100"/>
        <v>-3.4655172413792599</v>
      </c>
      <c r="R139" s="437">
        <f t="shared" si="101"/>
        <v>0.9518678160919547</v>
      </c>
      <c r="S139" s="622"/>
      <c r="T139" s="198">
        <v>0.7534722222222221</v>
      </c>
      <c r="U139" s="198">
        <v>0.79374999999999984</v>
      </c>
      <c r="V139" s="291">
        <v>5</v>
      </c>
      <c r="W139" s="289">
        <f t="shared" si="105"/>
        <v>57.999999999999957</v>
      </c>
      <c r="X139" s="83"/>
      <c r="Y139" s="83"/>
      <c r="Z139" s="84"/>
      <c r="AA139" s="84"/>
      <c r="AB139" s="616"/>
      <c r="AC139" s="616"/>
      <c r="AD139" s="443"/>
      <c r="AE139" s="443"/>
      <c r="AF139" s="78">
        <f t="shared" si="69"/>
        <v>-69.310344827585141</v>
      </c>
      <c r="AG139" s="160">
        <f t="shared" si="70"/>
        <v>0.95186781609195481</v>
      </c>
      <c r="AH139" s="615"/>
      <c r="AJ139" s="405">
        <f t="shared" si="106"/>
        <v>5</v>
      </c>
      <c r="AK139" s="406">
        <f t="shared" si="107"/>
        <v>5</v>
      </c>
    </row>
    <row r="140" spans="1:37" ht="19.2" customHeight="1">
      <c r="A140" s="620"/>
      <c r="B140" s="430" t="s">
        <v>166</v>
      </c>
      <c r="C140" s="440"/>
      <c r="D140" s="292" t="s">
        <v>149</v>
      </c>
      <c r="E140" s="114"/>
      <c r="F140" s="73">
        <v>50.92</v>
      </c>
      <c r="G140" s="85">
        <v>1469</v>
      </c>
      <c r="H140" s="116">
        <f t="shared" si="102"/>
        <v>74801.48</v>
      </c>
      <c r="I140" s="443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03"/>
        <v>1399.0476190476204</v>
      </c>
      <c r="O140" s="149">
        <f t="shared" si="104"/>
        <v>73.634085213032648</v>
      </c>
      <c r="P140" s="84">
        <f t="shared" si="99"/>
        <v>0</v>
      </c>
      <c r="Q140" s="119">
        <f t="shared" si="100"/>
        <v>-2.1553884711778721</v>
      </c>
      <c r="R140" s="437">
        <f t="shared" si="101"/>
        <v>0.97156084656084751</v>
      </c>
      <c r="S140" s="623"/>
      <c r="T140" s="232">
        <v>0.79930555555555538</v>
      </c>
      <c r="U140" s="293">
        <v>0.84305555555555534</v>
      </c>
      <c r="V140" s="294">
        <v>8</v>
      </c>
      <c r="W140" s="289">
        <f t="shared" si="105"/>
        <v>62.999999999999936</v>
      </c>
      <c r="X140" s="83"/>
      <c r="Y140" s="83"/>
      <c r="Z140" s="84"/>
      <c r="AA140" s="84"/>
      <c r="AB140" s="616"/>
      <c r="AC140" s="616"/>
      <c r="AD140" s="443"/>
      <c r="AE140" s="443"/>
      <c r="AF140" s="78">
        <f t="shared" si="69"/>
        <v>-40.952380952379599</v>
      </c>
      <c r="AG140" s="160">
        <f t="shared" si="70"/>
        <v>0.97156084656084751</v>
      </c>
      <c r="AH140" s="615"/>
      <c r="AJ140" s="405">
        <f t="shared" si="106"/>
        <v>8</v>
      </c>
      <c r="AK140" s="406">
        <f t="shared" si="107"/>
        <v>8</v>
      </c>
    </row>
    <row r="141" spans="1:37" ht="19.2" customHeight="1">
      <c r="A141" s="620"/>
      <c r="B141" s="430" t="s">
        <v>166</v>
      </c>
      <c r="C141" s="440"/>
      <c r="D141" s="71" t="s">
        <v>155</v>
      </c>
      <c r="E141" s="295"/>
      <c r="F141" s="73">
        <v>54.09</v>
      </c>
      <c r="G141" s="85">
        <v>987</v>
      </c>
      <c r="H141" s="116">
        <f t="shared" si="102"/>
        <v>53386.83</v>
      </c>
      <c r="I141" s="443"/>
      <c r="J141" s="76">
        <v>19</v>
      </c>
      <c r="K141" s="74">
        <v>1440</v>
      </c>
      <c r="L141" s="77">
        <v>75.78947368421052</v>
      </c>
      <c r="M141" s="267">
        <v>19</v>
      </c>
      <c r="N141" s="85">
        <f t="shared" si="103"/>
        <v>1345.909090909091</v>
      </c>
      <c r="O141" s="118">
        <f t="shared" si="104"/>
        <v>70.837320574162689</v>
      </c>
      <c r="P141" s="84">
        <f t="shared" si="99"/>
        <v>0</v>
      </c>
      <c r="Q141" s="119">
        <f t="shared" si="100"/>
        <v>-4.9521531100478313</v>
      </c>
      <c r="R141" s="437">
        <f t="shared" si="101"/>
        <v>0.93465909090909116</v>
      </c>
      <c r="S141" s="623"/>
      <c r="T141" s="232">
        <v>0.85833333333333306</v>
      </c>
      <c r="U141" s="293">
        <v>0.88888888888888862</v>
      </c>
      <c r="V141" s="86">
        <v>22</v>
      </c>
      <c r="W141" s="289">
        <f t="shared" si="105"/>
        <v>44</v>
      </c>
      <c r="X141" s="83">
        <v>0.84722222222222221</v>
      </c>
      <c r="Y141" s="83">
        <v>0.85763888888888884</v>
      </c>
      <c r="Z141" s="84"/>
      <c r="AA141" s="84"/>
      <c r="AB141" s="616"/>
      <c r="AC141" s="616"/>
      <c r="AD141" s="443"/>
      <c r="AE141" s="443"/>
      <c r="AF141" s="78">
        <f t="shared" si="69"/>
        <v>-94.090909090909008</v>
      </c>
      <c r="AG141" s="160">
        <f t="shared" si="70"/>
        <v>0.93465909090909094</v>
      </c>
      <c r="AH141" s="615"/>
      <c r="AJ141" s="405">
        <f t="shared" si="106"/>
        <v>6.0000000000002984</v>
      </c>
      <c r="AK141" s="406">
        <f t="shared" si="107"/>
        <v>6.0000000000002984</v>
      </c>
    </row>
    <row r="142" spans="1:37" ht="19.2" customHeight="1">
      <c r="A142" s="620"/>
      <c r="B142" s="430" t="s">
        <v>166</v>
      </c>
      <c r="C142" s="440"/>
      <c r="D142" s="71" t="s">
        <v>193</v>
      </c>
      <c r="E142" s="295"/>
      <c r="F142" s="73">
        <v>50.67</v>
      </c>
      <c r="G142" s="85">
        <v>1439</v>
      </c>
      <c r="H142" s="116">
        <f t="shared" si="102"/>
        <v>72914.13</v>
      </c>
      <c r="I142" s="443"/>
      <c r="J142" s="76">
        <v>17</v>
      </c>
      <c r="K142" s="74">
        <v>1500</v>
      </c>
      <c r="L142" s="77">
        <v>88.235294117647058</v>
      </c>
      <c r="M142" s="267">
        <v>17</v>
      </c>
      <c r="N142" s="85">
        <f t="shared" si="103"/>
        <v>1463.3898305084758</v>
      </c>
      <c r="O142" s="149">
        <f t="shared" si="104"/>
        <v>86.0817547357927</v>
      </c>
      <c r="P142" s="84">
        <f t="shared" si="99"/>
        <v>0</v>
      </c>
      <c r="Q142" s="119">
        <f t="shared" si="100"/>
        <v>-2.1535393818543582</v>
      </c>
      <c r="R142" s="437">
        <f t="shared" si="101"/>
        <v>0.97559322033898399</v>
      </c>
      <c r="S142" s="623"/>
      <c r="T142" s="232">
        <v>0.89374999999999971</v>
      </c>
      <c r="U142" s="293">
        <v>0.9347222222222219</v>
      </c>
      <c r="V142" s="86">
        <v>7</v>
      </c>
      <c r="W142" s="289">
        <f t="shared" si="105"/>
        <v>58.99999999999995</v>
      </c>
      <c r="X142" s="83"/>
      <c r="Y142" s="83"/>
      <c r="Z142" s="84"/>
      <c r="AA142" s="84"/>
      <c r="AB142" s="616"/>
      <c r="AC142" s="616"/>
      <c r="AD142" s="443"/>
      <c r="AE142" s="443"/>
      <c r="AF142" s="78">
        <f t="shared" si="69"/>
        <v>-36.610169491524175</v>
      </c>
      <c r="AG142" s="160">
        <f t="shared" si="70"/>
        <v>0.97559322033898388</v>
      </c>
      <c r="AH142" s="615"/>
      <c r="AJ142" s="405">
        <f t="shared" si="106"/>
        <v>7</v>
      </c>
      <c r="AK142" s="406">
        <f t="shared" si="107"/>
        <v>7</v>
      </c>
    </row>
    <row r="143" spans="1:37" ht="19.2" customHeight="1">
      <c r="A143" s="620"/>
      <c r="B143" s="430" t="s">
        <v>166</v>
      </c>
      <c r="C143" s="296"/>
      <c r="D143" s="113" t="s">
        <v>137</v>
      </c>
      <c r="E143" s="114"/>
      <c r="F143" s="73">
        <v>56.43</v>
      </c>
      <c r="G143" s="85">
        <v>822</v>
      </c>
      <c r="H143" s="116">
        <f t="shared" si="102"/>
        <v>46385.46</v>
      </c>
      <c r="I143" s="443"/>
      <c r="J143" s="76">
        <v>16</v>
      </c>
      <c r="K143" s="74">
        <v>1500</v>
      </c>
      <c r="L143" s="77">
        <v>93.75</v>
      </c>
      <c r="M143" s="267">
        <v>16</v>
      </c>
      <c r="N143" s="85">
        <f t="shared" si="103"/>
        <v>1450.588235294116</v>
      </c>
      <c r="O143" s="118">
        <f t="shared" si="104"/>
        <v>90.661764705882248</v>
      </c>
      <c r="P143" s="84">
        <f t="shared" si="99"/>
        <v>0</v>
      </c>
      <c r="Q143" s="119">
        <f t="shared" si="100"/>
        <v>-3.0882352941177516</v>
      </c>
      <c r="R143" s="437">
        <f t="shared" si="101"/>
        <v>0.96705882352941064</v>
      </c>
      <c r="S143" s="623"/>
      <c r="T143" s="232">
        <v>0.94027777777777743</v>
      </c>
      <c r="U143" s="293">
        <v>0.96388888888888857</v>
      </c>
      <c r="V143" s="86">
        <v>8</v>
      </c>
      <c r="W143" s="289">
        <f t="shared" si="105"/>
        <v>34.000000000000043</v>
      </c>
      <c r="X143" s="83"/>
      <c r="Y143" s="83"/>
      <c r="Z143" s="84"/>
      <c r="AA143" s="84"/>
      <c r="AB143" s="616"/>
      <c r="AC143" s="616"/>
      <c r="AD143" s="443"/>
      <c r="AE143" s="443"/>
      <c r="AF143" s="78">
        <f t="shared" si="69"/>
        <v>-49.411764705884025</v>
      </c>
      <c r="AG143" s="160">
        <f t="shared" si="70"/>
        <v>0.96705882352941064</v>
      </c>
      <c r="AH143" s="615"/>
      <c r="AJ143" s="405">
        <f t="shared" si="106"/>
        <v>8</v>
      </c>
      <c r="AK143" s="406">
        <f t="shared" si="107"/>
        <v>8</v>
      </c>
    </row>
    <row r="144" spans="1:37" ht="19.2" customHeight="1">
      <c r="A144" s="620"/>
      <c r="B144" s="430">
        <v>0</v>
      </c>
      <c r="C144" s="440"/>
      <c r="D144" s="71"/>
      <c r="E144" s="295"/>
      <c r="F144" s="73" t="s">
        <v>161</v>
      </c>
      <c r="G144" s="85"/>
      <c r="H144" s="116">
        <f t="shared" si="102"/>
        <v>0</v>
      </c>
      <c r="I144" s="443"/>
      <c r="J144" s="129"/>
      <c r="K144" s="85"/>
      <c r="L144" s="118"/>
      <c r="M144" s="433"/>
      <c r="N144" s="85"/>
      <c r="O144" s="149"/>
      <c r="P144" s="84"/>
      <c r="Q144" s="119"/>
      <c r="R144" s="437"/>
      <c r="S144" s="623"/>
      <c r="T144" s="232"/>
      <c r="U144" s="293"/>
      <c r="V144" s="86"/>
      <c r="W144" s="289">
        <f t="shared" si="105"/>
        <v>0</v>
      </c>
      <c r="X144" s="83"/>
      <c r="Y144" s="83"/>
      <c r="Z144" s="84"/>
      <c r="AA144" s="84"/>
      <c r="AB144" s="616"/>
      <c r="AC144" s="616"/>
      <c r="AD144" s="443"/>
      <c r="AE144" s="443"/>
      <c r="AF144" s="78">
        <f t="shared" si="69"/>
        <v>0</v>
      </c>
      <c r="AG144" s="160" t="e">
        <f t="shared" si="70"/>
        <v>#DIV/0!</v>
      </c>
      <c r="AH144" s="615"/>
      <c r="AJ144" s="405" t="str">
        <f t="shared" si="106"/>
        <v/>
      </c>
      <c r="AK144" s="406" t="str">
        <f t="shared" si="107"/>
        <v/>
      </c>
    </row>
    <row r="145" spans="1:37" ht="19.2" customHeight="1">
      <c r="A145" s="620"/>
      <c r="B145" s="430">
        <v>0</v>
      </c>
      <c r="C145" s="440"/>
      <c r="D145" s="71"/>
      <c r="E145" s="295"/>
      <c r="F145" s="73" t="s">
        <v>161</v>
      </c>
      <c r="G145" s="85"/>
      <c r="H145" s="116">
        <f t="shared" si="102"/>
        <v>0</v>
      </c>
      <c r="I145" s="443"/>
      <c r="J145" s="129"/>
      <c r="K145" s="85"/>
      <c r="L145" s="118"/>
      <c r="M145" s="433"/>
      <c r="N145" s="85"/>
      <c r="O145" s="118"/>
      <c r="P145" s="84"/>
      <c r="Q145" s="119"/>
      <c r="R145" s="437"/>
      <c r="S145" s="623"/>
      <c r="T145" s="232"/>
      <c r="U145" s="293"/>
      <c r="V145" s="86"/>
      <c r="W145" s="289">
        <f t="shared" si="105"/>
        <v>0</v>
      </c>
      <c r="X145" s="83"/>
      <c r="Y145" s="83"/>
      <c r="Z145" s="84"/>
      <c r="AA145" s="84"/>
      <c r="AB145" s="616"/>
      <c r="AC145" s="616"/>
      <c r="AD145" s="443"/>
      <c r="AE145" s="443"/>
      <c r="AF145" s="78">
        <f t="shared" si="69"/>
        <v>0</v>
      </c>
      <c r="AG145" s="160" t="e">
        <f t="shared" si="70"/>
        <v>#DIV/0!</v>
      </c>
      <c r="AH145" s="615"/>
      <c r="AJ145" s="405" t="str">
        <f t="shared" si="106"/>
        <v/>
      </c>
      <c r="AK145" s="406" t="str">
        <f t="shared" si="107"/>
        <v/>
      </c>
    </row>
    <row r="146" spans="1:37" ht="19.2" customHeight="1">
      <c r="A146" s="620"/>
      <c r="B146" s="432">
        <v>0</v>
      </c>
      <c r="C146" s="296"/>
      <c r="D146" s="297"/>
      <c r="E146" s="295"/>
      <c r="F146" s="73" t="s">
        <v>161</v>
      </c>
      <c r="G146" s="85"/>
      <c r="H146" s="116">
        <f t="shared" si="102"/>
        <v>0</v>
      </c>
      <c r="I146" s="443"/>
      <c r="J146" s="129"/>
      <c r="K146" s="85"/>
      <c r="L146" s="118"/>
      <c r="M146" s="433"/>
      <c r="N146" s="85"/>
      <c r="O146" s="118"/>
      <c r="P146" s="84"/>
      <c r="Q146" s="119"/>
      <c r="R146" s="437"/>
      <c r="S146" s="623"/>
      <c r="T146" s="232"/>
      <c r="U146" s="293"/>
      <c r="V146" s="86"/>
      <c r="W146" s="289">
        <f t="shared" si="105"/>
        <v>0</v>
      </c>
      <c r="X146" s="83"/>
      <c r="Y146" s="83"/>
      <c r="Z146" s="84"/>
      <c r="AA146" s="84"/>
      <c r="AB146" s="616"/>
      <c r="AC146" s="616"/>
      <c r="AD146" s="443"/>
      <c r="AE146" s="443"/>
      <c r="AF146" s="84"/>
      <c r="AG146" s="437"/>
      <c r="AH146" s="615"/>
      <c r="AJ146" s="405" t="str">
        <f t="shared" si="106"/>
        <v/>
      </c>
      <c r="AK146" s="406" t="str">
        <f t="shared" si="107"/>
        <v/>
      </c>
    </row>
    <row r="147" spans="1:37" ht="19.2" customHeight="1">
      <c r="A147" s="621"/>
      <c r="B147" s="298">
        <v>0</v>
      </c>
      <c r="C147" s="132" t="s">
        <v>299</v>
      </c>
      <c r="D147" s="612" t="s">
        <v>219</v>
      </c>
      <c r="E147" s="612"/>
      <c r="F147" s="299"/>
      <c r="G147" s="103"/>
      <c r="H147" s="134"/>
      <c r="I147" s="135"/>
      <c r="J147" s="103">
        <v>17.444444444444443</v>
      </c>
      <c r="K147" s="103">
        <v>1487.2222222222222</v>
      </c>
      <c r="L147" s="136">
        <v>86.023341646600159</v>
      </c>
      <c r="M147" s="284">
        <f t="shared" ref="M147:O147" si="108">AVERAGE(M135:M146)</f>
        <v>17.444444444444443</v>
      </c>
      <c r="N147" s="284">
        <f t="shared" si="108"/>
        <v>1360.8756299192582</v>
      </c>
      <c r="O147" s="285">
        <f t="shared" si="108"/>
        <v>78.526576479548908</v>
      </c>
      <c r="P147" s="81">
        <f t="shared" ref="P147:P153" si="109">M147-J147</f>
        <v>0</v>
      </c>
      <c r="Q147" s="178">
        <f t="shared" ref="Q147:Q153" si="110">O147-L147</f>
        <v>-7.496765167051251</v>
      </c>
      <c r="R147" s="300">
        <f t="shared" ref="R147:R153" si="111">O147/L147</f>
        <v>0.91285196525090417</v>
      </c>
      <c r="S147" s="624"/>
      <c r="T147" s="232"/>
      <c r="U147" s="232"/>
      <c r="V147" s="86"/>
      <c r="W147" s="427">
        <f t="shared" si="105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616"/>
      <c r="AC147" s="616"/>
      <c r="AD147" s="139">
        <f>SUM(AD135:AD146)</f>
        <v>0</v>
      </c>
      <c r="AE147" s="139">
        <f>SUM(AE135:AE146)</f>
        <v>0</v>
      </c>
      <c r="AF147" s="240">
        <f t="shared" si="69"/>
        <v>-126.34659230296393</v>
      </c>
      <c r="AG147" s="301">
        <f t="shared" si="70"/>
        <v>0.91504524985232161</v>
      </c>
      <c r="AH147" s="615"/>
    </row>
    <row r="148" spans="1:37" ht="19.2" customHeight="1">
      <c r="A148" s="627" t="s">
        <v>300</v>
      </c>
      <c r="B148" s="443" t="s">
        <v>163</v>
      </c>
      <c r="C148" s="156"/>
      <c r="D148" s="211" t="s">
        <v>93</v>
      </c>
      <c r="E148" s="72"/>
      <c r="F148" s="174">
        <v>36.92</v>
      </c>
      <c r="G148" s="85">
        <v>1864.2</v>
      </c>
      <c r="H148" s="116">
        <f t="shared" ref="H148:H172" si="112">F148*G148</f>
        <v>68826.26400000001</v>
      </c>
      <c r="I148" s="302"/>
      <c r="J148" s="129">
        <v>12</v>
      </c>
      <c r="K148" s="85">
        <v>2000</v>
      </c>
      <c r="L148" s="118">
        <v>166.66666666666666</v>
      </c>
      <c r="M148" s="129">
        <v>12</v>
      </c>
      <c r="N148" s="74">
        <f t="shared" ref="N148:N153" si="113">G148/W148*60</f>
        <v>1532.219178082192</v>
      </c>
      <c r="O148" s="77">
        <f t="shared" ref="O148:O153" si="114">N148/M148</f>
        <v>127.68493150684934</v>
      </c>
      <c r="P148" s="78">
        <f t="shared" si="109"/>
        <v>0</v>
      </c>
      <c r="Q148" s="79">
        <f t="shared" si="110"/>
        <v>-38.981735159817319</v>
      </c>
      <c r="R148" s="434">
        <f t="shared" si="111"/>
        <v>0.76610958904109605</v>
      </c>
      <c r="S148" s="628">
        <f>R160</f>
        <v>0.82557032193740076</v>
      </c>
      <c r="T148" s="288">
        <v>0.45833333333333331</v>
      </c>
      <c r="U148" s="198">
        <v>0.50902777777777775</v>
      </c>
      <c r="V148" s="430">
        <v>5</v>
      </c>
      <c r="W148" s="427">
        <f>(U148-T148)*24*60</f>
        <v>72.999999999999986</v>
      </c>
      <c r="X148" s="83"/>
      <c r="Y148" s="83"/>
      <c r="Z148" s="84"/>
      <c r="AA148" s="84"/>
      <c r="AB148" s="616"/>
      <c r="AC148" s="616"/>
      <c r="AD148" s="443"/>
      <c r="AE148" s="443"/>
      <c r="AF148" s="78">
        <f t="shared" si="69"/>
        <v>-467.780821917808</v>
      </c>
      <c r="AG148" s="160">
        <f t="shared" si="70"/>
        <v>0.76610958904109605</v>
      </c>
      <c r="AH148" s="615">
        <f>AG160</f>
        <v>0.80111777946518536</v>
      </c>
    </row>
    <row r="149" spans="1:37" ht="19.2" customHeight="1">
      <c r="A149" s="627"/>
      <c r="B149" s="443" t="s">
        <v>163</v>
      </c>
      <c r="C149" s="258"/>
      <c r="D149" s="292" t="s">
        <v>108</v>
      </c>
      <c r="E149" s="90"/>
      <c r="F149" s="174">
        <v>26.5</v>
      </c>
      <c r="G149" s="85">
        <v>764.05</v>
      </c>
      <c r="H149" s="116">
        <f t="shared" si="112"/>
        <v>20247.324999999997</v>
      </c>
      <c r="I149" s="302"/>
      <c r="J149" s="129">
        <v>12</v>
      </c>
      <c r="K149" s="85">
        <v>2000</v>
      </c>
      <c r="L149" s="118">
        <v>166.66666666666666</v>
      </c>
      <c r="M149" s="129">
        <v>12</v>
      </c>
      <c r="N149" s="74">
        <f t="shared" si="113"/>
        <v>1528.0999999999972</v>
      </c>
      <c r="O149" s="77">
        <f t="shared" si="114"/>
        <v>127.34166666666643</v>
      </c>
      <c r="P149" s="78">
        <f t="shared" si="109"/>
        <v>0</v>
      </c>
      <c r="Q149" s="79">
        <f t="shared" si="110"/>
        <v>-39.32500000000023</v>
      </c>
      <c r="R149" s="434">
        <f t="shared" si="111"/>
        <v>0.76404999999999856</v>
      </c>
      <c r="S149" s="629"/>
      <c r="T149" s="288">
        <v>0.5131944444444444</v>
      </c>
      <c r="U149" s="198">
        <v>0.53402777777777777</v>
      </c>
      <c r="V149" s="430">
        <v>6</v>
      </c>
      <c r="W149" s="427">
        <f t="shared" ref="W149:W159" si="115">(U149-T149)*24*60</f>
        <v>30.000000000000053</v>
      </c>
      <c r="X149" s="83"/>
      <c r="Y149" s="83"/>
      <c r="Z149" s="84"/>
      <c r="AA149" s="84"/>
      <c r="AB149" s="616"/>
      <c r="AC149" s="616"/>
      <c r="AD149" s="443"/>
      <c r="AE149" s="443"/>
      <c r="AF149" s="78">
        <f t="shared" si="69"/>
        <v>-471.90000000000282</v>
      </c>
      <c r="AG149" s="160">
        <f t="shared" si="70"/>
        <v>0.76404999999999856</v>
      </c>
      <c r="AH149" s="617"/>
    </row>
    <row r="150" spans="1:37" ht="19.2" customHeight="1">
      <c r="A150" s="627"/>
      <c r="B150" s="443" t="s">
        <v>163</v>
      </c>
      <c r="C150" s="258"/>
      <c r="D150" s="214" t="s">
        <v>191</v>
      </c>
      <c r="E150" s="90"/>
      <c r="F150" s="174">
        <v>28.26</v>
      </c>
      <c r="G150" s="85">
        <v>578.4</v>
      </c>
      <c r="H150" s="116">
        <f t="shared" si="112"/>
        <v>16345.584000000001</v>
      </c>
      <c r="I150" s="302"/>
      <c r="J150" s="129">
        <v>12</v>
      </c>
      <c r="K150" s="85">
        <v>2000</v>
      </c>
      <c r="L150" s="118">
        <v>166.66666666666666</v>
      </c>
      <c r="M150" s="129">
        <v>12</v>
      </c>
      <c r="N150" s="74">
        <f t="shared" si="113"/>
        <v>1508.8695652173965</v>
      </c>
      <c r="O150" s="77">
        <f t="shared" si="114"/>
        <v>125.73913043478304</v>
      </c>
      <c r="P150" s="78">
        <f t="shared" si="109"/>
        <v>0</v>
      </c>
      <c r="Q150" s="79">
        <f t="shared" si="110"/>
        <v>-40.927536231883622</v>
      </c>
      <c r="R150" s="434">
        <f t="shared" si="111"/>
        <v>0.75443478260869823</v>
      </c>
      <c r="S150" s="629"/>
      <c r="T150" s="288">
        <v>0.53749999999999998</v>
      </c>
      <c r="U150" s="198">
        <v>0.55347222222222214</v>
      </c>
      <c r="V150" s="430">
        <v>5</v>
      </c>
      <c r="W150" s="427">
        <f t="shared" si="115"/>
        <v>22.999999999999918</v>
      </c>
      <c r="X150" s="253"/>
      <c r="Y150" s="253"/>
      <c r="Z150" s="254"/>
      <c r="AA150" s="254"/>
      <c r="AB150" s="616"/>
      <c r="AC150" s="616"/>
      <c r="AD150" s="443"/>
      <c r="AE150" s="443"/>
      <c r="AF150" s="78">
        <f t="shared" si="69"/>
        <v>-491.13043478260352</v>
      </c>
      <c r="AG150" s="160">
        <f t="shared" si="70"/>
        <v>0.75443478260869823</v>
      </c>
      <c r="AH150" s="617"/>
    </row>
    <row r="151" spans="1:37" s="255" customFormat="1" ht="19.2" customHeight="1">
      <c r="A151" s="627"/>
      <c r="B151" s="443" t="s">
        <v>163</v>
      </c>
      <c r="C151" s="258"/>
      <c r="D151" s="88" t="s">
        <v>152</v>
      </c>
      <c r="E151" s="90"/>
      <c r="F151" s="174">
        <v>55.51</v>
      </c>
      <c r="G151" s="85">
        <v>105</v>
      </c>
      <c r="H151" s="116">
        <f t="shared" si="112"/>
        <v>5828.55</v>
      </c>
      <c r="I151" s="302"/>
      <c r="J151" s="129">
        <v>8</v>
      </c>
      <c r="K151" s="85">
        <v>1500</v>
      </c>
      <c r="L151" s="118">
        <v>187.5</v>
      </c>
      <c r="M151" s="129">
        <v>8</v>
      </c>
      <c r="N151" s="74">
        <f t="shared" si="113"/>
        <v>1260.0000000000045</v>
      </c>
      <c r="O151" s="77">
        <f t="shared" si="114"/>
        <v>157.50000000000057</v>
      </c>
      <c r="P151" s="78">
        <f t="shared" si="109"/>
        <v>0</v>
      </c>
      <c r="Q151" s="79">
        <f t="shared" si="110"/>
        <v>-29.999999999999432</v>
      </c>
      <c r="R151" s="434">
        <f t="shared" si="111"/>
        <v>0.84000000000000308</v>
      </c>
      <c r="S151" s="629"/>
      <c r="T151" s="288">
        <v>0.70833333333333337</v>
      </c>
      <c r="U151" s="198">
        <v>0.71180555555555558</v>
      </c>
      <c r="V151" s="430">
        <v>5</v>
      </c>
      <c r="W151" s="427">
        <f t="shared" si="115"/>
        <v>4.9999999999999822</v>
      </c>
      <c r="X151" s="253"/>
      <c r="Y151" s="253"/>
      <c r="Z151" s="254"/>
      <c r="AA151" s="254"/>
      <c r="AB151" s="616"/>
      <c r="AC151" s="616"/>
      <c r="AD151" s="258"/>
      <c r="AE151" s="258"/>
      <c r="AF151" s="78">
        <f t="shared" si="69"/>
        <v>-239.99999999999545</v>
      </c>
      <c r="AG151" s="160">
        <f t="shared" si="70"/>
        <v>0.84000000000000308</v>
      </c>
      <c r="AH151" s="617"/>
    </row>
    <row r="152" spans="1:37" s="255" customFormat="1" ht="19.2" customHeight="1">
      <c r="A152" s="627"/>
      <c r="B152" s="443" t="s">
        <v>165</v>
      </c>
      <c r="C152" s="258"/>
      <c r="D152" s="88" t="s">
        <v>153</v>
      </c>
      <c r="E152" s="90"/>
      <c r="F152" s="174">
        <v>28.57</v>
      </c>
      <c r="G152" s="85">
        <v>1577</v>
      </c>
      <c r="H152" s="116">
        <f t="shared" si="112"/>
        <v>45054.89</v>
      </c>
      <c r="I152" s="302"/>
      <c r="J152" s="129">
        <v>8</v>
      </c>
      <c r="K152" s="85">
        <v>1500</v>
      </c>
      <c r="L152" s="118">
        <v>187.5</v>
      </c>
      <c r="M152" s="129">
        <v>8</v>
      </c>
      <c r="N152" s="74">
        <f t="shared" si="113"/>
        <v>1551.147540983608</v>
      </c>
      <c r="O152" s="77">
        <f t="shared" si="114"/>
        <v>193.893442622951</v>
      </c>
      <c r="P152" s="78">
        <f t="shared" si="109"/>
        <v>0</v>
      </c>
      <c r="Q152" s="79">
        <f t="shared" si="110"/>
        <v>6.3934426229509995</v>
      </c>
      <c r="R152" s="434">
        <f t="shared" si="111"/>
        <v>1.0340983606557386</v>
      </c>
      <c r="S152" s="629"/>
      <c r="T152" s="303">
        <v>0.71597222222222223</v>
      </c>
      <c r="U152" s="232">
        <v>0.7583333333333333</v>
      </c>
      <c r="V152" s="431">
        <v>6</v>
      </c>
      <c r="W152" s="427">
        <f t="shared" si="115"/>
        <v>60.999999999999943</v>
      </c>
      <c r="X152" s="256"/>
      <c r="Y152" s="256"/>
      <c r="Z152" s="254"/>
      <c r="AA152" s="254"/>
      <c r="AB152" s="616"/>
      <c r="AC152" s="616"/>
      <c r="AD152" s="258"/>
      <c r="AE152" s="258"/>
      <c r="AF152" s="78">
        <f t="shared" si="69"/>
        <v>51.147540983607996</v>
      </c>
      <c r="AG152" s="160">
        <f t="shared" si="70"/>
        <v>1.0340983606557386</v>
      </c>
      <c r="AH152" s="617"/>
    </row>
    <row r="153" spans="1:37" s="255" customFormat="1" ht="19.2" customHeight="1">
      <c r="A153" s="627"/>
      <c r="B153" s="443" t="s">
        <v>166</v>
      </c>
      <c r="C153" s="258"/>
      <c r="D153" s="292" t="s">
        <v>154</v>
      </c>
      <c r="E153" s="90"/>
      <c r="F153" s="174">
        <v>54.5</v>
      </c>
      <c r="G153" s="85">
        <v>295</v>
      </c>
      <c r="H153" s="116">
        <f t="shared" si="112"/>
        <v>16077.5</v>
      </c>
      <c r="I153" s="302"/>
      <c r="J153" s="129">
        <v>21</v>
      </c>
      <c r="K153" s="85">
        <v>1440</v>
      </c>
      <c r="L153" s="118">
        <v>68.571428571428569</v>
      </c>
      <c r="M153" s="129">
        <v>21</v>
      </c>
      <c r="N153" s="74">
        <f t="shared" si="113"/>
        <v>983.33333333333678</v>
      </c>
      <c r="O153" s="77">
        <f t="shared" si="114"/>
        <v>46.825396825396993</v>
      </c>
      <c r="P153" s="78">
        <f t="shared" si="109"/>
        <v>0</v>
      </c>
      <c r="Q153" s="79">
        <f t="shared" si="110"/>
        <v>-21.746031746031576</v>
      </c>
      <c r="R153" s="434">
        <f t="shared" si="111"/>
        <v>0.68287037037037279</v>
      </c>
      <c r="S153" s="629"/>
      <c r="T153" s="303">
        <v>0.7631944444444444</v>
      </c>
      <c r="U153" s="232">
        <v>0.77569444444444435</v>
      </c>
      <c r="V153" s="431">
        <v>7</v>
      </c>
      <c r="W153" s="427">
        <f t="shared" si="115"/>
        <v>17.999999999999936</v>
      </c>
      <c r="X153" s="256"/>
      <c r="Y153" s="256"/>
      <c r="Z153" s="254"/>
      <c r="AA153" s="254"/>
      <c r="AB153" s="616"/>
      <c r="AC153" s="616"/>
      <c r="AD153" s="258"/>
      <c r="AE153" s="258">
        <v>1</v>
      </c>
      <c r="AF153" s="78">
        <f t="shared" si="69"/>
        <v>-456.66666666666322</v>
      </c>
      <c r="AG153" s="160">
        <f t="shared" si="70"/>
        <v>0.68287037037037279</v>
      </c>
      <c r="AH153" s="617"/>
    </row>
    <row r="154" spans="1:37" s="255" customFormat="1" ht="19.2" customHeight="1">
      <c r="A154" s="627"/>
      <c r="B154" s="443">
        <v>0</v>
      </c>
      <c r="C154" s="258"/>
      <c r="D154" s="292"/>
      <c r="E154" s="90"/>
      <c r="F154" s="174" t="s">
        <v>161</v>
      </c>
      <c r="G154" s="85"/>
      <c r="H154" s="116">
        <f t="shared" si="112"/>
        <v>0</v>
      </c>
      <c r="I154" s="302"/>
      <c r="J154" s="129"/>
      <c r="K154" s="85"/>
      <c r="L154" s="118"/>
      <c r="M154" s="129"/>
      <c r="N154" s="74"/>
      <c r="O154" s="77"/>
      <c r="P154" s="78"/>
      <c r="Q154" s="79"/>
      <c r="R154" s="434"/>
      <c r="S154" s="629"/>
      <c r="T154" s="303"/>
      <c r="U154" s="232"/>
      <c r="V154" s="431"/>
      <c r="W154" s="427">
        <f t="shared" si="115"/>
        <v>0</v>
      </c>
      <c r="X154" s="256"/>
      <c r="Y154" s="256"/>
      <c r="Z154" s="254"/>
      <c r="AA154" s="254"/>
      <c r="AB154" s="616"/>
      <c r="AC154" s="616"/>
      <c r="AD154" s="258"/>
      <c r="AE154" s="258"/>
      <c r="AF154" s="78">
        <f t="shared" si="69"/>
        <v>0</v>
      </c>
      <c r="AG154" s="160" t="e">
        <f t="shared" si="70"/>
        <v>#DIV/0!</v>
      </c>
      <c r="AH154" s="617"/>
    </row>
    <row r="155" spans="1:37" s="255" customFormat="1" ht="19.2" customHeight="1">
      <c r="A155" s="627"/>
      <c r="B155" s="443">
        <v>0</v>
      </c>
      <c r="C155" s="258"/>
      <c r="D155" s="292"/>
      <c r="E155" s="90"/>
      <c r="F155" s="174" t="s">
        <v>161</v>
      </c>
      <c r="G155" s="85"/>
      <c r="H155" s="116">
        <f t="shared" si="112"/>
        <v>0</v>
      </c>
      <c r="I155" s="302"/>
      <c r="J155" s="129"/>
      <c r="K155" s="85"/>
      <c r="L155" s="118"/>
      <c r="M155" s="129"/>
      <c r="N155" s="74"/>
      <c r="O155" s="77"/>
      <c r="P155" s="78"/>
      <c r="Q155" s="79"/>
      <c r="R155" s="434"/>
      <c r="S155" s="629"/>
      <c r="T155" s="303"/>
      <c r="U155" s="232"/>
      <c r="V155" s="431"/>
      <c r="W155" s="427">
        <f t="shared" si="115"/>
        <v>0</v>
      </c>
      <c r="X155" s="256"/>
      <c r="Y155" s="256"/>
      <c r="Z155" s="254"/>
      <c r="AA155" s="254"/>
      <c r="AB155" s="616"/>
      <c r="AC155" s="616"/>
      <c r="AD155" s="258"/>
      <c r="AE155" s="258"/>
      <c r="AF155" s="78">
        <f t="shared" si="69"/>
        <v>0</v>
      </c>
      <c r="AG155" s="160" t="e">
        <f t="shared" si="70"/>
        <v>#DIV/0!</v>
      </c>
      <c r="AH155" s="617"/>
    </row>
    <row r="156" spans="1:37" s="255" customFormat="1" ht="19.2" customHeight="1">
      <c r="A156" s="627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2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434"/>
      <c r="S156" s="629"/>
      <c r="T156" s="303"/>
      <c r="U156" s="232"/>
      <c r="V156" s="431"/>
      <c r="W156" s="304">
        <f t="shared" si="115"/>
        <v>0</v>
      </c>
      <c r="X156" s="256"/>
      <c r="Y156" s="256"/>
      <c r="Z156" s="254"/>
      <c r="AA156" s="254"/>
      <c r="AB156" s="616"/>
      <c r="AC156" s="616"/>
      <c r="AD156" s="258"/>
      <c r="AE156" s="258"/>
      <c r="AF156" s="305"/>
      <c r="AG156" s="169"/>
      <c r="AH156" s="617"/>
    </row>
    <row r="157" spans="1:37" s="255" customFormat="1" ht="19.2" customHeight="1">
      <c r="A157" s="627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2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629"/>
      <c r="T157" s="303"/>
      <c r="U157" s="232"/>
      <c r="V157" s="431"/>
      <c r="W157" s="304">
        <f t="shared" si="115"/>
        <v>0</v>
      </c>
      <c r="X157" s="256"/>
      <c r="Y157" s="256"/>
      <c r="Z157" s="254"/>
      <c r="AA157" s="254"/>
      <c r="AB157" s="616"/>
      <c r="AC157" s="616"/>
      <c r="AD157" s="258"/>
      <c r="AE157" s="258"/>
      <c r="AF157" s="305"/>
      <c r="AG157" s="169"/>
      <c r="AH157" s="617"/>
    </row>
    <row r="158" spans="1:37" s="255" customFormat="1" ht="19.2" customHeight="1">
      <c r="A158" s="627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2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629"/>
      <c r="T158" s="303"/>
      <c r="U158" s="232"/>
      <c r="V158" s="431"/>
      <c r="W158" s="304">
        <f t="shared" si="115"/>
        <v>0</v>
      </c>
      <c r="X158" s="256"/>
      <c r="Y158" s="256"/>
      <c r="Z158" s="254"/>
      <c r="AA158" s="254"/>
      <c r="AB158" s="616"/>
      <c r="AC158" s="616"/>
      <c r="AD158" s="258"/>
      <c r="AE158" s="258"/>
      <c r="AF158" s="305"/>
      <c r="AG158" s="169"/>
      <c r="AH158" s="617"/>
    </row>
    <row r="159" spans="1:37" s="255" customFormat="1" ht="19.2" customHeight="1">
      <c r="A159" s="627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2"/>
        <v>0</v>
      </c>
      <c r="I159" s="302"/>
      <c r="J159" s="306"/>
      <c r="K159" s="217"/>
      <c r="L159" s="308"/>
      <c r="M159" s="433"/>
      <c r="N159" s="217"/>
      <c r="O159" s="262"/>
      <c r="P159" s="307"/>
      <c r="Q159" s="105"/>
      <c r="R159" s="169"/>
      <c r="S159" s="629"/>
      <c r="T159" s="303"/>
      <c r="U159" s="232"/>
      <c r="V159" s="431"/>
      <c r="W159" s="309">
        <f t="shared" si="115"/>
        <v>0</v>
      </c>
      <c r="X159" s="256"/>
      <c r="Y159" s="256"/>
      <c r="Z159" s="254"/>
      <c r="AA159" s="254"/>
      <c r="AB159" s="616"/>
      <c r="AC159" s="616"/>
      <c r="AD159" s="258"/>
      <c r="AE159" s="258"/>
      <c r="AF159" s="305"/>
      <c r="AG159" s="169"/>
      <c r="AH159" s="617"/>
    </row>
    <row r="160" spans="1:37" ht="19.2" customHeight="1">
      <c r="A160" s="627"/>
      <c r="B160" s="310">
        <v>0</v>
      </c>
      <c r="C160" s="191" t="s">
        <v>301</v>
      </c>
      <c r="D160" s="625" t="s">
        <v>219</v>
      </c>
      <c r="E160" s="626"/>
      <c r="F160" s="98"/>
      <c r="G160" s="238"/>
      <c r="H160" s="237"/>
      <c r="I160" s="101"/>
      <c r="J160" s="311">
        <v>12.166666666666666</v>
      </c>
      <c r="K160" s="311">
        <v>1740</v>
      </c>
      <c r="L160" s="312">
        <v>157.26190476190476</v>
      </c>
      <c r="M160" s="311">
        <f t="shared" ref="M160:O160" si="116">AVERAGE(M148:M159)</f>
        <v>12.166666666666666</v>
      </c>
      <c r="N160" s="311">
        <f t="shared" si="116"/>
        <v>1393.9449362694224</v>
      </c>
      <c r="O160" s="312">
        <f t="shared" si="116"/>
        <v>129.83076134277457</v>
      </c>
      <c r="P160" s="104">
        <f t="shared" ref="P160:P167" si="117">M160-J160</f>
        <v>0</v>
      </c>
      <c r="Q160" s="105">
        <f t="shared" ref="Q160:Q167" si="118">O160-L160</f>
        <v>-27.431143419130194</v>
      </c>
      <c r="R160" s="313">
        <f>O160/L160</f>
        <v>0.82557032193740076</v>
      </c>
      <c r="S160" s="629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616"/>
      <c r="AC160" s="616"/>
      <c r="AD160" s="110">
        <f>SUM(AD148:AD159)</f>
        <v>0</v>
      </c>
      <c r="AE160" s="110">
        <f>SUM(AE148:AE159)</f>
        <v>1</v>
      </c>
      <c r="AF160" s="104">
        <f t="shared" si="69"/>
        <v>-346.05506373057756</v>
      </c>
      <c r="AG160" s="169">
        <f t="shared" si="70"/>
        <v>0.80111777946518536</v>
      </c>
      <c r="AH160" s="617"/>
    </row>
    <row r="161" spans="1:34" ht="19.2" customHeight="1">
      <c r="A161" s="614" t="s">
        <v>302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2653.7</v>
      </c>
      <c r="H161" s="116">
        <f t="shared" ref="H161:H170" si="119">F161*G161</f>
        <v>79955.980999999985</v>
      </c>
      <c r="I161" s="443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7" si="120">G161/W161*60</f>
        <v>1113.4405594405591</v>
      </c>
      <c r="O161" s="118">
        <f t="shared" ref="O161:O167" si="121">N161/M161</f>
        <v>61.857808857808841</v>
      </c>
      <c r="P161" s="84">
        <f t="shared" si="117"/>
        <v>0</v>
      </c>
      <c r="Q161" s="119">
        <f t="shared" si="118"/>
        <v>-4.8088578088578302</v>
      </c>
      <c r="R161" s="437">
        <f t="shared" ref="R161:R167" si="122">O161/L161</f>
        <v>0.92786713286713252</v>
      </c>
      <c r="S161" s="615">
        <f>R173</f>
        <v>0.9283940362706764</v>
      </c>
      <c r="T161" s="80">
        <v>0.16666666666666666</v>
      </c>
      <c r="U161" s="80">
        <v>0.26597222222222222</v>
      </c>
      <c r="V161" s="443">
        <v>5</v>
      </c>
      <c r="W161" s="120">
        <f t="shared" ref="W161:W172" si="123">(U161-T161)*24*60</f>
        <v>143.00000000000003</v>
      </c>
      <c r="X161" s="126"/>
      <c r="Y161" s="126"/>
      <c r="Z161" s="84"/>
      <c r="AA161" s="84"/>
      <c r="AB161" s="616"/>
      <c r="AC161" s="616"/>
      <c r="AD161" s="443"/>
      <c r="AE161" s="443"/>
      <c r="AF161" s="84">
        <f t="shared" si="69"/>
        <v>-86.559440559440873</v>
      </c>
      <c r="AG161" s="437">
        <f t="shared" si="70"/>
        <v>0.92786713286713263</v>
      </c>
      <c r="AH161" s="615">
        <f>AG173</f>
        <v>0.93001815782101682</v>
      </c>
    </row>
    <row r="162" spans="1:34" ht="19.2" customHeight="1">
      <c r="A162" s="614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2868</v>
      </c>
      <c r="H162" s="116">
        <f t="shared" si="119"/>
        <v>98171.639999999985</v>
      </c>
      <c r="I162" s="443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0"/>
        <v>2150.9999999999991</v>
      </c>
      <c r="O162" s="118">
        <f t="shared" si="121"/>
        <v>165.4615384615384</v>
      </c>
      <c r="P162" s="84">
        <f t="shared" si="117"/>
        <v>0</v>
      </c>
      <c r="Q162" s="119">
        <f t="shared" si="118"/>
        <v>-7.61538461538467</v>
      </c>
      <c r="R162" s="437">
        <f t="shared" si="122"/>
        <v>0.95599999999999963</v>
      </c>
      <c r="S162" s="615"/>
      <c r="T162" s="80">
        <v>0.28125</v>
      </c>
      <c r="U162" s="80">
        <v>0.33680555555555558</v>
      </c>
      <c r="V162" s="443">
        <v>22</v>
      </c>
      <c r="W162" s="120">
        <f t="shared" si="123"/>
        <v>80.000000000000028</v>
      </c>
      <c r="X162" s="126">
        <v>0.27083333333333331</v>
      </c>
      <c r="Y162" s="126">
        <v>0.28055555555555556</v>
      </c>
      <c r="Z162" s="84"/>
      <c r="AA162" s="84"/>
      <c r="AB162" s="616"/>
      <c r="AC162" s="616"/>
      <c r="AD162" s="443"/>
      <c r="AE162" s="443"/>
      <c r="AF162" s="84">
        <f t="shared" si="69"/>
        <v>-99.000000000000909</v>
      </c>
      <c r="AG162" s="437">
        <f t="shared" si="70"/>
        <v>0.95599999999999963</v>
      </c>
      <c r="AH162" s="615"/>
    </row>
    <row r="163" spans="1:34" ht="19.2" customHeight="1">
      <c r="A163" s="614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2204.15</v>
      </c>
      <c r="H163" s="116">
        <f t="shared" si="119"/>
        <v>75448.054499999998</v>
      </c>
      <c r="I163" s="443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0"/>
        <v>2133.0483870967737</v>
      </c>
      <c r="O163" s="118">
        <f t="shared" si="121"/>
        <v>193.91348973607035</v>
      </c>
      <c r="P163" s="84">
        <f t="shared" si="117"/>
        <v>0</v>
      </c>
      <c r="Q163" s="119">
        <f t="shared" si="118"/>
        <v>-10.631964809384186</v>
      </c>
      <c r="R163" s="437">
        <f t="shared" si="122"/>
        <v>0.948021505376344</v>
      </c>
      <c r="S163" s="615"/>
      <c r="T163" s="80">
        <v>0.34166666666666667</v>
      </c>
      <c r="U163" s="80">
        <v>0.38472222222222224</v>
      </c>
      <c r="V163" s="443">
        <v>7</v>
      </c>
      <c r="W163" s="120">
        <f t="shared" si="123"/>
        <v>62.000000000000021</v>
      </c>
      <c r="X163" s="126"/>
      <c r="Y163" s="126"/>
      <c r="Z163" s="84"/>
      <c r="AA163" s="84"/>
      <c r="AB163" s="616"/>
      <c r="AC163" s="616"/>
      <c r="AD163" s="443"/>
      <c r="AE163" s="443">
        <v>1</v>
      </c>
      <c r="AF163" s="84">
        <f t="shared" si="69"/>
        <v>-116.95161290322631</v>
      </c>
      <c r="AG163" s="437">
        <f t="shared" si="70"/>
        <v>0.94802150537634389</v>
      </c>
      <c r="AH163" s="615"/>
    </row>
    <row r="164" spans="1:34" ht="19.2" customHeight="1">
      <c r="A164" s="614"/>
      <c r="B164" s="156" t="s">
        <v>165</v>
      </c>
      <c r="C164" s="156"/>
      <c r="D164" s="317" t="s">
        <v>160</v>
      </c>
      <c r="E164" s="317"/>
      <c r="F164" s="170">
        <v>36.409999999999997</v>
      </c>
      <c r="G164" s="85">
        <v>2108.8000000000002</v>
      </c>
      <c r="H164" s="116">
        <f t="shared" si="119"/>
        <v>76781.407999999996</v>
      </c>
      <c r="I164" s="443"/>
      <c r="J164" s="129">
        <v>10</v>
      </c>
      <c r="K164" s="85">
        <v>2769</v>
      </c>
      <c r="L164" s="118">
        <v>276.89999999999998</v>
      </c>
      <c r="M164" s="129">
        <v>10</v>
      </c>
      <c r="N164" s="85">
        <f t="shared" si="120"/>
        <v>2433.2307692307709</v>
      </c>
      <c r="O164" s="118">
        <f t="shared" si="121"/>
        <v>243.32307692307708</v>
      </c>
      <c r="P164" s="84">
        <f t="shared" si="117"/>
        <v>0</v>
      </c>
      <c r="Q164" s="119">
        <f t="shared" si="118"/>
        <v>-33.576923076922895</v>
      </c>
      <c r="R164" s="437">
        <f t="shared" si="122"/>
        <v>0.87873989499124994</v>
      </c>
      <c r="S164" s="615"/>
      <c r="T164" s="80">
        <v>0.4</v>
      </c>
      <c r="U164" s="80">
        <v>0.43611111111111112</v>
      </c>
      <c r="V164" s="443">
        <v>22</v>
      </c>
      <c r="W164" s="120">
        <f t="shared" si="123"/>
        <v>51.999999999999972</v>
      </c>
      <c r="X164" s="126">
        <v>0.3888888888888889</v>
      </c>
      <c r="Y164" s="126">
        <v>0.39930555555555558</v>
      </c>
      <c r="Z164" s="84"/>
      <c r="AA164" s="84"/>
      <c r="AB164" s="616"/>
      <c r="AC164" s="616"/>
      <c r="AD164" s="443"/>
      <c r="AE164" s="443"/>
      <c r="AF164" s="84">
        <f>N164-K164</f>
        <v>-335.76923076922913</v>
      </c>
      <c r="AG164" s="437">
        <f>N164/K164</f>
        <v>0.87873989499124983</v>
      </c>
      <c r="AH164" s="615"/>
    </row>
    <row r="165" spans="1:34" ht="19.2" customHeight="1">
      <c r="A165" s="614"/>
      <c r="B165" s="156" t="s">
        <v>189</v>
      </c>
      <c r="C165" s="112"/>
      <c r="D165" s="113" t="s">
        <v>169</v>
      </c>
      <c r="E165" s="114"/>
      <c r="F165" s="130">
        <v>25.64</v>
      </c>
      <c r="G165" s="85">
        <v>1139</v>
      </c>
      <c r="H165" s="116">
        <f t="shared" si="119"/>
        <v>29203.96</v>
      </c>
      <c r="I165" s="443"/>
      <c r="J165" s="129">
        <v>10</v>
      </c>
      <c r="K165" s="85">
        <v>1500</v>
      </c>
      <c r="L165" s="118">
        <v>150</v>
      </c>
      <c r="M165" s="129">
        <v>10</v>
      </c>
      <c r="N165" s="85">
        <f t="shared" si="120"/>
        <v>1485.6521739130435</v>
      </c>
      <c r="O165" s="118">
        <f t="shared" si="121"/>
        <v>148.56521739130434</v>
      </c>
      <c r="P165" s="84">
        <f t="shared" si="117"/>
        <v>0</v>
      </c>
      <c r="Q165" s="119">
        <f t="shared" si="118"/>
        <v>-1.4347826086956559</v>
      </c>
      <c r="R165" s="437">
        <f t="shared" si="122"/>
        <v>0.99043478260869566</v>
      </c>
      <c r="S165" s="615"/>
      <c r="T165" s="80">
        <v>0.44097222222222221</v>
      </c>
      <c r="U165" s="80">
        <v>0.47291666666666665</v>
      </c>
      <c r="V165" s="443">
        <v>7</v>
      </c>
      <c r="W165" s="120">
        <f t="shared" si="123"/>
        <v>46</v>
      </c>
      <c r="X165" s="126"/>
      <c r="Y165" s="126"/>
      <c r="Z165" s="84"/>
      <c r="AA165" s="84"/>
      <c r="AB165" s="616"/>
      <c r="AC165" s="616"/>
      <c r="AD165" s="443"/>
      <c r="AE165" s="443"/>
      <c r="AF165" s="84">
        <f>N165-K165</f>
        <v>-14.347826086956502</v>
      </c>
      <c r="AG165" s="437">
        <f>N165/K165</f>
        <v>0.99043478260869566</v>
      </c>
      <c r="AH165" s="615"/>
    </row>
    <row r="166" spans="1:34" ht="19.2" customHeight="1">
      <c r="A166" s="614"/>
      <c r="B166" s="156" t="s">
        <v>165</v>
      </c>
      <c r="C166" s="156"/>
      <c r="D166" s="113" t="s">
        <v>160</v>
      </c>
      <c r="E166" s="114"/>
      <c r="F166" s="170">
        <v>36.409999999999997</v>
      </c>
      <c r="G166" s="85">
        <v>3163.2</v>
      </c>
      <c r="H166" s="116">
        <f t="shared" si="119"/>
        <v>115172.11199999998</v>
      </c>
      <c r="I166" s="443">
        <v>1</v>
      </c>
      <c r="J166" s="129">
        <v>10</v>
      </c>
      <c r="K166" s="85">
        <v>2769</v>
      </c>
      <c r="L166" s="118">
        <v>276.89999999999998</v>
      </c>
      <c r="M166" s="129">
        <v>10</v>
      </c>
      <c r="N166" s="85">
        <f t="shared" si="120"/>
        <v>2464.8311688311674</v>
      </c>
      <c r="O166" s="118">
        <f t="shared" si="121"/>
        <v>246.48311688311674</v>
      </c>
      <c r="P166" s="84">
        <f t="shared" si="117"/>
        <v>0</v>
      </c>
      <c r="Q166" s="119">
        <f t="shared" si="118"/>
        <v>-30.416883116883241</v>
      </c>
      <c r="R166" s="437">
        <f t="shared" si="122"/>
        <v>0.89015210141970658</v>
      </c>
      <c r="S166" s="615"/>
      <c r="T166" s="80">
        <v>0.5131944444444444</v>
      </c>
      <c r="U166" s="80">
        <v>0.56666666666666665</v>
      </c>
      <c r="V166" s="443">
        <v>5</v>
      </c>
      <c r="W166" s="120">
        <f t="shared" si="123"/>
        <v>77.000000000000043</v>
      </c>
      <c r="X166" s="126"/>
      <c r="Y166" s="126"/>
      <c r="Z166" s="84"/>
      <c r="AA166" s="84"/>
      <c r="AB166" s="616"/>
      <c r="AC166" s="616"/>
      <c r="AD166" s="443"/>
      <c r="AE166" s="443"/>
      <c r="AF166" s="84">
        <f>N166-K166</f>
        <v>-304.16883116883264</v>
      </c>
      <c r="AG166" s="437">
        <f>N166/K166</f>
        <v>0.89015210141970658</v>
      </c>
      <c r="AH166" s="615"/>
    </row>
    <row r="167" spans="1:34" ht="19.2" customHeight="1">
      <c r="A167" s="614"/>
      <c r="B167" s="156" t="s">
        <v>165</v>
      </c>
      <c r="C167" s="156"/>
      <c r="D167" s="292" t="s">
        <v>159</v>
      </c>
      <c r="E167" s="90"/>
      <c r="F167" s="170">
        <v>34.229999999999997</v>
      </c>
      <c r="G167" s="85">
        <v>1186.8499999999999</v>
      </c>
      <c r="H167" s="116">
        <f t="shared" si="119"/>
        <v>40625.875499999995</v>
      </c>
      <c r="I167" s="443">
        <v>1</v>
      </c>
      <c r="J167" s="129">
        <v>11</v>
      </c>
      <c r="K167" s="85">
        <v>2250</v>
      </c>
      <c r="L167" s="118">
        <v>204.54545454545453</v>
      </c>
      <c r="M167" s="129">
        <v>11</v>
      </c>
      <c r="N167" s="85">
        <f t="shared" si="120"/>
        <v>2157.9090909090883</v>
      </c>
      <c r="O167" s="118">
        <f t="shared" si="121"/>
        <v>196.17355371900803</v>
      </c>
      <c r="P167" s="84">
        <f t="shared" si="117"/>
        <v>0</v>
      </c>
      <c r="Q167" s="119">
        <f t="shared" si="118"/>
        <v>-8.371900826446506</v>
      </c>
      <c r="R167" s="437">
        <f t="shared" si="122"/>
        <v>0.95907070707070596</v>
      </c>
      <c r="S167" s="615"/>
      <c r="T167" s="80">
        <v>0.5708333333333333</v>
      </c>
      <c r="U167" s="80">
        <v>0.59375</v>
      </c>
      <c r="V167" s="443">
        <v>6</v>
      </c>
      <c r="W167" s="120">
        <f t="shared" si="123"/>
        <v>33.000000000000043</v>
      </c>
      <c r="X167" s="126"/>
      <c r="Y167" s="126"/>
      <c r="Z167" s="84"/>
      <c r="AA167" s="84"/>
      <c r="AB167" s="616"/>
      <c r="AC167" s="616"/>
      <c r="AD167" s="443"/>
      <c r="AE167" s="443"/>
      <c r="AF167" s="84">
        <f t="shared" si="69"/>
        <v>-92.090909090911737</v>
      </c>
      <c r="AG167" s="437">
        <f t="shared" si="70"/>
        <v>0.95907070707070585</v>
      </c>
      <c r="AH167" s="615"/>
    </row>
    <row r="168" spans="1:34" ht="19.2" customHeight="1">
      <c r="A168" s="614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19"/>
        <v>0</v>
      </c>
      <c r="I168" s="443"/>
      <c r="J168" s="129"/>
      <c r="K168" s="85"/>
      <c r="L168" s="118"/>
      <c r="M168" s="129"/>
      <c r="N168" s="85"/>
      <c r="O168" s="118"/>
      <c r="P168" s="84"/>
      <c r="Q168" s="119"/>
      <c r="R168" s="437"/>
      <c r="S168" s="615"/>
      <c r="T168" s="80"/>
      <c r="U168" s="80"/>
      <c r="V168" s="443"/>
      <c r="W168" s="120">
        <f t="shared" si="123"/>
        <v>0</v>
      </c>
      <c r="X168" s="126"/>
      <c r="Y168" s="126"/>
      <c r="Z168" s="84"/>
      <c r="AA168" s="84"/>
      <c r="AB168" s="616"/>
      <c r="AC168" s="616"/>
      <c r="AD168" s="443"/>
      <c r="AE168" s="443"/>
      <c r="AF168" s="84">
        <f t="shared" si="69"/>
        <v>0</v>
      </c>
      <c r="AG168" s="437" t="e">
        <f t="shared" si="70"/>
        <v>#DIV/0!</v>
      </c>
      <c r="AH168" s="615"/>
    </row>
    <row r="169" spans="1:34" ht="19.2" customHeight="1">
      <c r="A169" s="614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19"/>
        <v>0</v>
      </c>
      <c r="I169" s="443"/>
      <c r="J169" s="129"/>
      <c r="K169" s="85"/>
      <c r="L169" s="118"/>
      <c r="M169" s="129"/>
      <c r="N169" s="85"/>
      <c r="O169" s="118"/>
      <c r="P169" s="84"/>
      <c r="Q169" s="119"/>
      <c r="R169" s="437"/>
      <c r="S169" s="615"/>
      <c r="T169" s="80"/>
      <c r="U169" s="80"/>
      <c r="V169" s="443"/>
      <c r="W169" s="120">
        <f t="shared" si="123"/>
        <v>0</v>
      </c>
      <c r="X169" s="126"/>
      <c r="Y169" s="126"/>
      <c r="Z169" s="84"/>
      <c r="AA169" s="84"/>
      <c r="AB169" s="616"/>
      <c r="AC169" s="616"/>
      <c r="AD169" s="443"/>
      <c r="AE169" s="443"/>
      <c r="AF169" s="84">
        <f t="shared" si="69"/>
        <v>0</v>
      </c>
      <c r="AG169" s="437" t="e">
        <f t="shared" si="70"/>
        <v>#DIV/0!</v>
      </c>
      <c r="AH169" s="615"/>
    </row>
    <row r="170" spans="1:34" ht="19.2" customHeight="1">
      <c r="A170" s="614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19"/>
        <v>0</v>
      </c>
      <c r="I170" s="443"/>
      <c r="J170" s="129"/>
      <c r="K170" s="85"/>
      <c r="L170" s="118"/>
      <c r="M170" s="129"/>
      <c r="N170" s="85"/>
      <c r="O170" s="118"/>
      <c r="P170" s="84"/>
      <c r="Q170" s="119"/>
      <c r="R170" s="437"/>
      <c r="S170" s="615"/>
      <c r="T170" s="80"/>
      <c r="U170" s="80"/>
      <c r="V170" s="443"/>
      <c r="W170" s="120">
        <f t="shared" si="123"/>
        <v>0</v>
      </c>
      <c r="X170" s="126"/>
      <c r="Y170" s="126"/>
      <c r="Z170" s="84"/>
      <c r="AA170" s="84"/>
      <c r="AB170" s="616"/>
      <c r="AC170" s="616"/>
      <c r="AD170" s="443"/>
      <c r="AE170" s="443"/>
      <c r="AF170" s="84">
        <f t="shared" si="69"/>
        <v>0</v>
      </c>
      <c r="AG170" s="437" t="e">
        <f t="shared" si="70"/>
        <v>#DIV/0!</v>
      </c>
      <c r="AH170" s="615"/>
    </row>
    <row r="171" spans="1:34" ht="19.2" customHeight="1">
      <c r="A171" s="614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2"/>
        <v>0</v>
      </c>
      <c r="I171" s="443"/>
      <c r="J171" s="129"/>
      <c r="K171" s="85"/>
      <c r="L171" s="118"/>
      <c r="M171" s="129"/>
      <c r="N171" s="85"/>
      <c r="O171" s="118"/>
      <c r="P171" s="84"/>
      <c r="Q171" s="119"/>
      <c r="R171" s="437"/>
      <c r="S171" s="615"/>
      <c r="T171" s="80"/>
      <c r="U171" s="80"/>
      <c r="V171" s="443"/>
      <c r="W171" s="120">
        <f t="shared" si="123"/>
        <v>0</v>
      </c>
      <c r="X171" s="126"/>
      <c r="Y171" s="126"/>
      <c r="Z171" s="84"/>
      <c r="AA171" s="84"/>
      <c r="AB171" s="616"/>
      <c r="AC171" s="616"/>
      <c r="AD171" s="443"/>
      <c r="AE171" s="443"/>
      <c r="AF171" s="84"/>
      <c r="AG171" s="437"/>
      <c r="AH171" s="615"/>
    </row>
    <row r="172" spans="1:34" ht="19.2" customHeight="1">
      <c r="A172" s="614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2"/>
        <v>0</v>
      </c>
      <c r="I172" s="443"/>
      <c r="J172" s="129"/>
      <c r="K172" s="85"/>
      <c r="L172" s="118"/>
      <c r="M172" s="129"/>
      <c r="N172" s="85"/>
      <c r="O172" s="118"/>
      <c r="P172" s="84"/>
      <c r="Q172" s="119"/>
      <c r="R172" s="437"/>
      <c r="S172" s="615"/>
      <c r="T172" s="80"/>
      <c r="U172" s="80"/>
      <c r="V172" s="443"/>
      <c r="W172" s="120">
        <f t="shared" si="123"/>
        <v>0</v>
      </c>
      <c r="X172" s="126"/>
      <c r="Y172" s="126"/>
      <c r="Z172" s="84"/>
      <c r="AA172" s="84"/>
      <c r="AB172" s="616"/>
      <c r="AC172" s="616"/>
      <c r="AD172" s="443"/>
      <c r="AE172" s="443"/>
      <c r="AF172" s="84"/>
      <c r="AG172" s="437"/>
      <c r="AH172" s="615"/>
    </row>
    <row r="173" spans="1:34" ht="19.2" customHeight="1">
      <c r="A173" s="614"/>
      <c r="B173" s="156">
        <v>0</v>
      </c>
      <c r="C173" s="132" t="s">
        <v>303</v>
      </c>
      <c r="D173" s="612" t="s">
        <v>219</v>
      </c>
      <c r="E173" s="612"/>
      <c r="F173" s="133"/>
      <c r="G173" s="103"/>
      <c r="H173" s="134"/>
      <c r="I173" s="135"/>
      <c r="J173" s="103">
        <v>11.857142857142858</v>
      </c>
      <c r="K173" s="103">
        <v>2141.1428571428573</v>
      </c>
      <c r="L173" s="136">
        <v>193.23349983349979</v>
      </c>
      <c r="M173" s="103">
        <f t="shared" ref="M173:O173" si="124">AVERAGE(M161:M172)</f>
        <v>11.857142857142858</v>
      </c>
      <c r="N173" s="103">
        <f t="shared" si="124"/>
        <v>1991.3017356316288</v>
      </c>
      <c r="O173" s="136">
        <f t="shared" si="124"/>
        <v>179.39682885313195</v>
      </c>
      <c r="P173" s="84">
        <f>M173-J173</f>
        <v>0</v>
      </c>
      <c r="Q173" s="119">
        <f>O173-L173</f>
        <v>-13.836670980367842</v>
      </c>
      <c r="R173" s="137">
        <f>O173/L173</f>
        <v>0.9283940362706764</v>
      </c>
      <c r="S173" s="615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613"/>
      <c r="AC173" s="613"/>
      <c r="AD173" s="139">
        <f>SUM(AD161:AD172)</f>
        <v>0</v>
      </c>
      <c r="AE173" s="139">
        <f>SUM(AE161:AE172)</f>
        <v>1</v>
      </c>
      <c r="AF173" s="84">
        <f t="shared" si="69"/>
        <v>-149.84112151122849</v>
      </c>
      <c r="AG173" s="437">
        <f t="shared" si="70"/>
        <v>0.93001815782101682</v>
      </c>
      <c r="AH173" s="615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M1:O2"/>
    <mergeCell ref="P1:S2"/>
    <mergeCell ref="T1:Y2"/>
    <mergeCell ref="AB1:AC2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112" priority="4" operator="greaterThan">
      <formula>0</formula>
    </cfRule>
  </conditionalFormatting>
  <conditionalFormatting sqref="Q5:Q173">
    <cfRule type="cellIs" dxfId="111" priority="7" operator="lessThan">
      <formula>0</formula>
    </cfRule>
  </conditionalFormatting>
  <conditionalFormatting sqref="R5:R173">
    <cfRule type="cellIs" dxfId="110" priority="5" operator="greaterThan">
      <formula>1</formula>
    </cfRule>
    <cfRule type="cellIs" dxfId="109" priority="6" operator="lessThan">
      <formula>0.8</formula>
    </cfRule>
  </conditionalFormatting>
  <conditionalFormatting sqref="S5:S11">
    <cfRule type="cellIs" dxfId="108" priority="20" operator="lessThan">
      <formula>0.8</formula>
    </cfRule>
  </conditionalFormatting>
  <conditionalFormatting sqref="S21:S29 AH21:AH29">
    <cfRule type="cellIs" dxfId="107" priority="13" operator="lessThan">
      <formula>0.8</formula>
    </cfRule>
  </conditionalFormatting>
  <conditionalFormatting sqref="S43:S72">
    <cfRule type="cellIs" dxfId="106" priority="10" operator="lessThan">
      <formula>0.8</formula>
    </cfRule>
  </conditionalFormatting>
  <conditionalFormatting sqref="S82:S91 AH82:AH91">
    <cfRule type="cellIs" dxfId="105" priority="12" operator="lessThan">
      <formula>0.8</formula>
    </cfRule>
  </conditionalFormatting>
  <conditionalFormatting sqref="S95:S104">
    <cfRule type="cellIs" dxfId="104" priority="8" operator="lessThan">
      <formula>0.8</formula>
    </cfRule>
  </conditionalFormatting>
  <conditionalFormatting sqref="S108:S109">
    <cfRule type="cellIs" dxfId="103" priority="9" operator="lessThan">
      <formula>0.8</formula>
    </cfRule>
  </conditionalFormatting>
  <conditionalFormatting sqref="S122:S135 AH135">
    <cfRule type="cellIs" dxfId="102" priority="21" operator="lessThan">
      <formula>0.8</formula>
    </cfRule>
  </conditionalFormatting>
  <conditionalFormatting sqref="S137 AH137">
    <cfRule type="cellIs" dxfId="101" priority="17" operator="lessThan">
      <formula>0.8</formula>
    </cfRule>
  </conditionalFormatting>
  <conditionalFormatting sqref="S139:S146 AH139:AH146">
    <cfRule type="cellIs" dxfId="100" priority="11" operator="lessThan">
      <formula>0.8</formula>
    </cfRule>
  </conditionalFormatting>
  <conditionalFormatting sqref="S148:S150">
    <cfRule type="cellIs" dxfId="99" priority="14" operator="lessThan">
      <formula>0.8</formula>
    </cfRule>
  </conditionalFormatting>
  <conditionalFormatting sqref="S161">
    <cfRule type="cellIs" dxfId="98" priority="25" operator="lessThan">
      <formula>0.8</formula>
    </cfRule>
  </conditionalFormatting>
  <conditionalFormatting sqref="AF5:AF173">
    <cfRule type="cellIs" dxfId="97" priority="3" operator="lessThan">
      <formula>0</formula>
    </cfRule>
  </conditionalFormatting>
  <conditionalFormatting sqref="AG5:AG173">
    <cfRule type="cellIs" dxfId="96" priority="1" operator="greaterThan">
      <formula>1</formula>
    </cfRule>
    <cfRule type="cellIs" dxfId="95" priority="2" operator="lessThan">
      <formula>0.8</formula>
    </cfRule>
  </conditionalFormatting>
  <conditionalFormatting sqref="AH5:AH9 S17:S18 AH17:AH18 AH57 AH95">
    <cfRule type="cellIs" dxfId="94" priority="26" operator="lessThan">
      <formula>0.8</formula>
    </cfRule>
  </conditionalFormatting>
  <conditionalFormatting sqref="AH31 S31:S32">
    <cfRule type="cellIs" dxfId="93" priority="22" operator="lessThan">
      <formula>0.8</formula>
    </cfRule>
  </conditionalFormatting>
  <conditionalFormatting sqref="AH70:AH72">
    <cfRule type="cellIs" dxfId="92" priority="19" operator="lessThan">
      <formula>0.8</formula>
    </cfRule>
  </conditionalFormatting>
  <conditionalFormatting sqref="AH97:AH98">
    <cfRule type="cellIs" dxfId="91" priority="18" operator="lessThan">
      <formula>0.8</formula>
    </cfRule>
  </conditionalFormatting>
  <conditionalFormatting sqref="AH100:AH107">
    <cfRule type="cellIs" dxfId="90" priority="16" operator="lessThan">
      <formula>0.8</formula>
    </cfRule>
  </conditionalFormatting>
  <conditionalFormatting sqref="AH109">
    <cfRule type="cellIs" dxfId="89" priority="24" operator="lessThan">
      <formula>0.8</formula>
    </cfRule>
  </conditionalFormatting>
  <conditionalFormatting sqref="AH148">
    <cfRule type="cellIs" dxfId="88" priority="23" operator="lessThan">
      <formula>0.8</formula>
    </cfRule>
  </conditionalFormatting>
  <conditionalFormatting sqref="AH150">
    <cfRule type="cellIs" dxfId="87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N36" sqref="N36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544" t="s">
        <v>0</v>
      </c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6"/>
      <c r="N1" s="1"/>
      <c r="O1" s="1"/>
    </row>
    <row r="2" spans="2:17" ht="27.75" customHeight="1">
      <c r="B2" s="544"/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6"/>
      <c r="N2" s="1"/>
      <c r="O2" s="1"/>
    </row>
    <row r="3" spans="2:17" ht="46.5" customHeight="1">
      <c r="B3" s="537" t="s">
        <v>1</v>
      </c>
      <c r="C3" s="498"/>
      <c r="D3" s="547" t="s">
        <v>309</v>
      </c>
      <c r="E3" s="548"/>
      <c r="F3" s="537" t="s">
        <v>2</v>
      </c>
      <c r="G3" s="498"/>
      <c r="H3" s="549">
        <v>232566.40000000002</v>
      </c>
      <c r="I3" s="550"/>
      <c r="J3" s="537" t="s">
        <v>3</v>
      </c>
      <c r="K3" s="498"/>
      <c r="L3" s="542">
        <v>7055109.2220387934</v>
      </c>
      <c r="M3" s="543"/>
      <c r="N3" s="27"/>
      <c r="O3" s="27"/>
      <c r="P3" s="27"/>
      <c r="Q3" s="27"/>
    </row>
    <row r="4" spans="2:17" ht="24" customHeight="1">
      <c r="B4" s="537" t="s">
        <v>37</v>
      </c>
      <c r="C4" s="498"/>
      <c r="D4" s="529" t="s">
        <v>37</v>
      </c>
      <c r="E4" s="530"/>
      <c r="F4" s="540" t="s">
        <v>38</v>
      </c>
      <c r="G4" s="541"/>
      <c r="H4" s="540" t="s">
        <v>39</v>
      </c>
      <c r="I4" s="541"/>
      <c r="J4" s="540" t="s">
        <v>40</v>
      </c>
      <c r="K4" s="541"/>
      <c r="L4" s="542" t="s">
        <v>41</v>
      </c>
      <c r="M4" s="543"/>
      <c r="N4" s="523" t="s">
        <v>4</v>
      </c>
      <c r="O4" s="524"/>
      <c r="P4" s="524" t="s">
        <v>5</v>
      </c>
      <c r="Q4" s="524"/>
    </row>
    <row r="5" spans="2:17" ht="24" customHeight="1">
      <c r="B5" s="525" t="s">
        <v>35</v>
      </c>
      <c r="C5" s="504"/>
      <c r="D5" s="529" t="s">
        <v>42</v>
      </c>
      <c r="E5" s="530"/>
      <c r="F5" s="529" t="s">
        <v>6</v>
      </c>
      <c r="G5" s="530"/>
      <c r="H5" s="531" t="s">
        <v>7</v>
      </c>
      <c r="I5" s="532"/>
      <c r="J5" s="533" t="s">
        <v>8</v>
      </c>
      <c r="K5" s="534"/>
      <c r="L5" s="535" t="s">
        <v>9</v>
      </c>
      <c r="M5" s="536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526"/>
      <c r="C6" s="527"/>
      <c r="D6" s="537" t="s">
        <v>10</v>
      </c>
      <c r="E6" s="498"/>
      <c r="F6" s="538">
        <f>AVERAGE(D13:O13,P13:Q13,D30:F30,G30:H30,J30:M30)</f>
        <v>438.0451299249508</v>
      </c>
      <c r="G6" s="539"/>
      <c r="H6" s="517">
        <f>AVERAGE(D13:P13,Q13)</f>
        <v>140.64628269751603</v>
      </c>
      <c r="I6" s="518"/>
      <c r="J6" s="517">
        <f>AVERAGE(D30:F30,G30:H30)</f>
        <v>816.68672790624009</v>
      </c>
      <c r="K6" s="518"/>
      <c r="L6" s="519">
        <f>AVERAGE(J30:M30)</f>
        <v>1005.6390977443609</v>
      </c>
      <c r="M6" s="520"/>
      <c r="N6" s="521">
        <v>0</v>
      </c>
      <c r="O6" s="506">
        <v>0</v>
      </c>
      <c r="P6" s="522">
        <v>3</v>
      </c>
      <c r="Q6" s="506">
        <v>2</v>
      </c>
    </row>
    <row r="7" spans="2:17" s="5" customFormat="1" ht="39.6" customHeight="1">
      <c r="B7" s="526"/>
      <c r="C7" s="527"/>
      <c r="D7" s="507" t="s">
        <v>11</v>
      </c>
      <c r="E7" s="508"/>
      <c r="F7" s="509">
        <f>AVERAGE(D14:O14,P14:Q14,D31:F31,J31:M31,G31:H31)</f>
        <v>385.23301245522447</v>
      </c>
      <c r="G7" s="510"/>
      <c r="H7" s="511">
        <f>AVERAGE(D14:P14,Q14)</f>
        <v>127.61105092937137</v>
      </c>
      <c r="I7" s="512"/>
      <c r="J7" s="511">
        <f>AVERAGE(D31:F31,G31:H31)</f>
        <v>748.13133077595865</v>
      </c>
      <c r="K7" s="512"/>
      <c r="L7" s="513">
        <f>AVERAGE(J31:M31)</f>
        <v>833.28697989479258</v>
      </c>
      <c r="M7" s="514"/>
      <c r="N7" s="521"/>
      <c r="O7" s="506"/>
      <c r="P7" s="522"/>
      <c r="Q7" s="506"/>
    </row>
    <row r="8" spans="2:17" s="5" customFormat="1" ht="39.6" customHeight="1">
      <c r="B8" s="528"/>
      <c r="C8" s="505"/>
      <c r="D8" s="507" t="s">
        <v>12</v>
      </c>
      <c r="E8" s="508"/>
      <c r="F8" s="515">
        <f>AVERAGE(D15:O15,P15:Q15,D32:F32,G32:H32,J32:M32)</f>
        <v>0.88851480121295512</v>
      </c>
      <c r="G8" s="516"/>
      <c r="H8" s="515">
        <f>AVERAGE(D15:O15,P15:Q15)</f>
        <v>0.90163016162962606</v>
      </c>
      <c r="I8" s="516"/>
      <c r="J8" s="515">
        <f>AVERAGE(D32:F32,G32:H32)</f>
        <v>0.90007208298435692</v>
      </c>
      <c r="K8" s="516"/>
      <c r="L8" s="515">
        <f>AVERAGE(J32:M32)</f>
        <v>0.82816443754035496</v>
      </c>
      <c r="M8" s="516"/>
      <c r="N8" s="521"/>
      <c r="O8" s="506"/>
      <c r="P8" s="522"/>
      <c r="Q8" s="506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494" t="s">
        <v>43</v>
      </c>
      <c r="C10" s="500"/>
      <c r="D10" s="501" t="s">
        <v>44</v>
      </c>
      <c r="E10" s="502"/>
      <c r="F10" s="502"/>
      <c r="G10" s="502"/>
      <c r="H10" s="502"/>
      <c r="I10" s="502"/>
      <c r="J10" s="502"/>
      <c r="K10" s="502"/>
      <c r="L10" s="502"/>
      <c r="M10" s="502"/>
      <c r="N10" s="502"/>
      <c r="O10" s="502"/>
      <c r="P10" s="502"/>
      <c r="Q10" s="503"/>
    </row>
    <row r="11" spans="2:17" ht="17.25" customHeight="1">
      <c r="B11" s="485" t="s">
        <v>45</v>
      </c>
      <c r="C11" s="504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487"/>
      <c r="C12" s="505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489" t="s">
        <v>35</v>
      </c>
      <c r="C13" s="13" t="s">
        <v>59</v>
      </c>
      <c r="D13" s="18">
        <v>145.19860036119712</v>
      </c>
      <c r="E13" s="18">
        <v>124.55678104575163</v>
      </c>
      <c r="F13" s="18">
        <v>140.54871871048343</v>
      </c>
      <c r="G13" s="18">
        <v>314.46258503401361</v>
      </c>
      <c r="H13" s="18">
        <v>232.14285714285714</v>
      </c>
      <c r="I13" s="18">
        <v>83.968524251805988</v>
      </c>
      <c r="J13" s="18">
        <v>95.890264877880966</v>
      </c>
      <c r="K13" s="18">
        <v>75.633900928792571</v>
      </c>
      <c r="L13" s="18">
        <v>101.22641999383487</v>
      </c>
      <c r="M13" s="18">
        <v>81.156479160865132</v>
      </c>
      <c r="N13" s="18">
        <v>85.057509352425186</v>
      </c>
      <c r="O13" s="18">
        <v>147.85714285714286</v>
      </c>
      <c r="P13" s="18">
        <v>191.348174048174</v>
      </c>
      <c r="Q13" s="20">
        <v>150</v>
      </c>
    </row>
    <row r="14" spans="2:17" ht="39.9" customHeight="1">
      <c r="B14" s="490"/>
      <c r="C14" s="13" t="s">
        <v>60</v>
      </c>
      <c r="D14" s="18">
        <v>126.12447995074402</v>
      </c>
      <c r="E14" s="18">
        <v>102.96679689881216</v>
      </c>
      <c r="F14" s="18">
        <v>126.84289593365475</v>
      </c>
      <c r="G14" s="18">
        <v>282.15500848656063</v>
      </c>
      <c r="H14" s="18">
        <v>225.23867823034803</v>
      </c>
      <c r="I14" s="18">
        <v>75.255052609577263</v>
      </c>
      <c r="J14" s="18">
        <v>76.871380594701961</v>
      </c>
      <c r="K14" s="18">
        <v>65.541646627104313</v>
      </c>
      <c r="L14" s="18">
        <v>93.728959501307529</v>
      </c>
      <c r="M14" s="18">
        <v>78.370296380591597</v>
      </c>
      <c r="N14" s="18">
        <v>75.747238854119232</v>
      </c>
      <c r="O14" s="18">
        <v>149.20469576719611</v>
      </c>
      <c r="P14" s="18">
        <v>176.94809433981882</v>
      </c>
      <c r="Q14" s="8">
        <v>131.55948883666292</v>
      </c>
    </row>
    <row r="15" spans="2:17" ht="39.9" customHeight="1">
      <c r="B15" s="491"/>
      <c r="C15" s="28" t="s">
        <v>61</v>
      </c>
      <c r="D15" s="9">
        <f t="shared" ref="D15:Q15" si="0">D14/D13</f>
        <v>0.86863426807831357</v>
      </c>
      <c r="E15" s="9">
        <f t="shared" si="0"/>
        <v>0.82666552582946784</v>
      </c>
      <c r="F15" s="9">
        <f t="shared" si="0"/>
        <v>0.90248347403962226</v>
      </c>
      <c r="G15" s="9">
        <f t="shared" si="0"/>
        <v>0.89726098402467036</v>
      </c>
      <c r="H15" s="9">
        <f t="shared" si="0"/>
        <v>0.97025892160765304</v>
      </c>
      <c r="I15" s="9">
        <f t="shared" si="0"/>
        <v>0.89622931068672063</v>
      </c>
      <c r="J15" s="9">
        <f t="shared" si="0"/>
        <v>0.80165990460658221</v>
      </c>
      <c r="K15" s="9">
        <f t="shared" si="0"/>
        <v>0.86656440858194184</v>
      </c>
      <c r="L15" s="9">
        <f t="shared" si="0"/>
        <v>0.92593375827196134</v>
      </c>
      <c r="M15" s="9">
        <f t="shared" si="0"/>
        <v>0.96566900376800635</v>
      </c>
      <c r="N15" s="9">
        <f t="shared" si="0"/>
        <v>0.89054146342646823</v>
      </c>
      <c r="O15" s="9">
        <f t="shared" si="0"/>
        <v>1.0091138844158192</v>
      </c>
      <c r="P15" s="30">
        <f t="shared" si="0"/>
        <v>0.92474409656645173</v>
      </c>
      <c r="Q15" s="10">
        <f t="shared" si="0"/>
        <v>0.87706325891108616</v>
      </c>
    </row>
    <row r="16" spans="2:17" ht="22.8" customHeight="1">
      <c r="B16" s="492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0.16666666666666666</v>
      </c>
      <c r="H16" s="11">
        <v>0.16666666666666666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0.5</v>
      </c>
      <c r="O16" s="21">
        <v>0.70833333333333337</v>
      </c>
      <c r="P16" s="11">
        <v>0.16666666666666666</v>
      </c>
      <c r="Q16" s="31">
        <v>0.41111111111111098</v>
      </c>
    </row>
    <row r="17" spans="2:23" ht="22.8" customHeight="1">
      <c r="B17" s="493"/>
      <c r="C17" s="28" t="s">
        <v>36</v>
      </c>
      <c r="D17" s="11">
        <v>0.66458333333333308</v>
      </c>
      <c r="E17" s="11">
        <v>0.55069444444444426</v>
      </c>
      <c r="F17" s="11">
        <v>0.56527777777777777</v>
      </c>
      <c r="G17" s="11">
        <v>0.56527777777777766</v>
      </c>
      <c r="H17" s="11">
        <v>0.58611111111111114</v>
      </c>
      <c r="I17" s="11">
        <v>0.64444444444444438</v>
      </c>
      <c r="J17" s="11">
        <v>0.59722222222222221</v>
      </c>
      <c r="K17" s="11">
        <v>0.63472222222222208</v>
      </c>
      <c r="L17" s="11">
        <v>0.92083333333333328</v>
      </c>
      <c r="M17" s="11">
        <v>0.92986111111111114</v>
      </c>
      <c r="N17" s="11">
        <v>0.92569444444444426</v>
      </c>
      <c r="O17" s="21">
        <v>0.7715277777777777</v>
      </c>
      <c r="P17" s="11">
        <v>0.51527777777777772</v>
      </c>
      <c r="Q17" s="31">
        <v>0.62430555555555534</v>
      </c>
    </row>
    <row r="18" spans="2:23" ht="22.8" customHeight="1">
      <c r="B18" s="496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497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496" t="s">
        <v>16</v>
      </c>
      <c r="C20" s="32" t="s">
        <v>64</v>
      </c>
      <c r="D20" s="33">
        <v>1</v>
      </c>
      <c r="E20" s="33" t="s">
        <v>15</v>
      </c>
      <c r="F20" s="33" t="s">
        <v>15</v>
      </c>
      <c r="G20" s="33">
        <v>1</v>
      </c>
      <c r="H20" s="33" t="s">
        <v>15</v>
      </c>
      <c r="I20" s="33" t="s">
        <v>15</v>
      </c>
      <c r="J20" s="33" t="s">
        <v>15</v>
      </c>
      <c r="K20" s="33" t="s">
        <v>15</v>
      </c>
      <c r="L20" s="33" t="s">
        <v>15</v>
      </c>
      <c r="M20" s="33" t="s">
        <v>15</v>
      </c>
      <c r="N20" s="33" t="s">
        <v>15</v>
      </c>
      <c r="O20" s="33" t="s">
        <v>15</v>
      </c>
      <c r="P20" s="33">
        <v>1</v>
      </c>
      <c r="Q20" s="34"/>
    </row>
    <row r="21" spans="2:23" ht="22.8" customHeight="1">
      <c r="B21" s="497"/>
      <c r="C21" s="32" t="s">
        <v>66</v>
      </c>
      <c r="D21" s="33" t="s">
        <v>15</v>
      </c>
      <c r="E21" s="33" t="s">
        <v>15</v>
      </c>
      <c r="F21" s="33" t="s">
        <v>15</v>
      </c>
      <c r="G21" s="33" t="s">
        <v>15</v>
      </c>
      <c r="H21" s="33">
        <v>1</v>
      </c>
      <c r="I21" s="33" t="s">
        <v>15</v>
      </c>
      <c r="J21" s="33" t="s">
        <v>15</v>
      </c>
      <c r="K21" s="33" t="s">
        <v>15</v>
      </c>
      <c r="L21" s="33">
        <v>1</v>
      </c>
      <c r="M21" s="33" t="s">
        <v>15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475" t="s">
        <v>67</v>
      </c>
      <c r="C22" s="498"/>
      <c r="D22" s="35">
        <v>17.75</v>
      </c>
      <c r="E22" s="35">
        <v>15.375</v>
      </c>
      <c r="F22" s="35">
        <v>14.333333333333334</v>
      </c>
      <c r="G22" s="35">
        <v>6</v>
      </c>
      <c r="H22" s="35">
        <v>6.5</v>
      </c>
      <c r="I22" s="35">
        <v>17.666666666666668</v>
      </c>
      <c r="J22" s="35">
        <v>16.666666666666668</v>
      </c>
      <c r="K22" s="35">
        <v>19</v>
      </c>
      <c r="L22" s="35">
        <v>15.6</v>
      </c>
      <c r="M22" s="35">
        <v>18.666666666666668</v>
      </c>
      <c r="N22" s="35">
        <v>17.666666666666668</v>
      </c>
      <c r="O22" s="35">
        <v>11.666666666666666</v>
      </c>
      <c r="P22" s="35">
        <v>12</v>
      </c>
      <c r="Q22" s="36">
        <v>11.5</v>
      </c>
    </row>
    <row r="23" spans="2:23" ht="22.8" customHeight="1">
      <c r="B23" s="475" t="s">
        <v>68</v>
      </c>
      <c r="C23" s="498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475" t="s">
        <v>69</v>
      </c>
      <c r="C24" s="498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477" t="s">
        <v>70</v>
      </c>
      <c r="C25" s="499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494"/>
      <c r="C27" s="495"/>
      <c r="D27" s="479" t="s">
        <v>71</v>
      </c>
      <c r="E27" s="480"/>
      <c r="F27" s="480"/>
      <c r="G27" s="480"/>
      <c r="H27" s="481"/>
      <c r="I27" s="482" t="s">
        <v>72</v>
      </c>
      <c r="J27" s="483"/>
      <c r="K27" s="483"/>
      <c r="L27" s="483"/>
      <c r="M27" s="484"/>
      <c r="N27" s="27"/>
      <c r="O27" s="27"/>
      <c r="P27" s="27"/>
      <c r="Q27" s="27"/>
    </row>
    <row r="28" spans="2:23" ht="17.25" customHeight="1">
      <c r="B28" s="485" t="s">
        <v>45</v>
      </c>
      <c r="C28" s="486"/>
      <c r="D28" s="37">
        <v>1</v>
      </c>
      <c r="E28" s="411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487"/>
      <c r="C29" s="488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489" t="s">
        <v>35</v>
      </c>
      <c r="C30" s="41" t="s">
        <v>59</v>
      </c>
      <c r="D30" s="19">
        <v>195.1219512195122</v>
      </c>
      <c r="E30" s="414">
        <v>942.85714285714289</v>
      </c>
      <c r="F30" s="18">
        <v>860.86956521739125</v>
      </c>
      <c r="G30" s="18">
        <v>939.13043478260863</v>
      </c>
      <c r="H30" s="413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490"/>
      <c r="C31" s="41" t="s">
        <v>60</v>
      </c>
      <c r="D31" s="43">
        <v>158.38221181013955</v>
      </c>
      <c r="E31" s="7">
        <v>870.60294913420046</v>
      </c>
      <c r="F31" s="7">
        <v>781.06084157700604</v>
      </c>
      <c r="G31" s="7">
        <v>899.57834757834723</v>
      </c>
      <c r="H31" s="413">
        <v>1031.0323037800997</v>
      </c>
      <c r="I31" s="403">
        <v>0</v>
      </c>
      <c r="J31" s="7">
        <v>716.64285714285847</v>
      </c>
      <c r="K31" s="7">
        <v>809.94999999999959</v>
      </c>
      <c r="L31" s="7">
        <v>867.69487374698599</v>
      </c>
      <c r="M31" s="8">
        <v>938.86018868932626</v>
      </c>
      <c r="N31" s="27"/>
      <c r="O31" s="27"/>
      <c r="P31" s="27"/>
      <c r="Q31" s="27"/>
    </row>
    <row r="32" spans="2:23" ht="39.9" customHeight="1">
      <c r="B32" s="491"/>
      <c r="C32" s="412" t="s">
        <v>61</v>
      </c>
      <c r="D32" s="44">
        <f t="shared" ref="D32:M32" si="1">D31/D30</f>
        <v>0.81170883552696516</v>
      </c>
      <c r="E32" s="9">
        <f t="shared" si="1"/>
        <v>0.92336676423324293</v>
      </c>
      <c r="F32" s="9">
        <f t="shared" si="1"/>
        <v>0.90729289678137071</v>
      </c>
      <c r="G32" s="9">
        <f t="shared" si="1"/>
        <v>0.95788435158805496</v>
      </c>
      <c r="H32" s="9">
        <f t="shared" si="1"/>
        <v>0.90010756679215054</v>
      </c>
      <c r="I32" s="43">
        <f t="shared" si="1"/>
        <v>0</v>
      </c>
      <c r="J32" s="9">
        <f t="shared" si="1"/>
        <v>0.76007575757575896</v>
      </c>
      <c r="K32" s="9">
        <f t="shared" si="1"/>
        <v>0.8590378787878783</v>
      </c>
      <c r="L32" s="9">
        <f t="shared" si="1"/>
        <v>0.86769487374698595</v>
      </c>
      <c r="M32" s="10">
        <f t="shared" si="1"/>
        <v>0.82584924005079619</v>
      </c>
      <c r="N32" s="27"/>
      <c r="O32" s="27"/>
      <c r="P32" s="27"/>
      <c r="Q32" s="27"/>
    </row>
    <row r="33" spans="2:17" ht="28.8" customHeight="1">
      <c r="B33" s="492" t="s">
        <v>62</v>
      </c>
      <c r="C33" s="412" t="s">
        <v>63</v>
      </c>
      <c r="D33" s="45">
        <v>0.17013888888888887</v>
      </c>
      <c r="E33" s="11">
        <v>0.17361111111111113</v>
      </c>
      <c r="F33" s="11">
        <v>0.17708333333333334</v>
      </c>
      <c r="G33" s="11">
        <v>3170.7692307692228</v>
      </c>
      <c r="H33" s="31">
        <v>0.17500000000000002</v>
      </c>
      <c r="I33" s="45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493"/>
      <c r="C34" s="412" t="s">
        <v>36</v>
      </c>
      <c r="D34" s="45">
        <v>0.40763888888888877</v>
      </c>
      <c r="E34" s="11">
        <v>0.35694444444444445</v>
      </c>
      <c r="F34" s="11">
        <v>0.30555555555555552</v>
      </c>
      <c r="G34" s="11">
        <v>1167.7777777777769</v>
      </c>
      <c r="H34" s="31">
        <v>0.42777777777777781</v>
      </c>
      <c r="I34" s="22">
        <v>0</v>
      </c>
      <c r="J34" s="11">
        <v>0.79166666666666663</v>
      </c>
      <c r="K34" s="11">
        <v>0.91041666666666676</v>
      </c>
      <c r="L34" s="11">
        <v>0.96111111111111114</v>
      </c>
      <c r="M34" s="12">
        <v>46298.072916666664</v>
      </c>
      <c r="N34" s="27"/>
      <c r="O34" s="27"/>
      <c r="P34" s="27"/>
      <c r="Q34" s="27"/>
    </row>
    <row r="35" spans="2:17" ht="28.8" customHeight="1">
      <c r="B35" s="475" t="s">
        <v>67</v>
      </c>
      <c r="C35" s="476"/>
      <c r="D35" s="46">
        <v>10.25</v>
      </c>
      <c r="E35" s="47">
        <v>3.5</v>
      </c>
      <c r="F35" s="47">
        <v>3.8333333333333335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475" t="s">
        <v>68</v>
      </c>
      <c r="C36" s="476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475" t="s">
        <v>69</v>
      </c>
      <c r="C37" s="476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477" t="s">
        <v>70</v>
      </c>
      <c r="C38" s="478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86" priority="1" operator="lessThan">
      <formula>0.8</formula>
    </cfRule>
  </conditionalFormatting>
  <conditionalFormatting sqref="D15:Q15">
    <cfRule type="cellIs" dxfId="85" priority="3" operator="lessThan">
      <formula>0.8</formula>
    </cfRule>
  </conditionalFormatting>
  <conditionalFormatting sqref="J32:M32">
    <cfRule type="cellIs" dxfId="84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I9" sqref="I9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197</v>
      </c>
      <c r="B1" s="320"/>
      <c r="C1" s="321"/>
      <c r="D1" s="322" t="s">
        <v>198</v>
      </c>
      <c r="E1" s="323">
        <f>SUM(G5:G124)</f>
        <v>98623</v>
      </c>
      <c r="F1" s="324" t="s">
        <v>3</v>
      </c>
      <c r="G1" s="325">
        <f>SUM(H5:H124)</f>
        <v>1774305.8384415582</v>
      </c>
      <c r="H1" s="326" t="s">
        <v>199</v>
      </c>
      <c r="I1" s="327">
        <f>+J16+J64+J24+J38+J51+J81+J100+J91+J57+J124+J111</f>
        <v>50.683333333333337</v>
      </c>
      <c r="J1" s="592" t="s">
        <v>200</v>
      </c>
      <c r="K1" s="593"/>
      <c r="L1" s="594"/>
      <c r="M1" s="592" t="s">
        <v>201</v>
      </c>
      <c r="N1" s="593"/>
      <c r="O1" s="593"/>
      <c r="P1" s="593"/>
      <c r="Q1" s="593"/>
      <c r="R1" s="594"/>
    </row>
    <row r="2" spans="1:18" ht="26.25" customHeight="1" thickBot="1">
      <c r="A2" s="598" t="s">
        <v>258</v>
      </c>
      <c r="B2" s="599"/>
      <c r="C2" s="329"/>
      <c r="D2" s="417" t="s">
        <v>203</v>
      </c>
      <c r="E2" s="330">
        <f>AVERAGE(L16,L24,L38,L51,L100,L111,L91)</f>
        <v>619.41331746397907</v>
      </c>
      <c r="F2" s="331" t="s">
        <v>80</v>
      </c>
      <c r="G2" s="332">
        <f>G1/E1</f>
        <v>17.990791584534623</v>
      </c>
      <c r="H2" s="333" t="s">
        <v>204</v>
      </c>
      <c r="I2" s="334">
        <f>COUNT(I5:I124)</f>
        <v>0</v>
      </c>
      <c r="J2" s="595"/>
      <c r="K2" s="596"/>
      <c r="L2" s="597"/>
      <c r="M2" s="595"/>
      <c r="N2" s="596"/>
      <c r="O2" s="596"/>
      <c r="P2" s="596"/>
      <c r="Q2" s="596"/>
      <c r="R2" s="597"/>
    </row>
    <row r="3" spans="1:18" ht="23.25" customHeight="1">
      <c r="A3" s="600" t="s">
        <v>205</v>
      </c>
      <c r="B3" s="602" t="s">
        <v>206</v>
      </c>
      <c r="C3" s="419"/>
      <c r="D3" s="603" t="s">
        <v>207</v>
      </c>
      <c r="E3" s="603"/>
      <c r="F3" s="604" t="s">
        <v>83</v>
      </c>
      <c r="G3" s="605" t="s">
        <v>208</v>
      </c>
      <c r="H3" s="606" t="s">
        <v>209</v>
      </c>
      <c r="I3" s="607" t="s">
        <v>210</v>
      </c>
      <c r="J3" s="580" t="s">
        <v>211</v>
      </c>
      <c r="K3" s="582" t="s">
        <v>212</v>
      </c>
      <c r="L3" s="584" t="s">
        <v>203</v>
      </c>
      <c r="M3" s="609" t="s">
        <v>88</v>
      </c>
      <c r="N3" s="609"/>
      <c r="O3" s="580" t="s">
        <v>168</v>
      </c>
      <c r="P3" s="610" t="s">
        <v>213</v>
      </c>
      <c r="Q3" s="580" t="s">
        <v>214</v>
      </c>
      <c r="R3" s="580"/>
    </row>
    <row r="4" spans="1:18" ht="15.75" customHeight="1">
      <c r="A4" s="601"/>
      <c r="B4" s="602"/>
      <c r="C4" s="419"/>
      <c r="D4" s="603"/>
      <c r="E4" s="603"/>
      <c r="F4" s="604"/>
      <c r="G4" s="605"/>
      <c r="H4" s="606"/>
      <c r="I4" s="608"/>
      <c r="J4" s="581"/>
      <c r="K4" s="583"/>
      <c r="L4" s="585"/>
      <c r="M4" s="423" t="s">
        <v>90</v>
      </c>
      <c r="N4" s="423" t="s">
        <v>91</v>
      </c>
      <c r="O4" s="581"/>
      <c r="P4" s="611"/>
      <c r="Q4" s="335" t="s">
        <v>215</v>
      </c>
      <c r="R4" s="335" t="s">
        <v>216</v>
      </c>
    </row>
    <row r="5" spans="1:18">
      <c r="A5" s="586" t="s">
        <v>217</v>
      </c>
      <c r="B5" s="336" t="s">
        <v>189</v>
      </c>
      <c r="C5" s="336"/>
      <c r="D5" s="337" t="s">
        <v>170</v>
      </c>
      <c r="E5" s="338"/>
      <c r="F5" s="339">
        <v>29.85</v>
      </c>
      <c r="G5" s="415">
        <v>264</v>
      </c>
      <c r="H5" s="340">
        <f>F5*G5</f>
        <v>7880.4000000000005</v>
      </c>
      <c r="I5" s="421"/>
      <c r="J5" s="341">
        <v>10</v>
      </c>
      <c r="K5" s="342">
        <f t="shared" ref="K5:K8" si="0">G5/P5*60</f>
        <v>1760.0000000000064</v>
      </c>
      <c r="L5" s="343">
        <f t="shared" ref="L5:L8" si="1">K5/J5</f>
        <v>176.00000000000063</v>
      </c>
      <c r="M5" s="344">
        <v>0.41111111111111098</v>
      </c>
      <c r="N5" s="344">
        <v>0.41736111111111096</v>
      </c>
      <c r="O5" s="335">
        <v>5</v>
      </c>
      <c r="P5" s="424">
        <f t="shared" ref="P5:P8" si="2">(N5-M5)*24*60</f>
        <v>8.999999999999968</v>
      </c>
      <c r="Q5" s="345"/>
      <c r="R5" s="345"/>
    </row>
    <row r="6" spans="1:18">
      <c r="A6" s="586"/>
      <c r="B6" s="336" t="s">
        <v>189</v>
      </c>
      <c r="C6" s="336"/>
      <c r="D6" s="337" t="s">
        <v>194</v>
      </c>
      <c r="E6" s="338"/>
      <c r="F6" s="339">
        <v>30</v>
      </c>
      <c r="G6" s="415">
        <v>231</v>
      </c>
      <c r="H6" s="340">
        <f t="shared" ref="H6:H15" si="3">F6*G6</f>
        <v>6930</v>
      </c>
      <c r="I6" s="421"/>
      <c r="J6" s="341">
        <v>12</v>
      </c>
      <c r="K6" s="342">
        <f t="shared" si="0"/>
        <v>769.99999999999943</v>
      </c>
      <c r="L6" s="343">
        <f t="shared" si="1"/>
        <v>64.166666666666615</v>
      </c>
      <c r="M6" s="344">
        <v>0.42083333333333317</v>
      </c>
      <c r="N6" s="344">
        <v>0.43333333333333318</v>
      </c>
      <c r="O6" s="335">
        <v>5</v>
      </c>
      <c r="P6" s="424">
        <f t="shared" si="2"/>
        <v>18.000000000000014</v>
      </c>
      <c r="Q6" s="335"/>
      <c r="R6" s="335"/>
    </row>
    <row r="7" spans="1:18">
      <c r="A7" s="586"/>
      <c r="B7" s="336" t="s">
        <v>189</v>
      </c>
      <c r="C7" s="336"/>
      <c r="D7" s="337" t="s">
        <v>171</v>
      </c>
      <c r="E7" s="338"/>
      <c r="F7" s="339">
        <v>29.52</v>
      </c>
      <c r="G7" s="415">
        <v>2238</v>
      </c>
      <c r="H7" s="340">
        <f t="shared" si="3"/>
        <v>66065.759999999995</v>
      </c>
      <c r="I7" s="421"/>
      <c r="J7" s="341">
        <v>12</v>
      </c>
      <c r="K7" s="342">
        <f t="shared" si="0"/>
        <v>1814.5945945945955</v>
      </c>
      <c r="L7" s="343">
        <f t="shared" si="1"/>
        <v>151.21621621621628</v>
      </c>
      <c r="M7" s="344">
        <v>0.43888888888888872</v>
      </c>
      <c r="N7" s="344">
        <v>0.49027777777777759</v>
      </c>
      <c r="O7" s="335">
        <v>5</v>
      </c>
      <c r="P7" s="424">
        <f t="shared" si="2"/>
        <v>73.999999999999972</v>
      </c>
      <c r="Q7" s="345"/>
      <c r="R7" s="345"/>
    </row>
    <row r="8" spans="1:18">
      <c r="A8" s="586"/>
      <c r="B8" s="336" t="s">
        <v>189</v>
      </c>
      <c r="C8" s="336"/>
      <c r="D8" s="337" t="s">
        <v>195</v>
      </c>
      <c r="E8" s="338"/>
      <c r="F8" s="339">
        <v>30.95</v>
      </c>
      <c r="G8" s="415">
        <v>3722</v>
      </c>
      <c r="H8" s="340">
        <f t="shared" si="3"/>
        <v>115195.9</v>
      </c>
      <c r="I8" s="421"/>
      <c r="J8" s="341">
        <v>12</v>
      </c>
      <c r="K8" s="342">
        <f t="shared" si="0"/>
        <v>1618.2608695652175</v>
      </c>
      <c r="L8" s="343">
        <f t="shared" si="1"/>
        <v>134.85507246376812</v>
      </c>
      <c r="M8" s="344">
        <v>0.52847222222222201</v>
      </c>
      <c r="N8" s="344">
        <v>0.62430555555555534</v>
      </c>
      <c r="O8" s="335">
        <v>5</v>
      </c>
      <c r="P8" s="424">
        <f t="shared" si="2"/>
        <v>138</v>
      </c>
      <c r="Q8" s="345"/>
      <c r="R8" s="345"/>
    </row>
    <row r="9" spans="1:18">
      <c r="A9" s="586"/>
      <c r="B9" s="336">
        <v>0</v>
      </c>
      <c r="C9" s="336"/>
      <c r="D9" s="337"/>
      <c r="E9" s="338"/>
      <c r="F9" s="339" t="s">
        <v>161</v>
      </c>
      <c r="G9" s="416"/>
      <c r="H9" s="340"/>
      <c r="I9" s="421"/>
      <c r="J9" s="341"/>
      <c r="K9" s="342"/>
      <c r="L9" s="343"/>
      <c r="M9" s="344"/>
      <c r="N9" s="344"/>
      <c r="O9" s="335"/>
      <c r="P9" s="424"/>
      <c r="Q9" s="345"/>
      <c r="R9" s="345"/>
    </row>
    <row r="10" spans="1:18">
      <c r="A10" s="586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421"/>
      <c r="J10" s="341"/>
      <c r="K10" s="342"/>
      <c r="L10" s="343"/>
      <c r="M10" s="344"/>
      <c r="N10" s="344"/>
      <c r="O10" s="335"/>
      <c r="P10" s="424"/>
      <c r="Q10" s="345"/>
      <c r="R10" s="345"/>
    </row>
    <row r="11" spans="1:18">
      <c r="A11" s="586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421"/>
      <c r="J11" s="341"/>
      <c r="K11" s="342"/>
      <c r="L11" s="343"/>
      <c r="M11" s="344"/>
      <c r="N11" s="344"/>
      <c r="O11" s="335"/>
      <c r="P11" s="424"/>
      <c r="Q11" s="345"/>
      <c r="R11" s="345"/>
    </row>
    <row r="12" spans="1:18">
      <c r="A12" s="587"/>
      <c r="B12" s="336">
        <v>0</v>
      </c>
      <c r="C12" s="420"/>
      <c r="D12" s="337"/>
      <c r="E12" s="338"/>
      <c r="F12" s="339" t="s">
        <v>161</v>
      </c>
      <c r="G12" s="418"/>
      <c r="H12" s="340">
        <f t="shared" si="3"/>
        <v>0</v>
      </c>
      <c r="I12" s="421"/>
      <c r="J12" s="341"/>
      <c r="K12" s="342"/>
      <c r="L12" s="343"/>
      <c r="M12" s="344"/>
      <c r="N12" s="344"/>
      <c r="O12" s="335"/>
      <c r="P12" s="424"/>
      <c r="Q12" s="345"/>
      <c r="R12" s="335"/>
    </row>
    <row r="13" spans="1:18">
      <c r="A13" s="587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421"/>
      <c r="J13" s="341"/>
      <c r="K13" s="342"/>
      <c r="L13" s="343"/>
      <c r="M13" s="344"/>
      <c r="N13" s="344"/>
      <c r="O13" s="335"/>
      <c r="P13" s="424"/>
      <c r="Q13" s="335"/>
      <c r="R13" s="335"/>
    </row>
    <row r="14" spans="1:18">
      <c r="A14" s="587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421"/>
      <c r="J14" s="341"/>
      <c r="K14" s="342"/>
      <c r="L14" s="343"/>
      <c r="M14" s="344"/>
      <c r="N14" s="344"/>
      <c r="O14" s="335"/>
      <c r="P14" s="424"/>
      <c r="Q14" s="335"/>
      <c r="R14" s="335"/>
    </row>
    <row r="15" spans="1:18">
      <c r="A15" s="587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421"/>
      <c r="J15" s="341"/>
      <c r="K15" s="342"/>
      <c r="L15" s="343"/>
      <c r="M15" s="344"/>
      <c r="N15" s="344"/>
      <c r="O15" s="335"/>
      <c r="P15" s="424"/>
      <c r="Q15" s="335"/>
      <c r="R15" s="335"/>
    </row>
    <row r="16" spans="1:18" ht="15.75" customHeight="1">
      <c r="A16" s="588"/>
      <c r="B16" s="336">
        <v>0</v>
      </c>
      <c r="C16" s="349" t="s">
        <v>218</v>
      </c>
      <c r="D16" s="571" t="s">
        <v>219</v>
      </c>
      <c r="E16" s="571"/>
      <c r="F16" s="350"/>
      <c r="G16" s="351"/>
      <c r="H16" s="352"/>
      <c r="I16" s="353"/>
      <c r="J16" s="354">
        <f>AVERAGE(J5:J15)</f>
        <v>11.5</v>
      </c>
      <c r="K16" s="354">
        <f>AVERAGE(K5:K15)</f>
        <v>1490.7138660399546</v>
      </c>
      <c r="L16" s="355">
        <f>AVERAGE(L5:L15)</f>
        <v>131.55948883666292</v>
      </c>
      <c r="M16" s="344"/>
      <c r="N16" s="344"/>
      <c r="O16" s="342"/>
      <c r="P16" s="342"/>
      <c r="Q16" s="343"/>
      <c r="R16" s="343"/>
    </row>
    <row r="17" spans="1:18" ht="15.75" customHeight="1">
      <c r="A17" s="589" t="s">
        <v>220</v>
      </c>
      <c r="B17" s="336">
        <v>0</v>
      </c>
      <c r="C17" s="420"/>
      <c r="D17" s="337" t="s">
        <v>172</v>
      </c>
      <c r="E17" s="337"/>
      <c r="F17" s="339" t="s">
        <v>161</v>
      </c>
      <c r="G17" s="419">
        <v>2238</v>
      </c>
      <c r="H17" s="356">
        <f t="shared" ref="H17:H23" si="4">F17*G17</f>
        <v>0</v>
      </c>
      <c r="I17" s="357"/>
      <c r="J17" s="341">
        <v>10</v>
      </c>
      <c r="K17" s="342">
        <f t="shared" ref="K17:K20" si="5">G17/P17*60</f>
        <v>1637.5609756097563</v>
      </c>
      <c r="L17" s="343">
        <f>K17/J17</f>
        <v>163.75609756097563</v>
      </c>
      <c r="M17" s="344">
        <v>0.17013888888888887</v>
      </c>
      <c r="N17" s="344">
        <v>0.2270833333333333</v>
      </c>
      <c r="O17" s="335">
        <v>5</v>
      </c>
      <c r="P17" s="424">
        <f>(N17-M17)*24*60</f>
        <v>81.999999999999986</v>
      </c>
      <c r="Q17" s="335"/>
      <c r="R17" s="335"/>
    </row>
    <row r="18" spans="1:18" ht="15.75" customHeight="1">
      <c r="A18" s="589"/>
      <c r="B18" s="336">
        <v>0</v>
      </c>
      <c r="C18" s="420"/>
      <c r="D18" s="337" t="s">
        <v>259</v>
      </c>
      <c r="E18" s="337"/>
      <c r="F18" s="339" t="s">
        <v>161</v>
      </c>
      <c r="G18" s="418">
        <v>2640</v>
      </c>
      <c r="H18" s="340">
        <f t="shared" si="4"/>
        <v>0</v>
      </c>
      <c r="I18" s="421"/>
      <c r="J18" s="341">
        <v>10</v>
      </c>
      <c r="K18" s="342">
        <f t="shared" si="5"/>
        <v>1616.3265306122453</v>
      </c>
      <c r="L18" s="343">
        <f t="shared" ref="L18" si="6">K18/J18</f>
        <v>161.63265306122452</v>
      </c>
      <c r="M18" s="344">
        <v>0.23055555555555551</v>
      </c>
      <c r="N18" s="344">
        <v>0.29861111111111105</v>
      </c>
      <c r="O18" s="335">
        <v>5</v>
      </c>
      <c r="P18" s="424">
        <f t="shared" ref="P18:P20" si="7">(N18-M18)*24*60</f>
        <v>97.999999999999972</v>
      </c>
      <c r="Q18" s="345"/>
      <c r="R18" s="345"/>
    </row>
    <row r="19" spans="1:18" ht="15.75" customHeight="1">
      <c r="A19" s="589"/>
      <c r="B19" s="336">
        <v>0</v>
      </c>
      <c r="C19" s="420"/>
      <c r="D19" s="337" t="s">
        <v>221</v>
      </c>
      <c r="E19" s="337"/>
      <c r="F19" s="339" t="s">
        <v>161</v>
      </c>
      <c r="G19" s="418">
        <v>231</v>
      </c>
      <c r="H19" s="340">
        <f t="shared" si="4"/>
        <v>0</v>
      </c>
      <c r="I19" s="421"/>
      <c r="J19" s="341">
        <v>12</v>
      </c>
      <c r="K19" s="342">
        <f t="shared" si="5"/>
        <v>1540.0000000000055</v>
      </c>
      <c r="L19" s="343">
        <f>K19/J19</f>
        <v>128.3333333333338</v>
      </c>
      <c r="M19" s="344">
        <v>0.30208333333333326</v>
      </c>
      <c r="N19" s="344">
        <v>0.30833333333333324</v>
      </c>
      <c r="O19" s="335">
        <v>5</v>
      </c>
      <c r="P19" s="424">
        <f t="shared" si="7"/>
        <v>8.999999999999968</v>
      </c>
      <c r="Q19" s="345"/>
      <c r="R19" s="345"/>
    </row>
    <row r="20" spans="1:18" ht="15.75" customHeight="1">
      <c r="A20" s="590"/>
      <c r="B20" s="336">
        <v>0</v>
      </c>
      <c r="C20" s="420"/>
      <c r="D20" s="337" t="s">
        <v>222</v>
      </c>
      <c r="E20" s="337"/>
      <c r="F20" s="339" t="s">
        <v>161</v>
      </c>
      <c r="G20" s="418">
        <v>3722</v>
      </c>
      <c r="H20" s="340">
        <f t="shared" si="4"/>
        <v>0</v>
      </c>
      <c r="I20" s="421"/>
      <c r="J20" s="341">
        <v>9</v>
      </c>
      <c r="K20" s="342">
        <f t="shared" si="5"/>
        <v>1618.2608695652175</v>
      </c>
      <c r="L20" s="343">
        <f t="shared" ref="L20" si="8">K20/J20</f>
        <v>179.80676328502418</v>
      </c>
      <c r="M20" s="344">
        <v>0.31180555555555545</v>
      </c>
      <c r="N20" s="344">
        <v>0.40763888888888877</v>
      </c>
      <c r="O20" s="335">
        <v>5</v>
      </c>
      <c r="P20" s="424">
        <f t="shared" si="7"/>
        <v>138</v>
      </c>
      <c r="Q20" s="345"/>
      <c r="R20" s="345"/>
    </row>
    <row r="21" spans="1:18" ht="15.75" customHeight="1">
      <c r="A21" s="590"/>
      <c r="B21" s="336">
        <v>0</v>
      </c>
      <c r="C21" s="420"/>
      <c r="D21" s="337"/>
      <c r="E21" s="337"/>
      <c r="F21" s="339" t="s">
        <v>161</v>
      </c>
      <c r="G21" s="418"/>
      <c r="H21" s="340"/>
      <c r="I21" s="421"/>
      <c r="J21" s="341"/>
      <c r="K21" s="342"/>
      <c r="L21" s="343"/>
      <c r="M21" s="344"/>
      <c r="N21" s="344"/>
      <c r="O21" s="335"/>
      <c r="P21" s="424"/>
      <c r="Q21" s="345"/>
      <c r="R21" s="345"/>
    </row>
    <row r="22" spans="1:18" ht="15.75" customHeight="1">
      <c r="A22" s="590"/>
      <c r="B22" s="336">
        <v>0</v>
      </c>
      <c r="C22" s="420"/>
      <c r="D22" s="337"/>
      <c r="E22" s="338"/>
      <c r="F22" s="339" t="s">
        <v>161</v>
      </c>
      <c r="G22" s="418"/>
      <c r="H22" s="340">
        <f t="shared" si="4"/>
        <v>0</v>
      </c>
      <c r="I22" s="421"/>
      <c r="J22" s="341"/>
      <c r="K22" s="342"/>
      <c r="L22" s="343"/>
      <c r="M22" s="344"/>
      <c r="N22" s="344"/>
      <c r="O22" s="335"/>
      <c r="P22" s="424"/>
      <c r="Q22" s="335"/>
      <c r="R22" s="335"/>
    </row>
    <row r="23" spans="1:18" ht="15.75" customHeight="1">
      <c r="A23" s="590"/>
      <c r="B23" s="336">
        <v>0</v>
      </c>
      <c r="C23" s="420"/>
      <c r="D23" s="337"/>
      <c r="E23" s="338"/>
      <c r="F23" s="339" t="s">
        <v>161</v>
      </c>
      <c r="G23" s="418"/>
      <c r="H23" s="340">
        <f t="shared" si="4"/>
        <v>0</v>
      </c>
      <c r="I23" s="421"/>
      <c r="J23" s="341"/>
      <c r="K23" s="342"/>
      <c r="L23" s="343"/>
      <c r="M23" s="344"/>
      <c r="N23" s="344"/>
      <c r="O23" s="335"/>
      <c r="P23" s="424"/>
      <c r="Q23" s="335"/>
      <c r="R23" s="335"/>
    </row>
    <row r="24" spans="1:18" ht="17.399999999999999" customHeight="1">
      <c r="A24" s="591"/>
      <c r="B24" s="336">
        <v>0</v>
      </c>
      <c r="C24" s="204" t="s">
        <v>223</v>
      </c>
      <c r="D24" s="571" t="s">
        <v>219</v>
      </c>
      <c r="E24" s="571"/>
      <c r="F24" s="350"/>
      <c r="G24" s="358"/>
      <c r="H24" s="352"/>
      <c r="I24" s="353"/>
      <c r="J24" s="354">
        <f>AVERAGE(J17:J23)</f>
        <v>10.25</v>
      </c>
      <c r="K24" s="354">
        <f>AVERAGE(K17:K23)</f>
        <v>1603.0370939468062</v>
      </c>
      <c r="L24" s="355">
        <f>AVERAGE(L17:L23)</f>
        <v>158.38221181013955</v>
      </c>
      <c r="M24" s="344"/>
      <c r="N24" s="344"/>
      <c r="O24" s="335"/>
      <c r="P24" s="335"/>
      <c r="Q24" s="335"/>
      <c r="R24" s="335"/>
    </row>
    <row r="25" spans="1:18">
      <c r="A25" s="578" t="s">
        <v>224</v>
      </c>
      <c r="B25" s="336" t="s">
        <v>165</v>
      </c>
      <c r="C25" s="359"/>
      <c r="D25" s="360" t="s">
        <v>174</v>
      </c>
      <c r="E25" s="361"/>
      <c r="F25" s="339">
        <v>18.53</v>
      </c>
      <c r="G25" s="419">
        <v>1705</v>
      </c>
      <c r="H25" s="340">
        <f t="shared" ref="H25:H37" si="9">F25*G25</f>
        <v>31593.65</v>
      </c>
      <c r="I25" s="421"/>
      <c r="J25" s="341">
        <v>3</v>
      </c>
      <c r="K25" s="342">
        <f t="shared" ref="K25:K30" si="10">G25/P25*60</f>
        <v>2922.8571428571463</v>
      </c>
      <c r="L25" s="343">
        <f t="shared" ref="L25:L30" si="11">K25/J25</f>
        <v>974.28571428571547</v>
      </c>
      <c r="M25" s="344">
        <v>0.17361111111111113</v>
      </c>
      <c r="N25" s="344">
        <v>0.19791666666666666</v>
      </c>
      <c r="O25" s="335">
        <v>10</v>
      </c>
      <c r="P25" s="424">
        <f>(N25-M25)*24*60</f>
        <v>34.999999999999957</v>
      </c>
      <c r="Q25" s="345"/>
      <c r="R25" s="345"/>
    </row>
    <row r="26" spans="1:18">
      <c r="A26" s="578"/>
      <c r="B26" s="336" t="s">
        <v>165</v>
      </c>
      <c r="C26" s="359"/>
      <c r="D26" s="337" t="s">
        <v>225</v>
      </c>
      <c r="E26" s="362"/>
      <c r="F26" s="339">
        <v>18.18</v>
      </c>
      <c r="G26" s="419">
        <v>2523</v>
      </c>
      <c r="H26" s="340">
        <f t="shared" si="9"/>
        <v>45868.14</v>
      </c>
      <c r="I26" s="421"/>
      <c r="J26" s="341">
        <v>4</v>
      </c>
      <c r="K26" s="342">
        <f t="shared" si="10"/>
        <v>2752.363636363636</v>
      </c>
      <c r="L26" s="343">
        <f t="shared" si="11"/>
        <v>688.09090909090901</v>
      </c>
      <c r="M26" s="344">
        <v>0.21180555555555555</v>
      </c>
      <c r="N26" s="344">
        <v>0.25</v>
      </c>
      <c r="O26" s="335">
        <v>20</v>
      </c>
      <c r="P26" s="424">
        <f>(N26-M26)*24*60</f>
        <v>55.000000000000007</v>
      </c>
      <c r="Q26" s="345"/>
      <c r="R26" s="345"/>
    </row>
    <row r="27" spans="1:18">
      <c r="A27" s="578"/>
      <c r="B27" s="336" t="s">
        <v>189</v>
      </c>
      <c r="C27" s="359"/>
      <c r="D27" s="360" t="s">
        <v>226</v>
      </c>
      <c r="E27" s="362"/>
      <c r="F27" s="339">
        <v>22.32</v>
      </c>
      <c r="G27" s="419">
        <v>1580</v>
      </c>
      <c r="H27" s="340">
        <f t="shared" si="9"/>
        <v>35265.599999999999</v>
      </c>
      <c r="I27" s="421"/>
      <c r="J27" s="341">
        <v>4</v>
      </c>
      <c r="K27" s="342">
        <f t="shared" si="10"/>
        <v>3160.0000000000027</v>
      </c>
      <c r="L27" s="343">
        <f t="shared" si="11"/>
        <v>790.00000000000068</v>
      </c>
      <c r="M27" s="344">
        <v>0.26041666666666669</v>
      </c>
      <c r="N27" s="344">
        <v>0.28125</v>
      </c>
      <c r="O27" s="335">
        <v>15</v>
      </c>
      <c r="P27" s="424">
        <f t="shared" ref="P27:P30" si="12">(N27-M27)*24*60</f>
        <v>29.999999999999972</v>
      </c>
      <c r="Q27" s="345"/>
      <c r="R27" s="345"/>
    </row>
    <row r="28" spans="1:18">
      <c r="A28" s="578"/>
      <c r="B28" s="336" t="s">
        <v>165</v>
      </c>
      <c r="C28" s="420"/>
      <c r="D28" s="361" t="s">
        <v>227</v>
      </c>
      <c r="E28" s="362"/>
      <c r="F28" s="339">
        <v>17.890909090909091</v>
      </c>
      <c r="G28" s="419">
        <v>1917</v>
      </c>
      <c r="H28" s="340">
        <f t="shared" si="9"/>
        <v>34296.872727272726</v>
      </c>
      <c r="I28" s="421"/>
      <c r="J28" s="341">
        <v>3</v>
      </c>
      <c r="K28" s="342">
        <f t="shared" si="10"/>
        <v>3286.285714285711</v>
      </c>
      <c r="L28" s="343">
        <f t="shared" si="11"/>
        <v>1095.4285714285704</v>
      </c>
      <c r="M28" s="344">
        <v>0.29305555555555557</v>
      </c>
      <c r="N28" s="344">
        <v>0.31736111111111115</v>
      </c>
      <c r="O28" s="335">
        <v>17</v>
      </c>
      <c r="P28" s="424">
        <f t="shared" si="12"/>
        <v>35.000000000000036</v>
      </c>
      <c r="Q28" s="345"/>
      <c r="R28" s="345"/>
    </row>
    <row r="29" spans="1:18">
      <c r="A29" s="578"/>
      <c r="B29" s="336" t="s">
        <v>189</v>
      </c>
      <c r="C29" s="419"/>
      <c r="D29" s="337" t="s">
        <v>175</v>
      </c>
      <c r="E29" s="362"/>
      <c r="F29" s="339">
        <v>18.77</v>
      </c>
      <c r="G29" s="419">
        <v>755</v>
      </c>
      <c r="H29" s="340">
        <f t="shared" si="9"/>
        <v>14171.35</v>
      </c>
      <c r="I29" s="421"/>
      <c r="J29" s="341">
        <v>4</v>
      </c>
      <c r="K29" s="342">
        <f t="shared" si="10"/>
        <v>2831.25000000001</v>
      </c>
      <c r="L29" s="343">
        <f t="shared" si="11"/>
        <v>707.8125000000025</v>
      </c>
      <c r="M29" s="344">
        <v>0.32777777777777778</v>
      </c>
      <c r="N29" s="344">
        <v>0.33888888888888885</v>
      </c>
      <c r="O29" s="335">
        <v>15</v>
      </c>
      <c r="P29" s="424">
        <f t="shared" si="12"/>
        <v>15.999999999999943</v>
      </c>
      <c r="Q29" s="345"/>
      <c r="R29" s="345"/>
    </row>
    <row r="30" spans="1:18">
      <c r="A30" s="578"/>
      <c r="B30" s="336" t="s">
        <v>165</v>
      </c>
      <c r="C30" s="419"/>
      <c r="D30" s="360" t="s">
        <v>228</v>
      </c>
      <c r="E30" s="362"/>
      <c r="F30" s="339">
        <v>24.93</v>
      </c>
      <c r="G30" s="419">
        <v>484</v>
      </c>
      <c r="H30" s="340">
        <f t="shared" si="9"/>
        <v>12066.119999999999</v>
      </c>
      <c r="I30" s="421"/>
      <c r="J30" s="341">
        <v>3</v>
      </c>
      <c r="K30" s="342">
        <f t="shared" si="10"/>
        <v>2904.00000000001</v>
      </c>
      <c r="L30" s="343">
        <f t="shared" si="11"/>
        <v>968.0000000000033</v>
      </c>
      <c r="M30" s="344">
        <v>0.35000000000000003</v>
      </c>
      <c r="N30" s="344">
        <v>0.35694444444444445</v>
      </c>
      <c r="O30" s="335">
        <v>16</v>
      </c>
      <c r="P30" s="424">
        <f t="shared" si="12"/>
        <v>9.9999999999999645</v>
      </c>
      <c r="Q30" s="345"/>
      <c r="R30" s="345"/>
    </row>
    <row r="31" spans="1:18" ht="15.75" customHeight="1">
      <c r="A31" s="578"/>
      <c r="B31" s="336">
        <v>0</v>
      </c>
      <c r="C31" s="420"/>
      <c r="D31" s="360"/>
      <c r="E31" s="362"/>
      <c r="F31" s="339" t="s">
        <v>161</v>
      </c>
      <c r="G31" s="419"/>
      <c r="H31" s="340">
        <f t="shared" si="9"/>
        <v>0</v>
      </c>
      <c r="I31" s="421"/>
      <c r="J31" s="341"/>
      <c r="K31" s="342"/>
      <c r="L31" s="343"/>
      <c r="M31" s="344"/>
      <c r="N31" s="344"/>
      <c r="O31" s="335"/>
      <c r="P31" s="424"/>
      <c r="Q31" s="345"/>
      <c r="R31" s="345"/>
    </row>
    <row r="32" spans="1:18">
      <c r="A32" s="578"/>
      <c r="B32" s="336">
        <v>0</v>
      </c>
      <c r="C32" s="420"/>
      <c r="D32" s="360"/>
      <c r="E32" s="338"/>
      <c r="F32" s="339" t="s">
        <v>161</v>
      </c>
      <c r="G32" s="419"/>
      <c r="H32" s="340">
        <f t="shared" si="9"/>
        <v>0</v>
      </c>
      <c r="I32" s="421"/>
      <c r="J32" s="341"/>
      <c r="K32" s="342"/>
      <c r="L32" s="343"/>
      <c r="M32" s="344"/>
      <c r="N32" s="344"/>
      <c r="O32" s="335"/>
      <c r="P32" s="424"/>
      <c r="Q32" s="345"/>
      <c r="R32" s="345"/>
    </row>
    <row r="33" spans="1:18">
      <c r="A33" s="578"/>
      <c r="B33" s="336">
        <v>0</v>
      </c>
      <c r="C33" s="419"/>
      <c r="D33" s="363"/>
      <c r="E33" s="362"/>
      <c r="F33" s="339" t="s">
        <v>161</v>
      </c>
      <c r="G33" s="419"/>
      <c r="H33" s="340">
        <f t="shared" si="9"/>
        <v>0</v>
      </c>
      <c r="I33" s="421"/>
      <c r="J33" s="341"/>
      <c r="K33" s="342"/>
      <c r="L33" s="343"/>
      <c r="M33" s="344"/>
      <c r="N33" s="344"/>
      <c r="O33" s="335"/>
      <c r="P33" s="424"/>
      <c r="Q33" s="345"/>
      <c r="R33" s="345"/>
    </row>
    <row r="34" spans="1:18">
      <c r="A34" s="578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9"/>
        <v>0</v>
      </c>
      <c r="I34" s="421"/>
      <c r="J34" s="341"/>
      <c r="K34" s="342"/>
      <c r="L34" s="343"/>
      <c r="M34" s="344"/>
      <c r="N34" s="344"/>
      <c r="O34" s="335"/>
      <c r="P34" s="424"/>
      <c r="Q34" s="345"/>
      <c r="R34" s="345"/>
    </row>
    <row r="35" spans="1:18">
      <c r="A35" s="578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9"/>
        <v>0</v>
      </c>
      <c r="I35" s="421"/>
      <c r="J35" s="341"/>
      <c r="K35" s="342"/>
      <c r="L35" s="343"/>
      <c r="M35" s="344"/>
      <c r="N35" s="344"/>
      <c r="O35" s="335"/>
      <c r="P35" s="424"/>
      <c r="Q35" s="345"/>
      <c r="R35" s="345"/>
    </row>
    <row r="36" spans="1:18">
      <c r="A36" s="578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9"/>
        <v>0</v>
      </c>
      <c r="I36" s="421"/>
      <c r="J36" s="341"/>
      <c r="K36" s="342"/>
      <c r="L36" s="343"/>
      <c r="M36" s="344"/>
      <c r="N36" s="344"/>
      <c r="O36" s="335"/>
      <c r="P36" s="424"/>
      <c r="Q36" s="345"/>
      <c r="R36" s="345"/>
    </row>
    <row r="37" spans="1:18">
      <c r="A37" s="578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9"/>
        <v>0</v>
      </c>
      <c r="I37" s="421"/>
      <c r="J37" s="341"/>
      <c r="K37" s="342"/>
      <c r="L37" s="343"/>
      <c r="M37" s="344"/>
      <c r="N37" s="344"/>
      <c r="O37" s="335"/>
      <c r="P37" s="424"/>
      <c r="Q37" s="345"/>
      <c r="R37" s="345"/>
    </row>
    <row r="38" spans="1:18" ht="17.399999999999999" customHeight="1">
      <c r="A38" s="579"/>
      <c r="B38" s="336">
        <v>0</v>
      </c>
      <c r="C38" s="204" t="s">
        <v>27</v>
      </c>
      <c r="D38" s="552" t="s">
        <v>176</v>
      </c>
      <c r="E38" s="552"/>
      <c r="F38" s="350"/>
      <c r="G38" s="365"/>
      <c r="H38" s="352"/>
      <c r="I38" s="353"/>
      <c r="J38" s="354">
        <f>AVERAGE(J25:J37)</f>
        <v>3.5</v>
      </c>
      <c r="K38" s="354">
        <f>AVERAGE(K25:K37)</f>
        <v>2976.1260822510862</v>
      </c>
      <c r="L38" s="355">
        <f>AVERAGE(L25:L37)</f>
        <v>870.60294913420046</v>
      </c>
      <c r="M38" s="344"/>
      <c r="N38" s="344"/>
      <c r="O38" s="342"/>
      <c r="P38" s="342"/>
      <c r="Q38" s="343"/>
      <c r="R38" s="343"/>
    </row>
    <row r="39" spans="1:18" ht="16.2" customHeight="1">
      <c r="A39" s="567" t="s">
        <v>229</v>
      </c>
      <c r="B39" s="336" t="s">
        <v>165</v>
      </c>
      <c r="C39" s="420"/>
      <c r="D39" s="360" t="s">
        <v>230</v>
      </c>
      <c r="E39" s="338"/>
      <c r="F39" s="339">
        <v>16.66</v>
      </c>
      <c r="G39" s="419">
        <v>3683</v>
      </c>
      <c r="H39" s="340">
        <f t="shared" ref="H39:H47" si="13">F39*G39</f>
        <v>61358.78</v>
      </c>
      <c r="I39" s="421"/>
      <c r="J39" s="341">
        <v>4</v>
      </c>
      <c r="K39" s="342">
        <f t="shared" ref="K39:K40" si="14">G39/P39*60</f>
        <v>2833.0769230769247</v>
      </c>
      <c r="L39" s="343">
        <f t="shared" ref="L39:L40" si="15">K39/J39</f>
        <v>708.26923076923117</v>
      </c>
      <c r="M39" s="344">
        <v>0.17708333333333334</v>
      </c>
      <c r="N39" s="344">
        <v>0.23124999999999998</v>
      </c>
      <c r="O39" s="335">
        <v>15</v>
      </c>
      <c r="P39" s="424">
        <f t="shared" ref="P39:P40" si="16">(N39-M39)*24*60</f>
        <v>77.999999999999957</v>
      </c>
      <c r="Q39" s="345"/>
      <c r="R39" s="345"/>
    </row>
    <row r="40" spans="1:18">
      <c r="A40" s="568"/>
      <c r="B40" s="336" t="s">
        <v>165</v>
      </c>
      <c r="C40" s="420"/>
      <c r="D40" s="361" t="s">
        <v>231</v>
      </c>
      <c r="E40" s="338"/>
      <c r="F40" s="339">
        <v>22.95</v>
      </c>
      <c r="G40" s="419">
        <v>4433</v>
      </c>
      <c r="H40" s="340">
        <f t="shared" si="13"/>
        <v>101737.34999999999</v>
      </c>
      <c r="I40" s="421"/>
      <c r="J40" s="341">
        <v>4</v>
      </c>
      <c r="K40" s="342">
        <f t="shared" si="14"/>
        <v>3057.2413793103456</v>
      </c>
      <c r="L40" s="343">
        <f t="shared" si="15"/>
        <v>764.31034482758639</v>
      </c>
      <c r="M40" s="344">
        <v>0.24513888888888888</v>
      </c>
      <c r="N40" s="344">
        <v>0.30555555555555552</v>
      </c>
      <c r="O40" s="335">
        <v>20</v>
      </c>
      <c r="P40" s="424">
        <f t="shared" si="16"/>
        <v>86.999999999999972</v>
      </c>
      <c r="Q40" s="345"/>
      <c r="R40" s="345"/>
    </row>
    <row r="41" spans="1:18">
      <c r="A41" s="568"/>
      <c r="B41" s="336">
        <v>0</v>
      </c>
      <c r="C41" s="420"/>
      <c r="D41" s="361"/>
      <c r="E41" s="338"/>
      <c r="F41" s="339" t="s">
        <v>161</v>
      </c>
      <c r="G41" s="419"/>
      <c r="H41" s="340">
        <f t="shared" si="13"/>
        <v>0</v>
      </c>
      <c r="I41" s="421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568"/>
      <c r="B42" s="336">
        <v>0</v>
      </c>
      <c r="C42" s="420"/>
      <c r="D42" s="361"/>
      <c r="E42" s="338"/>
      <c r="F42" s="339" t="s">
        <v>161</v>
      </c>
      <c r="G42" s="419"/>
      <c r="H42" s="340">
        <f t="shared" si="13"/>
        <v>0</v>
      </c>
      <c r="I42" s="421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568"/>
      <c r="B43" s="336">
        <v>0</v>
      </c>
      <c r="C43" s="420"/>
      <c r="D43" s="363"/>
      <c r="E43" s="338"/>
      <c r="F43" s="339" t="s">
        <v>161</v>
      </c>
      <c r="G43" s="419"/>
      <c r="H43" s="340">
        <f t="shared" si="13"/>
        <v>0</v>
      </c>
      <c r="I43" s="421"/>
      <c r="J43" s="341"/>
      <c r="K43" s="342"/>
      <c r="L43" s="343"/>
      <c r="M43" s="344"/>
      <c r="N43" s="344"/>
      <c r="O43" s="335"/>
      <c r="P43" s="424"/>
      <c r="Q43" s="345"/>
      <c r="R43" s="345"/>
    </row>
    <row r="44" spans="1:18">
      <c r="A44" s="568"/>
      <c r="B44" s="336">
        <v>0</v>
      </c>
      <c r="C44" s="420"/>
      <c r="D44" s="361"/>
      <c r="E44" s="367"/>
      <c r="F44" s="339" t="s">
        <v>161</v>
      </c>
      <c r="G44" s="368"/>
      <c r="H44" s="369">
        <f t="shared" si="13"/>
        <v>0</v>
      </c>
      <c r="I44" s="422"/>
      <c r="J44" s="341"/>
      <c r="K44" s="342"/>
      <c r="L44" s="343"/>
      <c r="M44" s="344"/>
      <c r="N44" s="344"/>
      <c r="O44" s="335"/>
      <c r="P44" s="424"/>
      <c r="Q44" s="345"/>
      <c r="R44" s="345"/>
    </row>
    <row r="45" spans="1:18">
      <c r="A45" s="568"/>
      <c r="B45" s="336">
        <v>0</v>
      </c>
      <c r="C45" s="420"/>
      <c r="D45" s="361"/>
      <c r="E45" s="362"/>
      <c r="F45" s="339" t="s">
        <v>161</v>
      </c>
      <c r="G45" s="419"/>
      <c r="H45" s="340">
        <f t="shared" si="13"/>
        <v>0</v>
      </c>
      <c r="I45" s="421"/>
      <c r="J45" s="341"/>
      <c r="K45" s="342"/>
      <c r="L45" s="343"/>
      <c r="M45" s="344"/>
      <c r="N45" s="344"/>
      <c r="O45" s="335"/>
      <c r="P45" s="424"/>
      <c r="Q45" s="345"/>
      <c r="R45" s="345"/>
    </row>
    <row r="46" spans="1:18">
      <c r="A46" s="568"/>
      <c r="B46" s="336">
        <v>0</v>
      </c>
      <c r="C46" s="420"/>
      <c r="D46" s="363"/>
      <c r="E46" s="367"/>
      <c r="F46" s="339" t="s">
        <v>161</v>
      </c>
      <c r="G46" s="368"/>
      <c r="H46" s="369">
        <f t="shared" si="13"/>
        <v>0</v>
      </c>
      <c r="I46" s="422"/>
      <c r="J46" s="341"/>
      <c r="K46" s="342"/>
      <c r="L46" s="343"/>
      <c r="M46" s="344"/>
      <c r="N46" s="344"/>
      <c r="O46" s="335"/>
      <c r="P46" s="424"/>
      <c r="Q46" s="345"/>
      <c r="R46" s="345"/>
    </row>
    <row r="47" spans="1:18">
      <c r="A47" s="568"/>
      <c r="B47" s="336">
        <v>0</v>
      </c>
      <c r="C47" s="420"/>
      <c r="D47" s="361"/>
      <c r="E47" s="362"/>
      <c r="F47" s="339" t="s">
        <v>161</v>
      </c>
      <c r="G47" s="419"/>
      <c r="H47" s="340">
        <f t="shared" si="13"/>
        <v>0</v>
      </c>
      <c r="I47" s="421"/>
      <c r="J47" s="341"/>
      <c r="K47" s="342"/>
      <c r="L47" s="343"/>
      <c r="M47" s="344"/>
      <c r="N47" s="344"/>
      <c r="O47" s="335"/>
      <c r="P47" s="424"/>
      <c r="Q47" s="345"/>
      <c r="R47" s="345"/>
    </row>
    <row r="48" spans="1:18">
      <c r="A48" s="569"/>
      <c r="B48" s="336">
        <v>0</v>
      </c>
      <c r="C48" s="419"/>
      <c r="D48" s="361"/>
      <c r="E48" s="370"/>
      <c r="F48" s="339" t="s">
        <v>161</v>
      </c>
      <c r="G48" s="419"/>
      <c r="H48" s="340"/>
      <c r="I48" s="421"/>
      <c r="J48" s="341"/>
      <c r="K48" s="342"/>
      <c r="L48" s="343"/>
      <c r="M48" s="344"/>
      <c r="N48" s="344"/>
      <c r="O48" s="335"/>
      <c r="P48" s="424"/>
      <c r="Q48" s="345"/>
      <c r="R48" s="345"/>
    </row>
    <row r="49" spans="1:18">
      <c r="A49" s="569"/>
      <c r="B49" s="336">
        <v>0</v>
      </c>
      <c r="C49" s="419"/>
      <c r="D49" s="360"/>
      <c r="E49" s="371"/>
      <c r="F49" s="339" t="s">
        <v>161</v>
      </c>
      <c r="G49" s="335"/>
      <c r="H49" s="369">
        <f>F49*G49</f>
        <v>0</v>
      </c>
      <c r="I49" s="424"/>
      <c r="J49" s="341"/>
      <c r="K49" s="342"/>
      <c r="L49" s="343"/>
      <c r="M49" s="344"/>
      <c r="N49" s="344"/>
      <c r="O49" s="335"/>
      <c r="P49" s="424"/>
      <c r="Q49" s="345"/>
      <c r="R49" s="345"/>
    </row>
    <row r="50" spans="1:18">
      <c r="A50" s="569"/>
      <c r="B50" s="336">
        <v>0</v>
      </c>
      <c r="C50" s="419"/>
      <c r="D50" s="361"/>
      <c r="E50" s="371"/>
      <c r="F50" s="339" t="s">
        <v>161</v>
      </c>
      <c r="G50" s="335"/>
      <c r="H50" s="369">
        <f>F50*G50</f>
        <v>0</v>
      </c>
      <c r="I50" s="424"/>
      <c r="J50" s="341"/>
      <c r="K50" s="342"/>
      <c r="L50" s="343"/>
      <c r="M50" s="344"/>
      <c r="N50" s="344"/>
      <c r="O50" s="335"/>
      <c r="P50" s="424"/>
      <c r="Q50" s="345"/>
      <c r="R50" s="345"/>
    </row>
    <row r="51" spans="1:18" ht="15.75" customHeight="1">
      <c r="A51" s="570"/>
      <c r="B51" s="336">
        <v>0</v>
      </c>
      <c r="C51" s="204" t="s">
        <v>28</v>
      </c>
      <c r="D51" s="571" t="s">
        <v>219</v>
      </c>
      <c r="E51" s="571"/>
      <c r="F51" s="350"/>
      <c r="G51" s="355"/>
      <c r="H51" s="372"/>
      <c r="I51" s="373"/>
      <c r="J51" s="354">
        <f>AVERAGE(J38:J50)</f>
        <v>3.8333333333333335</v>
      </c>
      <c r="K51" s="354">
        <f>AVERAGE(K38:K50)</f>
        <v>2955.4814615461187</v>
      </c>
      <c r="L51" s="355">
        <f>AVERAGE(L38:L50)</f>
        <v>781.06084157700604</v>
      </c>
      <c r="M51" s="374"/>
      <c r="N51" s="344"/>
      <c r="O51" s="342"/>
      <c r="P51" s="342"/>
      <c r="Q51" s="343"/>
      <c r="R51" s="343"/>
    </row>
    <row r="52" spans="1:18" ht="15.6" customHeight="1">
      <c r="A52" s="572" t="s">
        <v>232</v>
      </c>
      <c r="B52" s="336" t="s">
        <v>165</v>
      </c>
      <c r="C52" s="420"/>
      <c r="D52" s="361" t="s">
        <v>177</v>
      </c>
      <c r="E52" s="375"/>
      <c r="F52" s="339">
        <v>25.03</v>
      </c>
      <c r="G52" s="419">
        <v>522</v>
      </c>
      <c r="H52" s="340">
        <f>F52*G52</f>
        <v>13065.66</v>
      </c>
      <c r="I52" s="421"/>
      <c r="J52" s="341">
        <v>4</v>
      </c>
      <c r="K52" s="342">
        <f>G52/P52*60</f>
        <v>3480.0000000000123</v>
      </c>
      <c r="L52" s="343">
        <f>K52/J52</f>
        <v>870.00000000000307</v>
      </c>
      <c r="M52" s="344">
        <v>0.17361111111111113</v>
      </c>
      <c r="N52" s="344">
        <v>0.17986111111111111</v>
      </c>
      <c r="O52" s="342">
        <v>10</v>
      </c>
      <c r="P52" s="424">
        <f>(N52-M52)*24*60</f>
        <v>8.999999999999968</v>
      </c>
      <c r="Q52" s="345"/>
      <c r="R52" s="345"/>
    </row>
    <row r="53" spans="1:18" ht="15.6" customHeight="1">
      <c r="A53" s="573"/>
      <c r="B53" s="336" t="s">
        <v>165</v>
      </c>
      <c r="C53" s="420"/>
      <c r="D53" s="361" t="s">
        <v>178</v>
      </c>
      <c r="E53" s="376"/>
      <c r="F53" s="339">
        <v>24.82</v>
      </c>
      <c r="G53" s="346">
        <v>725</v>
      </c>
      <c r="H53" s="340">
        <f t="shared" ref="H53:H116" si="17">F53*G53</f>
        <v>17994.5</v>
      </c>
      <c r="I53" s="421"/>
      <c r="J53" s="341">
        <v>4</v>
      </c>
      <c r="K53" s="342">
        <f t="shared" ref="K53:K57" si="18">G53/P53*60</f>
        <v>3625.0000000000009</v>
      </c>
      <c r="L53" s="343">
        <f t="shared" ref="L53:L57" si="19">K53/J53</f>
        <v>906.25000000000023</v>
      </c>
      <c r="M53" s="344">
        <v>0.18819444444444444</v>
      </c>
      <c r="N53" s="344">
        <v>0.19652777777777777</v>
      </c>
      <c r="O53" s="342">
        <v>12</v>
      </c>
      <c r="P53" s="424">
        <f t="shared" ref="P53:P57" si="20">(N53-M53)*24*60</f>
        <v>11.999999999999996</v>
      </c>
      <c r="Q53" s="345"/>
      <c r="R53" s="345"/>
    </row>
    <row r="54" spans="1:18" ht="15.6" customHeight="1">
      <c r="A54" s="573"/>
      <c r="B54" s="336" t="s">
        <v>165</v>
      </c>
      <c r="C54" s="420"/>
      <c r="D54" s="361" t="s">
        <v>179</v>
      </c>
      <c r="E54" s="338"/>
      <c r="F54" s="339">
        <v>30</v>
      </c>
      <c r="G54" s="346">
        <v>1061</v>
      </c>
      <c r="H54" s="340">
        <f t="shared" si="17"/>
        <v>31830</v>
      </c>
      <c r="I54" s="421"/>
      <c r="J54" s="341">
        <v>4</v>
      </c>
      <c r="K54" s="342">
        <f t="shared" si="18"/>
        <v>3183.000000000005</v>
      </c>
      <c r="L54" s="343">
        <f t="shared" si="19"/>
        <v>795.75000000000125</v>
      </c>
      <c r="M54" s="344">
        <v>0.20694444444444446</v>
      </c>
      <c r="N54" s="344">
        <v>0.22083333333333333</v>
      </c>
      <c r="O54" s="342">
        <v>15</v>
      </c>
      <c r="P54" s="424">
        <f t="shared" si="20"/>
        <v>19.999999999999968</v>
      </c>
      <c r="Q54" s="345"/>
      <c r="R54" s="345"/>
    </row>
    <row r="55" spans="1:18" ht="15.6" customHeight="1">
      <c r="A55" s="573"/>
      <c r="B55" s="336" t="s">
        <v>165</v>
      </c>
      <c r="C55" s="420"/>
      <c r="D55" s="363" t="s">
        <v>233</v>
      </c>
      <c r="E55" s="362"/>
      <c r="F55" s="339">
        <v>30</v>
      </c>
      <c r="G55" s="346">
        <v>519</v>
      </c>
      <c r="H55" s="340">
        <f t="shared" si="17"/>
        <v>15570</v>
      </c>
      <c r="I55" s="421"/>
      <c r="J55" s="341">
        <v>4</v>
      </c>
      <c r="K55" s="342">
        <f t="shared" si="18"/>
        <v>3459.9999999999814</v>
      </c>
      <c r="L55" s="343">
        <f t="shared" si="19"/>
        <v>864.99999999999534</v>
      </c>
      <c r="M55" s="344">
        <v>0.23333333333333331</v>
      </c>
      <c r="N55" s="344">
        <v>0.23958333333333334</v>
      </c>
      <c r="O55" s="342">
        <v>18</v>
      </c>
      <c r="P55" s="424">
        <f t="shared" si="20"/>
        <v>9.000000000000048</v>
      </c>
      <c r="Q55" s="345"/>
      <c r="R55" s="345"/>
    </row>
    <row r="56" spans="1:18" ht="15.6" customHeight="1">
      <c r="A56" s="573"/>
      <c r="B56" s="336" t="s">
        <v>165</v>
      </c>
      <c r="C56" s="420"/>
      <c r="D56" s="361" t="s">
        <v>234</v>
      </c>
      <c r="E56" s="362"/>
      <c r="F56" s="339">
        <v>27.48</v>
      </c>
      <c r="G56" s="346">
        <v>1051</v>
      </c>
      <c r="H56" s="340">
        <f t="shared" si="17"/>
        <v>28881.48</v>
      </c>
      <c r="I56" s="421"/>
      <c r="J56" s="341">
        <v>3</v>
      </c>
      <c r="K56" s="342">
        <f t="shared" si="18"/>
        <v>3503.3333333333308</v>
      </c>
      <c r="L56" s="343">
        <f t="shared" si="19"/>
        <v>1167.7777777777769</v>
      </c>
      <c r="M56" s="344">
        <v>0.24930555555555556</v>
      </c>
      <c r="N56" s="344">
        <v>0.26180555555555557</v>
      </c>
      <c r="O56" s="342">
        <v>14</v>
      </c>
      <c r="P56" s="424">
        <f t="shared" si="20"/>
        <v>18.000000000000014</v>
      </c>
      <c r="Q56" s="345"/>
      <c r="R56" s="345"/>
    </row>
    <row r="57" spans="1:18" ht="15.75" customHeight="1">
      <c r="A57" s="573"/>
      <c r="B57" s="336" t="s">
        <v>165</v>
      </c>
      <c r="C57" s="204" t="s">
        <v>31</v>
      </c>
      <c r="D57" s="361" t="s">
        <v>235</v>
      </c>
      <c r="E57" s="362"/>
      <c r="F57" s="339">
        <v>23.8</v>
      </c>
      <c r="G57" s="346">
        <v>687</v>
      </c>
      <c r="H57" s="340">
        <f t="shared" si="17"/>
        <v>16350.6</v>
      </c>
      <c r="I57" s="421"/>
      <c r="J57" s="341">
        <v>4</v>
      </c>
      <c r="K57" s="342">
        <f t="shared" si="18"/>
        <v>3170.7692307692228</v>
      </c>
      <c r="L57" s="343">
        <f t="shared" si="19"/>
        <v>792.69230769230569</v>
      </c>
      <c r="M57" s="344">
        <v>0.23055555555555554</v>
      </c>
      <c r="N57" s="344">
        <v>0.23958333333333334</v>
      </c>
      <c r="O57" s="342">
        <v>15</v>
      </c>
      <c r="P57" s="424">
        <f t="shared" si="20"/>
        <v>13.000000000000034</v>
      </c>
      <c r="Q57" s="345"/>
      <c r="R57" s="345"/>
    </row>
    <row r="58" spans="1:18" ht="15.6" customHeight="1">
      <c r="A58" s="573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7"/>
        <v>0</v>
      </c>
      <c r="I58" s="421"/>
      <c r="J58" s="341"/>
      <c r="K58" s="342"/>
      <c r="L58" s="343"/>
      <c r="M58" s="344"/>
      <c r="N58" s="344"/>
      <c r="O58" s="342"/>
      <c r="P58" s="424"/>
      <c r="Q58" s="345"/>
      <c r="R58" s="345"/>
    </row>
    <row r="59" spans="1:18" ht="15.6" customHeight="1">
      <c r="A59" s="573"/>
      <c r="B59" s="336">
        <v>0</v>
      </c>
      <c r="C59" s="420"/>
      <c r="D59" s="361"/>
      <c r="E59" s="362"/>
      <c r="F59" s="339" t="s">
        <v>161</v>
      </c>
      <c r="G59" s="346"/>
      <c r="H59" s="340">
        <f t="shared" si="17"/>
        <v>0</v>
      </c>
      <c r="I59" s="421"/>
      <c r="J59" s="341"/>
      <c r="K59" s="342"/>
      <c r="L59" s="343"/>
      <c r="M59" s="344"/>
      <c r="N59" s="344"/>
      <c r="O59" s="342"/>
      <c r="P59" s="424"/>
      <c r="Q59" s="345"/>
      <c r="R59" s="345"/>
    </row>
    <row r="60" spans="1:18" ht="15.6" customHeight="1">
      <c r="A60" s="573"/>
      <c r="B60" s="336">
        <v>0</v>
      </c>
      <c r="C60" s="420"/>
      <c r="D60" s="361"/>
      <c r="E60" s="379"/>
      <c r="F60" s="339" t="s">
        <v>161</v>
      </c>
      <c r="G60" s="346"/>
      <c r="H60" s="340">
        <f t="shared" si="17"/>
        <v>0</v>
      </c>
      <c r="I60" s="421"/>
      <c r="J60" s="341"/>
      <c r="K60" s="342"/>
      <c r="L60" s="343"/>
      <c r="M60" s="344"/>
      <c r="N60" s="344"/>
      <c r="O60" s="342"/>
      <c r="P60" s="424"/>
      <c r="Q60" s="345"/>
      <c r="R60" s="345"/>
    </row>
    <row r="61" spans="1:18" ht="15.6" customHeight="1">
      <c r="A61" s="573"/>
      <c r="B61" s="336">
        <v>0</v>
      </c>
      <c r="C61" s="420"/>
      <c r="D61" s="360"/>
      <c r="E61" s="362"/>
      <c r="F61" s="339" t="s">
        <v>161</v>
      </c>
      <c r="G61" s="346"/>
      <c r="H61" s="340">
        <f t="shared" si="17"/>
        <v>0</v>
      </c>
      <c r="I61" s="421"/>
      <c r="J61" s="341"/>
      <c r="K61" s="342"/>
      <c r="L61" s="343"/>
      <c r="M61" s="344"/>
      <c r="N61" s="344"/>
      <c r="O61" s="342"/>
      <c r="P61" s="424"/>
      <c r="Q61" s="345"/>
      <c r="R61" s="345"/>
    </row>
    <row r="62" spans="1:18" ht="15.6" customHeight="1">
      <c r="A62" s="573"/>
      <c r="B62" s="336">
        <v>0</v>
      </c>
      <c r="C62" s="420"/>
      <c r="D62" s="361"/>
      <c r="E62" s="380"/>
      <c r="F62" s="339" t="s">
        <v>161</v>
      </c>
      <c r="G62" s="346"/>
      <c r="H62" s="340">
        <f t="shared" si="17"/>
        <v>0</v>
      </c>
      <c r="I62" s="421"/>
      <c r="J62" s="341"/>
      <c r="K62" s="342"/>
      <c r="L62" s="343"/>
      <c r="M62" s="344"/>
      <c r="N62" s="344"/>
      <c r="O62" s="342"/>
      <c r="P62" s="424"/>
      <c r="Q62" s="345"/>
      <c r="R62" s="345"/>
    </row>
    <row r="63" spans="1:18" ht="15.6" customHeight="1">
      <c r="A63" s="573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7"/>
        <v>0</v>
      </c>
      <c r="I63" s="422"/>
      <c r="J63" s="341"/>
      <c r="K63" s="342"/>
      <c r="L63" s="343"/>
      <c r="M63" s="344"/>
      <c r="N63" s="344"/>
      <c r="O63" s="335"/>
      <c r="P63" s="424"/>
      <c r="Q63" s="345"/>
      <c r="R63" s="345"/>
    </row>
    <row r="64" spans="1:18" ht="15.75" customHeight="1">
      <c r="A64" s="574"/>
      <c r="B64" s="336">
        <v>0</v>
      </c>
      <c r="C64" s="204" t="s">
        <v>236</v>
      </c>
      <c r="D64" s="571" t="s">
        <v>219</v>
      </c>
      <c r="E64" s="571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3403.6837606837594</v>
      </c>
      <c r="L64" s="355">
        <f>AVERAGE(L52:L63)</f>
        <v>899.57834757834723</v>
      </c>
      <c r="M64" s="344"/>
      <c r="N64" s="344"/>
      <c r="O64" s="335"/>
      <c r="P64" s="335"/>
      <c r="Q64" s="335"/>
      <c r="R64" s="335"/>
    </row>
    <row r="65" spans="1:18" ht="15.6" customHeight="1">
      <c r="A65" s="575" t="s">
        <v>237</v>
      </c>
      <c r="B65" s="336" t="s">
        <v>165</v>
      </c>
      <c r="C65" s="420"/>
      <c r="D65" s="361" t="s">
        <v>180</v>
      </c>
      <c r="E65" s="375"/>
      <c r="F65" s="339">
        <v>18.18</v>
      </c>
      <c r="G65" s="419">
        <v>939</v>
      </c>
      <c r="H65" s="340">
        <f>F65*G65</f>
        <v>17071.02</v>
      </c>
      <c r="I65" s="421"/>
      <c r="J65" s="341">
        <v>3</v>
      </c>
      <c r="K65" s="342">
        <f t="shared" ref="K65:K71" si="21">G65/P65*60</f>
        <v>3314.117647058828</v>
      </c>
      <c r="L65" s="343">
        <f t="shared" ref="L65:L71" si="22">K65/J65</f>
        <v>1104.7058823529426</v>
      </c>
      <c r="M65" s="344">
        <v>0.17500000000000002</v>
      </c>
      <c r="N65" s="344">
        <v>0.18680555555555556</v>
      </c>
      <c r="O65" s="342">
        <v>12</v>
      </c>
      <c r="P65" s="424">
        <f>(N65-M65)*24*60</f>
        <v>16.999999999999979</v>
      </c>
      <c r="Q65" s="345"/>
      <c r="R65" s="345"/>
    </row>
    <row r="66" spans="1:18" ht="15.6" customHeight="1">
      <c r="A66" s="576"/>
      <c r="B66" s="336" t="s">
        <v>165</v>
      </c>
      <c r="C66" s="420"/>
      <c r="D66" s="382" t="s">
        <v>181</v>
      </c>
      <c r="E66" s="376"/>
      <c r="F66" s="339">
        <v>14.03</v>
      </c>
      <c r="G66" s="346">
        <v>3433</v>
      </c>
      <c r="H66" s="340">
        <f t="shared" ref="H66:H74" si="23">F66*G66</f>
        <v>48164.99</v>
      </c>
      <c r="I66" s="421"/>
      <c r="J66" s="341">
        <v>3</v>
      </c>
      <c r="K66" s="342">
        <f t="shared" si="21"/>
        <v>3218.4374999999991</v>
      </c>
      <c r="L66" s="343">
        <f t="shared" si="22"/>
        <v>1072.8124999999998</v>
      </c>
      <c r="M66" s="344">
        <v>0.20069444444444443</v>
      </c>
      <c r="N66" s="344">
        <v>0.24513888888888888</v>
      </c>
      <c r="O66" s="342">
        <v>20</v>
      </c>
      <c r="P66" s="424">
        <f t="shared" ref="P66:P71" si="24">(N66-M66)*24*60</f>
        <v>64.000000000000014</v>
      </c>
      <c r="Q66" s="345"/>
      <c r="R66" s="345"/>
    </row>
    <row r="67" spans="1:18" ht="15.6" customHeight="1">
      <c r="A67" s="576"/>
      <c r="B67" s="336" t="s">
        <v>165</v>
      </c>
      <c r="C67" s="420"/>
      <c r="D67" s="360" t="s">
        <v>182</v>
      </c>
      <c r="E67" s="362"/>
      <c r="F67" s="339">
        <v>18.18</v>
      </c>
      <c r="G67" s="346">
        <v>1523</v>
      </c>
      <c r="H67" s="340">
        <f t="shared" si="23"/>
        <v>27688.14</v>
      </c>
      <c r="I67" s="421"/>
      <c r="J67" s="341">
        <v>3</v>
      </c>
      <c r="K67" s="342">
        <f t="shared" si="21"/>
        <v>3384.4444444444566</v>
      </c>
      <c r="L67" s="343">
        <f t="shared" si="22"/>
        <v>1128.1481481481521</v>
      </c>
      <c r="M67" s="344">
        <v>0.25555555555555559</v>
      </c>
      <c r="N67" s="344">
        <v>0.27430555555555552</v>
      </c>
      <c r="O67" s="342">
        <v>15</v>
      </c>
      <c r="P67" s="424">
        <f t="shared" si="24"/>
        <v>26.999999999999904</v>
      </c>
      <c r="Q67" s="345"/>
      <c r="R67" s="345"/>
    </row>
    <row r="68" spans="1:18" ht="15.6" customHeight="1">
      <c r="A68" s="576"/>
      <c r="B68" s="336" t="s">
        <v>165</v>
      </c>
      <c r="C68" s="420"/>
      <c r="D68" s="361" t="s">
        <v>238</v>
      </c>
      <c r="E68" s="362"/>
      <c r="F68" s="339">
        <v>17.07</v>
      </c>
      <c r="G68" s="346">
        <v>1042</v>
      </c>
      <c r="H68" s="340">
        <f t="shared" si="23"/>
        <v>17786.939999999999</v>
      </c>
      <c r="I68" s="421"/>
      <c r="J68" s="341">
        <v>3</v>
      </c>
      <c r="K68" s="342">
        <f t="shared" si="21"/>
        <v>3126.0000000000114</v>
      </c>
      <c r="L68" s="343">
        <f t="shared" si="22"/>
        <v>1042.0000000000039</v>
      </c>
      <c r="M68" s="344">
        <v>0.28611111111111115</v>
      </c>
      <c r="N68" s="344">
        <v>0.3</v>
      </c>
      <c r="O68" s="342">
        <v>17</v>
      </c>
      <c r="P68" s="424">
        <f t="shared" si="24"/>
        <v>19.999999999999929</v>
      </c>
      <c r="Q68" s="345"/>
      <c r="R68" s="345"/>
    </row>
    <row r="69" spans="1:18" ht="15.6" customHeight="1">
      <c r="A69" s="576"/>
      <c r="B69" s="336" t="s">
        <v>165</v>
      </c>
      <c r="C69" s="420"/>
      <c r="D69" s="363" t="s">
        <v>239</v>
      </c>
      <c r="E69" s="362"/>
      <c r="F69" s="339">
        <v>20.72</v>
      </c>
      <c r="G69" s="346">
        <v>467</v>
      </c>
      <c r="H69" s="340">
        <f t="shared" si="23"/>
        <v>9676.24</v>
      </c>
      <c r="I69" s="421"/>
      <c r="J69" s="341">
        <v>3</v>
      </c>
      <c r="K69" s="342">
        <f t="shared" si="21"/>
        <v>3113.3333333333444</v>
      </c>
      <c r="L69" s="343">
        <f t="shared" si="22"/>
        <v>1037.7777777777815</v>
      </c>
      <c r="M69" s="344">
        <v>0.31041666666666667</v>
      </c>
      <c r="N69" s="344">
        <v>0.31666666666666665</v>
      </c>
      <c r="O69" s="342">
        <v>15</v>
      </c>
      <c r="P69" s="424">
        <f t="shared" si="24"/>
        <v>8.999999999999968</v>
      </c>
      <c r="Q69" s="345"/>
      <c r="R69" s="345"/>
    </row>
    <row r="70" spans="1:18" ht="15.75" customHeight="1">
      <c r="A70" s="576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5293</v>
      </c>
      <c r="H70" s="340">
        <f t="shared" si="23"/>
        <v>75614.285714285696</v>
      </c>
      <c r="I70" s="421"/>
      <c r="J70" s="341">
        <v>3</v>
      </c>
      <c r="K70" s="342">
        <f t="shared" si="21"/>
        <v>3175.8000000000006</v>
      </c>
      <c r="L70" s="343">
        <f t="shared" si="22"/>
        <v>1058.6000000000001</v>
      </c>
      <c r="M70" s="344">
        <v>0.33055555555555555</v>
      </c>
      <c r="N70" s="344">
        <v>0.39999999999999997</v>
      </c>
      <c r="O70" s="342">
        <v>20</v>
      </c>
      <c r="P70" s="424">
        <f t="shared" si="24"/>
        <v>99.999999999999972</v>
      </c>
      <c r="Q70" s="345"/>
      <c r="R70" s="345"/>
    </row>
    <row r="71" spans="1:18" ht="15.6" customHeight="1">
      <c r="A71" s="576"/>
      <c r="B71" s="336" t="s">
        <v>165</v>
      </c>
      <c r="C71" s="377"/>
      <c r="D71" s="361" t="s">
        <v>240</v>
      </c>
      <c r="E71" s="362"/>
      <c r="F71" s="339">
        <v>24.76</v>
      </c>
      <c r="G71" s="378">
        <v>1134</v>
      </c>
      <c r="H71" s="340">
        <f t="shared" si="23"/>
        <v>28077.84</v>
      </c>
      <c r="I71" s="421"/>
      <c r="J71" s="341">
        <v>4</v>
      </c>
      <c r="K71" s="342">
        <f t="shared" si="21"/>
        <v>3092.727272727273</v>
      </c>
      <c r="L71" s="343">
        <f t="shared" si="22"/>
        <v>773.18181818181824</v>
      </c>
      <c r="M71" s="344">
        <v>0.41250000000000003</v>
      </c>
      <c r="N71" s="344">
        <v>0.42777777777777781</v>
      </c>
      <c r="O71" s="342">
        <v>18</v>
      </c>
      <c r="P71" s="424">
        <f t="shared" si="24"/>
        <v>22</v>
      </c>
      <c r="Q71" s="345"/>
      <c r="R71" s="345"/>
    </row>
    <row r="72" spans="1:18" ht="15.6" customHeight="1">
      <c r="A72" s="576"/>
      <c r="B72" s="336">
        <v>0</v>
      </c>
      <c r="C72" s="420"/>
      <c r="D72" s="363"/>
      <c r="E72" s="362"/>
      <c r="F72" s="339" t="s">
        <v>161</v>
      </c>
      <c r="G72" s="346"/>
      <c r="H72" s="340">
        <f t="shared" si="23"/>
        <v>0</v>
      </c>
      <c r="I72" s="421"/>
      <c r="J72" s="341"/>
      <c r="K72" s="342"/>
      <c r="L72" s="343"/>
      <c r="M72" s="344"/>
      <c r="N72" s="344"/>
      <c r="O72" s="342"/>
      <c r="P72" s="424"/>
      <c r="Q72" s="345"/>
      <c r="R72" s="345"/>
    </row>
    <row r="73" spans="1:18" ht="15.6" customHeight="1">
      <c r="A73" s="576"/>
      <c r="B73" s="336">
        <v>0</v>
      </c>
      <c r="C73" s="420"/>
      <c r="D73" s="361"/>
      <c r="E73" s="362"/>
      <c r="F73" s="339" t="s">
        <v>161</v>
      </c>
      <c r="G73" s="346"/>
      <c r="H73" s="340">
        <f t="shared" si="23"/>
        <v>0</v>
      </c>
      <c r="I73" s="421"/>
      <c r="J73" s="341"/>
      <c r="K73" s="342"/>
      <c r="L73" s="343"/>
      <c r="M73" s="344"/>
      <c r="N73" s="344"/>
      <c r="O73" s="342"/>
      <c r="P73" s="424"/>
      <c r="Q73" s="345"/>
      <c r="R73" s="345"/>
    </row>
    <row r="74" spans="1:18" ht="15.6" customHeight="1">
      <c r="A74" s="576"/>
      <c r="B74" s="336">
        <v>0</v>
      </c>
      <c r="C74" s="420"/>
      <c r="D74" s="363"/>
      <c r="E74" s="362"/>
      <c r="F74" s="339" t="s">
        <v>161</v>
      </c>
      <c r="G74" s="346"/>
      <c r="H74" s="340">
        <f t="shared" si="23"/>
        <v>0</v>
      </c>
      <c r="I74" s="421"/>
      <c r="J74" s="341"/>
      <c r="K74" s="342"/>
      <c r="L74" s="343"/>
      <c r="M74" s="344"/>
      <c r="N74" s="344"/>
      <c r="O74" s="342"/>
      <c r="P74" s="424"/>
      <c r="Q74" s="345"/>
      <c r="R74" s="345"/>
    </row>
    <row r="75" spans="1:18" ht="15.75" customHeight="1">
      <c r="A75" s="577"/>
      <c r="B75" s="336">
        <v>0</v>
      </c>
      <c r="C75" s="204" t="s">
        <v>241</v>
      </c>
      <c r="D75" s="571" t="s">
        <v>219</v>
      </c>
      <c r="E75" s="571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3203.5514567948444</v>
      </c>
      <c r="L75" s="355">
        <f>AVERAGE(L65:L74)</f>
        <v>1031.0323037800997</v>
      </c>
      <c r="M75" s="344"/>
      <c r="N75" s="344"/>
      <c r="O75" s="335"/>
      <c r="P75" s="335"/>
      <c r="Q75" s="335"/>
      <c r="R75" s="335"/>
    </row>
    <row r="76" spans="1:18" ht="16.2" customHeight="1">
      <c r="A76" s="556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7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424"/>
      <c r="Q76" s="345"/>
      <c r="R76" s="345"/>
    </row>
    <row r="77" spans="1:18">
      <c r="A77" s="556"/>
      <c r="B77" s="336">
        <v>0</v>
      </c>
      <c r="C77" s="349"/>
      <c r="D77" s="557"/>
      <c r="E77" s="558"/>
      <c r="F77" s="339" t="s">
        <v>161</v>
      </c>
      <c r="G77" s="419"/>
      <c r="H77" s="340">
        <f t="shared" si="17"/>
        <v>0</v>
      </c>
      <c r="I77" s="421"/>
      <c r="J77" s="341"/>
      <c r="K77" s="342"/>
      <c r="L77" s="343"/>
      <c r="M77" s="344"/>
      <c r="N77" s="344"/>
      <c r="O77" s="335"/>
      <c r="P77" s="424"/>
      <c r="Q77" s="335"/>
      <c r="R77" s="335"/>
    </row>
    <row r="78" spans="1:18">
      <c r="A78" s="556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7"/>
        <v>0</v>
      </c>
      <c r="I78" s="421"/>
      <c r="J78" s="341"/>
      <c r="K78" s="342"/>
      <c r="L78" s="343"/>
      <c r="M78" s="344"/>
      <c r="N78" s="344"/>
      <c r="O78" s="335"/>
      <c r="P78" s="424"/>
      <c r="Q78" s="335"/>
      <c r="R78" s="335"/>
    </row>
    <row r="79" spans="1:18">
      <c r="A79" s="556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7"/>
        <v>0</v>
      </c>
      <c r="I79" s="421"/>
      <c r="J79" s="341"/>
      <c r="K79" s="342"/>
      <c r="L79" s="343"/>
      <c r="M79" s="344"/>
      <c r="N79" s="344"/>
      <c r="O79" s="335"/>
      <c r="P79" s="424"/>
      <c r="Q79" s="335"/>
      <c r="R79" s="335"/>
    </row>
    <row r="80" spans="1:18">
      <c r="A80" s="556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7"/>
        <v>0</v>
      </c>
      <c r="I80" s="421"/>
      <c r="J80" s="341"/>
      <c r="K80" s="342"/>
      <c r="L80" s="343"/>
      <c r="M80" s="344"/>
      <c r="N80" s="344"/>
      <c r="O80" s="335"/>
      <c r="P80" s="424"/>
      <c r="Q80" s="335"/>
      <c r="R80" s="335"/>
    </row>
    <row r="81" spans="1:18" ht="15.75" customHeight="1">
      <c r="A81" s="556"/>
      <c r="B81" s="336">
        <v>0</v>
      </c>
      <c r="C81" s="204" t="s">
        <v>31</v>
      </c>
      <c r="D81" s="559" t="s">
        <v>219</v>
      </c>
      <c r="E81" s="560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561" t="s">
        <v>242</v>
      </c>
      <c r="B82" s="336" t="s">
        <v>165</v>
      </c>
      <c r="C82" s="359"/>
      <c r="D82" s="361" t="s">
        <v>243</v>
      </c>
      <c r="E82" s="388"/>
      <c r="F82" s="339">
        <v>22.32</v>
      </c>
      <c r="G82" s="364">
        <v>2109</v>
      </c>
      <c r="H82" s="389">
        <f t="shared" ref="H82:H90" si="25">F82*G82</f>
        <v>47072.88</v>
      </c>
      <c r="I82" s="421"/>
      <c r="J82" s="341">
        <v>4</v>
      </c>
      <c r="K82" s="342">
        <f>G82/P82*60</f>
        <v>2812</v>
      </c>
      <c r="L82" s="343">
        <f t="shared" ref="L82:L83" si="26">K82/J82</f>
        <v>703</v>
      </c>
      <c r="M82" s="344">
        <v>0.72222222222222221</v>
      </c>
      <c r="N82" s="344">
        <v>0.75347222222222221</v>
      </c>
      <c r="O82" s="342">
        <v>20</v>
      </c>
      <c r="P82" s="424">
        <f>(N82-M82)*24*60</f>
        <v>45</v>
      </c>
      <c r="Q82" s="345"/>
      <c r="R82" s="345"/>
    </row>
    <row r="83" spans="1:18">
      <c r="A83" s="562"/>
      <c r="B83" s="336" t="s">
        <v>165</v>
      </c>
      <c r="C83" s="359"/>
      <c r="D83" s="394" t="s">
        <v>244</v>
      </c>
      <c r="E83" s="388"/>
      <c r="F83" s="339">
        <v>24.54</v>
      </c>
      <c r="G83" s="364">
        <v>1278</v>
      </c>
      <c r="H83" s="389">
        <f t="shared" si="25"/>
        <v>31362.12</v>
      </c>
      <c r="I83" s="421"/>
      <c r="J83" s="341">
        <v>3</v>
      </c>
      <c r="K83" s="342">
        <f t="shared" ref="K83" si="27">G83/P83*60</f>
        <v>2190.8571428571508</v>
      </c>
      <c r="L83" s="343">
        <f t="shared" si="26"/>
        <v>730.28571428571695</v>
      </c>
      <c r="M83" s="344">
        <v>0.76736111111111116</v>
      </c>
      <c r="N83" s="344">
        <v>0.79166666666666663</v>
      </c>
      <c r="O83" s="342">
        <v>20</v>
      </c>
      <c r="P83" s="424">
        <f t="shared" ref="P83" si="28">(N83-M83)*24*60</f>
        <v>34.999999999999872</v>
      </c>
      <c r="Q83" s="345"/>
      <c r="R83" s="345"/>
    </row>
    <row r="84" spans="1:18">
      <c r="A84" s="562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5"/>
        <v>0</v>
      </c>
      <c r="I84" s="421"/>
      <c r="J84" s="341"/>
      <c r="K84" s="342"/>
      <c r="L84" s="343"/>
      <c r="M84" s="344"/>
      <c r="N84" s="344"/>
      <c r="O84" s="342"/>
      <c r="P84" s="424"/>
      <c r="Q84" s="345"/>
      <c r="R84" s="345"/>
    </row>
    <row r="85" spans="1:18">
      <c r="A85" s="562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5"/>
        <v>0</v>
      </c>
      <c r="I85" s="421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562"/>
      <c r="B86" s="336">
        <v>0</v>
      </c>
      <c r="C86" s="359"/>
      <c r="D86" s="361"/>
      <c r="E86" s="388"/>
      <c r="F86" s="339" t="s">
        <v>161</v>
      </c>
      <c r="G86" s="419"/>
      <c r="H86" s="390">
        <f t="shared" si="25"/>
        <v>0</v>
      </c>
      <c r="I86" s="421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562"/>
      <c r="B87" s="336">
        <v>0</v>
      </c>
      <c r="C87" s="359"/>
      <c r="D87" s="361"/>
      <c r="E87" s="388"/>
      <c r="F87" s="339" t="s">
        <v>161</v>
      </c>
      <c r="G87" s="419"/>
      <c r="H87" s="390">
        <f t="shared" si="25"/>
        <v>0</v>
      </c>
      <c r="I87" s="421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562"/>
      <c r="B88" s="336">
        <v>0</v>
      </c>
      <c r="C88" s="359"/>
      <c r="D88" s="361"/>
      <c r="E88" s="388"/>
      <c r="F88" s="339" t="s">
        <v>161</v>
      </c>
      <c r="G88" s="419"/>
      <c r="H88" s="390">
        <f t="shared" si="25"/>
        <v>0</v>
      </c>
      <c r="I88" s="421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562"/>
      <c r="B89" s="336">
        <v>0</v>
      </c>
      <c r="C89" s="359"/>
      <c r="D89" s="361"/>
      <c r="E89" s="388"/>
      <c r="F89" s="339" t="s">
        <v>161</v>
      </c>
      <c r="G89" s="419"/>
      <c r="H89" s="390">
        <f t="shared" si="25"/>
        <v>0</v>
      </c>
      <c r="I89" s="421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562"/>
      <c r="B90" s="336">
        <v>0</v>
      </c>
      <c r="C90" s="359"/>
      <c r="D90" s="361"/>
      <c r="E90" s="388"/>
      <c r="F90" s="339" t="s">
        <v>161</v>
      </c>
      <c r="G90" s="419"/>
      <c r="H90" s="390">
        <f t="shared" si="25"/>
        <v>0</v>
      </c>
      <c r="I90" s="421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562"/>
      <c r="B91" s="336">
        <v>0</v>
      </c>
      <c r="C91" s="204" t="s">
        <v>224</v>
      </c>
      <c r="D91" s="563" t="s">
        <v>219</v>
      </c>
      <c r="E91" s="563"/>
      <c r="F91" s="350"/>
      <c r="G91" s="392"/>
      <c r="H91" s="393"/>
      <c r="I91" s="353"/>
      <c r="J91" s="354">
        <f>AVERAGE(J82:J90)</f>
        <v>3.5</v>
      </c>
      <c r="K91" s="354">
        <f>AVERAGE(K82:K90)</f>
        <v>2501.4285714285752</v>
      </c>
      <c r="L91" s="355">
        <f>AVERAGE(L82:L90)</f>
        <v>716.64285714285847</v>
      </c>
      <c r="M91" s="344"/>
      <c r="N91" s="344"/>
      <c r="O91" s="342"/>
      <c r="P91" s="342"/>
      <c r="Q91" s="343"/>
      <c r="R91" s="343"/>
    </row>
    <row r="92" spans="1:18" ht="16.2" customHeight="1">
      <c r="A92" s="564" t="s">
        <v>245</v>
      </c>
      <c r="B92" s="336" t="s">
        <v>165</v>
      </c>
      <c r="C92" s="349"/>
      <c r="D92" s="361" t="s">
        <v>185</v>
      </c>
      <c r="E92" s="388"/>
      <c r="F92" s="339">
        <v>16.66</v>
      </c>
      <c r="G92" s="419">
        <v>6981</v>
      </c>
      <c r="H92" s="340">
        <f t="shared" ref="H92:H99" si="29">F92*G92</f>
        <v>116303.46</v>
      </c>
      <c r="I92" s="421"/>
      <c r="J92" s="341">
        <v>4</v>
      </c>
      <c r="K92" s="342">
        <f>G92/P92*60</f>
        <v>2792.4000000000015</v>
      </c>
      <c r="L92" s="343">
        <f t="shared" ref="L92:L93" si="30">K92/J92</f>
        <v>698.10000000000036</v>
      </c>
      <c r="M92" s="344">
        <v>0.72222222222222221</v>
      </c>
      <c r="N92" s="344">
        <v>0.82638888888888884</v>
      </c>
      <c r="O92" s="335">
        <v>20</v>
      </c>
      <c r="P92" s="424">
        <f>(N92-M92)*24*60</f>
        <v>149.99999999999994</v>
      </c>
      <c r="Q92" s="345"/>
      <c r="R92" s="345"/>
    </row>
    <row r="93" spans="1:18">
      <c r="A93" s="565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4609</v>
      </c>
      <c r="H93" s="340">
        <f t="shared" si="29"/>
        <v>82459.199999999997</v>
      </c>
      <c r="I93" s="421"/>
      <c r="J93" s="341">
        <v>3</v>
      </c>
      <c r="K93" s="342">
        <f t="shared" ref="K93" si="31">G93/P93*60</f>
        <v>2765.3999999999965</v>
      </c>
      <c r="L93" s="343">
        <f t="shared" si="30"/>
        <v>921.79999999999882</v>
      </c>
      <c r="M93" s="344">
        <v>0.84097222222222223</v>
      </c>
      <c r="N93" s="344">
        <v>0.91041666666666676</v>
      </c>
      <c r="O93" s="335">
        <v>21</v>
      </c>
      <c r="P93" s="424">
        <f>(N93-M93)*24*60</f>
        <v>100.00000000000013</v>
      </c>
      <c r="Q93" s="345"/>
      <c r="R93" s="345"/>
    </row>
    <row r="94" spans="1:18">
      <c r="A94" s="565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9"/>
        <v>0</v>
      </c>
      <c r="I94" s="421"/>
      <c r="J94" s="341"/>
      <c r="K94" s="342"/>
      <c r="L94" s="343"/>
      <c r="M94" s="344"/>
      <c r="N94" s="344"/>
      <c r="O94" s="335"/>
      <c r="P94" s="424"/>
      <c r="Q94" s="345"/>
      <c r="R94" s="345"/>
    </row>
    <row r="95" spans="1:18">
      <c r="A95" s="566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9"/>
        <v>0</v>
      </c>
      <c r="I95" s="421"/>
      <c r="J95" s="341"/>
      <c r="K95" s="342"/>
      <c r="L95" s="343"/>
      <c r="M95" s="344"/>
      <c r="N95" s="344"/>
      <c r="O95" s="335"/>
      <c r="P95" s="424"/>
      <c r="Q95" s="345"/>
      <c r="R95" s="345"/>
    </row>
    <row r="96" spans="1:18">
      <c r="A96" s="566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9"/>
        <v>0</v>
      </c>
      <c r="I96" s="421"/>
      <c r="J96" s="341"/>
      <c r="K96" s="342"/>
      <c r="L96" s="343"/>
      <c r="M96" s="344"/>
      <c r="N96" s="344"/>
      <c r="O96" s="335"/>
      <c r="P96" s="424"/>
      <c r="Q96" s="345"/>
      <c r="R96" s="345"/>
    </row>
    <row r="97" spans="1:18">
      <c r="A97" s="566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9"/>
        <v>0</v>
      </c>
      <c r="I97" s="421"/>
      <c r="J97" s="341"/>
      <c r="K97" s="342"/>
      <c r="L97" s="343"/>
      <c r="M97" s="344"/>
      <c r="N97" s="344"/>
      <c r="O97" s="335"/>
      <c r="P97" s="424"/>
      <c r="Q97" s="345"/>
      <c r="R97" s="345"/>
    </row>
    <row r="98" spans="1:18">
      <c r="A98" s="566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9"/>
        <v>0</v>
      </c>
      <c r="I98" s="421"/>
      <c r="J98" s="341"/>
      <c r="K98" s="342"/>
      <c r="L98" s="343"/>
      <c r="M98" s="344"/>
      <c r="N98" s="344"/>
      <c r="O98" s="335"/>
      <c r="P98" s="424"/>
      <c r="Q98" s="345"/>
      <c r="R98" s="345"/>
    </row>
    <row r="99" spans="1:18">
      <c r="A99" s="566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9"/>
        <v>0</v>
      </c>
      <c r="I99" s="421"/>
      <c r="J99" s="341"/>
      <c r="K99" s="342"/>
      <c r="L99" s="343"/>
      <c r="M99" s="344"/>
      <c r="N99" s="344"/>
      <c r="O99" s="335"/>
      <c r="P99" s="424"/>
      <c r="Q99" s="345"/>
      <c r="R99" s="345"/>
    </row>
    <row r="100" spans="1:18" ht="15.75" customHeight="1">
      <c r="A100" s="566"/>
      <c r="B100" s="336">
        <v>0</v>
      </c>
      <c r="C100" s="204" t="s">
        <v>246</v>
      </c>
      <c r="D100" s="559" t="s">
        <v>219</v>
      </c>
      <c r="E100" s="560"/>
      <c r="F100" s="350"/>
      <c r="G100" s="351"/>
      <c r="H100" s="395"/>
      <c r="I100" s="353"/>
      <c r="J100" s="354">
        <f>AVERAGE(J92:J99)</f>
        <v>3.5</v>
      </c>
      <c r="K100" s="354">
        <f>AVERAGE(K92:K99)</f>
        <v>2778.8999999999987</v>
      </c>
      <c r="L100" s="355">
        <f>AVERAGE(L92:L99)</f>
        <v>809.94999999999959</v>
      </c>
      <c r="M100" s="344"/>
      <c r="N100" s="344"/>
      <c r="O100" s="342"/>
      <c r="P100" s="342"/>
      <c r="Q100" s="343"/>
      <c r="R100" s="343"/>
    </row>
    <row r="101" spans="1:18" ht="16.2" customHeight="1">
      <c r="A101" s="551" t="s">
        <v>247</v>
      </c>
      <c r="B101" s="336" t="s">
        <v>165</v>
      </c>
      <c r="C101" s="204"/>
      <c r="D101" s="361" t="s">
        <v>248</v>
      </c>
      <c r="E101" s="425"/>
      <c r="F101" s="339">
        <v>30</v>
      </c>
      <c r="G101" s="419">
        <v>1925</v>
      </c>
      <c r="H101" s="340">
        <f t="shared" ref="H101:H110" si="32">F101*G101</f>
        <v>57750</v>
      </c>
      <c r="I101" s="421"/>
      <c r="J101" s="341">
        <v>3</v>
      </c>
      <c r="K101" s="342">
        <f>G101/P101*60</f>
        <v>2887.4999999999991</v>
      </c>
      <c r="L101" s="343">
        <f t="shared" ref="L101:L105" si="33">K101/J101</f>
        <v>962.49999999999966</v>
      </c>
      <c r="M101" s="344">
        <v>0.72222222222222221</v>
      </c>
      <c r="N101" s="344">
        <v>0.75</v>
      </c>
      <c r="O101" s="335">
        <v>20</v>
      </c>
      <c r="P101" s="342">
        <f t="shared" ref="P101:P103" si="34">(N101-M101)*24*60</f>
        <v>40.000000000000014</v>
      </c>
      <c r="Q101" s="343"/>
      <c r="R101" s="345"/>
    </row>
    <row r="102" spans="1:18" ht="15.6" customHeight="1">
      <c r="A102" s="551"/>
      <c r="B102" s="336" t="s">
        <v>165</v>
      </c>
      <c r="C102" s="204"/>
      <c r="D102" s="361" t="s">
        <v>187</v>
      </c>
      <c r="E102" s="425"/>
      <c r="F102" s="339">
        <v>24.82</v>
      </c>
      <c r="G102" s="419">
        <v>1843</v>
      </c>
      <c r="H102" s="340">
        <f t="shared" si="32"/>
        <v>45743.26</v>
      </c>
      <c r="I102" s="421"/>
      <c r="J102" s="341">
        <v>4</v>
      </c>
      <c r="K102" s="342">
        <f t="shared" ref="K102:K105" si="35">G102/P102*60</f>
        <v>2988.6486486486592</v>
      </c>
      <c r="L102" s="343">
        <f t="shared" si="33"/>
        <v>747.1621621621648</v>
      </c>
      <c r="M102" s="344">
        <v>0.76458333333333339</v>
      </c>
      <c r="N102" s="344">
        <v>0.79027777777777775</v>
      </c>
      <c r="O102" s="335">
        <v>21</v>
      </c>
      <c r="P102" s="342">
        <f t="shared" si="34"/>
        <v>36.999999999999872</v>
      </c>
      <c r="Q102" s="345"/>
      <c r="R102" s="345"/>
    </row>
    <row r="103" spans="1:18">
      <c r="A103" s="551"/>
      <c r="B103" s="336" t="s">
        <v>165</v>
      </c>
      <c r="C103" s="204"/>
      <c r="D103" s="361" t="s">
        <v>249</v>
      </c>
      <c r="E103" s="361"/>
      <c r="F103" s="339">
        <v>23.8</v>
      </c>
      <c r="G103" s="419">
        <v>839</v>
      </c>
      <c r="H103" s="340">
        <f t="shared" si="32"/>
        <v>19968.2</v>
      </c>
      <c r="I103" s="421"/>
      <c r="J103" s="341">
        <v>4</v>
      </c>
      <c r="K103" s="342">
        <f t="shared" si="35"/>
        <v>3355.9999999999764</v>
      </c>
      <c r="L103" s="343">
        <f t="shared" si="33"/>
        <v>838.99999999999409</v>
      </c>
      <c r="M103" s="344">
        <v>0.80555555555555547</v>
      </c>
      <c r="N103" s="344">
        <v>0.81597222222222221</v>
      </c>
      <c r="O103" s="335">
        <v>22</v>
      </c>
      <c r="P103" s="342">
        <f t="shared" si="34"/>
        <v>15.000000000000107</v>
      </c>
      <c r="Q103" s="345"/>
      <c r="R103" s="345"/>
    </row>
    <row r="104" spans="1:18">
      <c r="A104" s="551"/>
      <c r="B104" s="336" t="s">
        <v>165</v>
      </c>
      <c r="C104" s="204"/>
      <c r="D104" s="361" t="s">
        <v>250</v>
      </c>
      <c r="E104" s="379"/>
      <c r="F104" s="339">
        <v>24.76</v>
      </c>
      <c r="G104" s="419">
        <v>1428</v>
      </c>
      <c r="H104" s="340">
        <f t="shared" si="32"/>
        <v>35357.279999999999</v>
      </c>
      <c r="I104" s="421"/>
      <c r="J104" s="341">
        <v>4</v>
      </c>
      <c r="K104" s="342">
        <f t="shared" si="35"/>
        <v>3173.3333333333449</v>
      </c>
      <c r="L104" s="343">
        <f t="shared" si="33"/>
        <v>793.33333333333621</v>
      </c>
      <c r="M104" s="344">
        <v>0.82986111111111116</v>
      </c>
      <c r="N104" s="344">
        <v>0.84861111111111109</v>
      </c>
      <c r="O104" s="335">
        <v>20</v>
      </c>
      <c r="P104" s="342">
        <f>(N104-M104)*24*60</f>
        <v>26.999999999999904</v>
      </c>
      <c r="Q104" s="345"/>
      <c r="R104" s="345"/>
    </row>
    <row r="105" spans="1:18">
      <c r="A105" s="551"/>
      <c r="B105" s="336" t="s">
        <v>165</v>
      </c>
      <c r="C105" s="204"/>
      <c r="D105" s="361" t="s">
        <v>251</v>
      </c>
      <c r="E105" s="363"/>
      <c r="F105" s="339">
        <v>14.03</v>
      </c>
      <c r="G105" s="419">
        <v>7075</v>
      </c>
      <c r="H105" s="340">
        <f t="shared" si="32"/>
        <v>99262.25</v>
      </c>
      <c r="I105" s="421"/>
      <c r="J105" s="341">
        <v>3</v>
      </c>
      <c r="K105" s="342">
        <f t="shared" si="35"/>
        <v>2989.4366197183072</v>
      </c>
      <c r="L105" s="343">
        <f t="shared" si="33"/>
        <v>996.47887323943576</v>
      </c>
      <c r="M105" s="344">
        <v>0.86249999999999993</v>
      </c>
      <c r="N105" s="344">
        <v>0.96111111111111114</v>
      </c>
      <c r="O105" s="335">
        <v>20</v>
      </c>
      <c r="P105" s="342">
        <f>(N105-M105)*24*60</f>
        <v>142.00000000000014</v>
      </c>
      <c r="Q105" s="343"/>
      <c r="R105" s="345"/>
    </row>
    <row r="106" spans="1:18">
      <c r="A106" s="551"/>
      <c r="B106" s="336">
        <v>0</v>
      </c>
      <c r="C106" s="204"/>
      <c r="D106" s="363"/>
      <c r="E106" s="425"/>
      <c r="F106" s="339" t="s">
        <v>161</v>
      </c>
      <c r="G106" s="346"/>
      <c r="H106" s="340">
        <f t="shared" si="32"/>
        <v>0</v>
      </c>
      <c r="I106" s="421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551"/>
      <c r="B107" s="336">
        <v>0</v>
      </c>
      <c r="C107" s="204"/>
      <c r="D107" s="361"/>
      <c r="E107" s="363"/>
      <c r="F107" s="339" t="s">
        <v>161</v>
      </c>
      <c r="G107" s="419"/>
      <c r="H107" s="340">
        <f t="shared" si="32"/>
        <v>0</v>
      </c>
      <c r="I107" s="421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551"/>
      <c r="B108" s="336">
        <v>0</v>
      </c>
      <c r="C108" s="204"/>
      <c r="D108" s="361"/>
      <c r="E108" s="363"/>
      <c r="F108" s="339" t="s">
        <v>161</v>
      </c>
      <c r="G108" s="419"/>
      <c r="H108" s="340">
        <f t="shared" si="32"/>
        <v>0</v>
      </c>
      <c r="I108" s="421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551"/>
      <c r="B109" s="336">
        <v>0</v>
      </c>
      <c r="C109" s="349"/>
      <c r="D109" s="361"/>
      <c r="E109" s="363"/>
      <c r="F109" s="339" t="s">
        <v>161</v>
      </c>
      <c r="G109" s="419"/>
      <c r="H109" s="340">
        <f t="shared" si="32"/>
        <v>0</v>
      </c>
      <c r="I109" s="421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551"/>
      <c r="B110" s="336">
        <v>0</v>
      </c>
      <c r="C110" s="349"/>
      <c r="D110" s="361"/>
      <c r="E110" s="363"/>
      <c r="F110" s="339" t="s">
        <v>161</v>
      </c>
      <c r="G110" s="419"/>
      <c r="H110" s="340">
        <f t="shared" si="32"/>
        <v>0</v>
      </c>
      <c r="I110" s="421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551"/>
      <c r="B111" s="336">
        <v>0</v>
      </c>
      <c r="C111" s="204" t="s">
        <v>236</v>
      </c>
      <c r="D111" s="552" t="s">
        <v>219</v>
      </c>
      <c r="E111" s="553"/>
      <c r="F111" s="396"/>
      <c r="G111" s="397"/>
      <c r="H111" s="352"/>
      <c r="I111" s="353"/>
      <c r="J111" s="354">
        <f>AVERAGE(J101:J110)</f>
        <v>3.6</v>
      </c>
      <c r="K111" s="354">
        <f>AVERAGE(K101:K110)</f>
        <v>3078.9837203400575</v>
      </c>
      <c r="L111" s="355">
        <f>AVERAGE(L101:L110)</f>
        <v>867.69487374698599</v>
      </c>
      <c r="M111" s="344"/>
      <c r="N111" s="344"/>
      <c r="O111" s="342"/>
      <c r="P111" s="342"/>
      <c r="Q111" s="343"/>
      <c r="R111" s="335"/>
    </row>
    <row r="112" spans="1:18" ht="16.2" customHeight="1">
      <c r="A112" s="554" t="s">
        <v>252</v>
      </c>
      <c r="B112" s="336" t="s">
        <v>165</v>
      </c>
      <c r="C112" s="204"/>
      <c r="D112" s="363" t="s">
        <v>188</v>
      </c>
      <c r="E112" s="398"/>
      <c r="F112" s="339">
        <v>28.57</v>
      </c>
      <c r="G112" s="419">
        <v>3393</v>
      </c>
      <c r="H112" s="389">
        <f t="shared" si="17"/>
        <v>96938.01</v>
      </c>
      <c r="I112" s="421"/>
      <c r="J112" s="341">
        <v>3</v>
      </c>
      <c r="K112" s="342">
        <f t="shared" ref="K112:K117" si="36">G112/P112*60</f>
        <v>2993.8235294117685</v>
      </c>
      <c r="L112" s="343">
        <f t="shared" ref="L112:L117" si="37">K112/J112</f>
        <v>997.94117647058954</v>
      </c>
      <c r="M112" s="344">
        <v>0.72222222222222221</v>
      </c>
      <c r="N112" s="344">
        <v>0.76944444444444438</v>
      </c>
      <c r="O112" s="335">
        <v>20</v>
      </c>
      <c r="P112" s="424">
        <f t="shared" ref="P112:P116" si="38">(N112-M112)*24*60</f>
        <v>67.999999999999915</v>
      </c>
      <c r="Q112" s="335"/>
      <c r="R112" s="335"/>
    </row>
    <row r="113" spans="1:18">
      <c r="A113" s="554"/>
      <c r="B113" s="336" t="s">
        <v>165</v>
      </c>
      <c r="C113" s="359"/>
      <c r="D113" s="386" t="s">
        <v>253</v>
      </c>
      <c r="E113" s="386"/>
      <c r="F113" s="339">
        <v>25.03</v>
      </c>
      <c r="G113" s="419">
        <v>1060</v>
      </c>
      <c r="H113" s="389">
        <f t="shared" si="17"/>
        <v>26531.800000000003</v>
      </c>
      <c r="I113" s="421"/>
      <c r="J113" s="341">
        <v>4</v>
      </c>
      <c r="K113" s="342">
        <f t="shared" si="36"/>
        <v>2890.909090909101</v>
      </c>
      <c r="L113" s="343">
        <f t="shared" si="37"/>
        <v>722.72727272727525</v>
      </c>
      <c r="M113" s="344">
        <v>0.78472222222222221</v>
      </c>
      <c r="N113" s="344">
        <v>0.79999999999999993</v>
      </c>
      <c r="O113" s="335">
        <v>22</v>
      </c>
      <c r="P113" s="424">
        <f t="shared" si="38"/>
        <v>21.999999999999922</v>
      </c>
      <c r="Q113" s="345"/>
      <c r="R113" s="345"/>
    </row>
    <row r="114" spans="1:18">
      <c r="A114" s="554"/>
      <c r="B114" s="336" t="s">
        <v>165</v>
      </c>
      <c r="C114" s="359"/>
      <c r="D114" s="386" t="s">
        <v>254</v>
      </c>
      <c r="E114" s="361"/>
      <c r="F114" s="339">
        <v>16.7</v>
      </c>
      <c r="G114" s="419">
        <v>2413</v>
      </c>
      <c r="H114" s="389">
        <f t="shared" si="17"/>
        <v>40297.1</v>
      </c>
      <c r="I114" s="421"/>
      <c r="J114" s="341">
        <v>3</v>
      </c>
      <c r="K114" s="342">
        <f t="shared" si="36"/>
        <v>2895.6000000000099</v>
      </c>
      <c r="L114" s="343">
        <f t="shared" si="37"/>
        <v>965.20000000000334</v>
      </c>
      <c r="M114" s="344">
        <v>0.81388888888888899</v>
      </c>
      <c r="N114" s="344">
        <v>0.84861111111111109</v>
      </c>
      <c r="O114" s="335">
        <v>20</v>
      </c>
      <c r="P114" s="424">
        <f t="shared" si="38"/>
        <v>49.999999999999822</v>
      </c>
      <c r="Q114" s="345"/>
      <c r="R114" s="345"/>
    </row>
    <row r="115" spans="1:18">
      <c r="A115" s="554"/>
      <c r="B115" s="336" t="s">
        <v>165</v>
      </c>
      <c r="C115" s="359"/>
      <c r="D115" s="363" t="s">
        <v>255</v>
      </c>
      <c r="E115" s="379"/>
      <c r="F115" s="339">
        <v>18.18</v>
      </c>
      <c r="G115" s="419">
        <v>1365</v>
      </c>
      <c r="H115" s="389">
        <f t="shared" si="17"/>
        <v>24815.7</v>
      </c>
      <c r="I115" s="421"/>
      <c r="J115" s="341">
        <v>3</v>
      </c>
      <c r="K115" s="342">
        <f t="shared" si="36"/>
        <v>2924.9999999999936</v>
      </c>
      <c r="L115" s="343">
        <f t="shared" si="37"/>
        <v>974.99999999999784</v>
      </c>
      <c r="M115" s="344">
        <v>0.86319444444444438</v>
      </c>
      <c r="N115" s="344">
        <v>0.88263888888888886</v>
      </c>
      <c r="O115" s="335">
        <v>21</v>
      </c>
      <c r="P115" s="424">
        <f t="shared" si="38"/>
        <v>28.00000000000006</v>
      </c>
      <c r="Q115" s="345"/>
      <c r="R115" s="345"/>
    </row>
    <row r="116" spans="1:18">
      <c r="A116" s="554"/>
      <c r="B116" s="336" t="s">
        <v>165</v>
      </c>
      <c r="C116" s="359"/>
      <c r="D116" s="386" t="s">
        <v>256</v>
      </c>
      <c r="E116" s="363"/>
      <c r="F116" s="339">
        <v>18.18</v>
      </c>
      <c r="G116" s="419">
        <v>1372</v>
      </c>
      <c r="H116" s="389">
        <f t="shared" si="17"/>
        <v>24942.959999999999</v>
      </c>
      <c r="I116" s="421"/>
      <c r="J116" s="341">
        <v>3</v>
      </c>
      <c r="K116" s="342">
        <f t="shared" si="36"/>
        <v>2939.9999999999768</v>
      </c>
      <c r="L116" s="343">
        <f t="shared" si="37"/>
        <v>979.99999999999227</v>
      </c>
      <c r="M116" s="344">
        <v>0.8965277777777777</v>
      </c>
      <c r="N116" s="391">
        <v>0.9159722222222223</v>
      </c>
      <c r="O116" s="335">
        <v>20</v>
      </c>
      <c r="P116" s="424">
        <f t="shared" si="38"/>
        <v>28.00000000000022</v>
      </c>
      <c r="Q116" s="345"/>
      <c r="R116" s="345"/>
    </row>
    <row r="117" spans="1:18">
      <c r="A117" s="554"/>
      <c r="B117" s="336" t="s">
        <v>165</v>
      </c>
      <c r="C117" s="359"/>
      <c r="D117" s="361" t="s">
        <v>257</v>
      </c>
      <c r="E117" s="376"/>
      <c r="F117" s="339">
        <v>14.285714285714283</v>
      </c>
      <c r="G117" s="419">
        <v>10171</v>
      </c>
      <c r="H117" s="389">
        <f t="shared" ref="H117:H123" si="39">F117*G117</f>
        <v>145299.99999999997</v>
      </c>
      <c r="I117" s="421"/>
      <c r="J117" s="341">
        <v>3</v>
      </c>
      <c r="K117" s="342">
        <f t="shared" si="36"/>
        <v>2976.8780488142979</v>
      </c>
      <c r="L117" s="343">
        <f t="shared" si="37"/>
        <v>992.29268293809935</v>
      </c>
      <c r="M117" s="344">
        <v>46297.930555555555</v>
      </c>
      <c r="N117" s="344">
        <v>46298.072916666664</v>
      </c>
      <c r="O117" s="335">
        <v>21</v>
      </c>
      <c r="P117" s="342">
        <f>(N117-M117)*24*60</f>
        <v>204.99999999767169</v>
      </c>
      <c r="Q117" s="345"/>
      <c r="R117" s="345"/>
    </row>
    <row r="118" spans="1:18">
      <c r="A118" s="554"/>
      <c r="B118" s="336">
        <v>0</v>
      </c>
      <c r="C118" s="359"/>
      <c r="D118" s="363"/>
      <c r="E118" s="376"/>
      <c r="F118" s="339" t="s">
        <v>161</v>
      </c>
      <c r="G118" s="419"/>
      <c r="H118" s="389">
        <f t="shared" si="39"/>
        <v>0</v>
      </c>
      <c r="I118" s="421"/>
      <c r="J118" s="341"/>
      <c r="K118" s="342"/>
      <c r="L118" s="343"/>
      <c r="M118" s="344"/>
      <c r="N118" s="344"/>
      <c r="O118" s="342"/>
      <c r="P118" s="424"/>
      <c r="Q118" s="345"/>
      <c r="R118" s="345"/>
    </row>
    <row r="119" spans="1:18">
      <c r="A119" s="554"/>
      <c r="B119" s="336">
        <v>0</v>
      </c>
      <c r="C119" s="359"/>
      <c r="D119" s="386"/>
      <c r="E119" s="376"/>
      <c r="F119" s="339" t="s">
        <v>161</v>
      </c>
      <c r="G119" s="419"/>
      <c r="H119" s="389">
        <f t="shared" si="39"/>
        <v>0</v>
      </c>
      <c r="I119" s="421"/>
      <c r="J119" s="341"/>
      <c r="K119" s="342"/>
      <c r="L119" s="343"/>
      <c r="M119" s="344"/>
      <c r="N119" s="344"/>
      <c r="O119" s="335"/>
      <c r="P119" s="424"/>
      <c r="Q119" s="345"/>
      <c r="R119" s="345"/>
    </row>
    <row r="120" spans="1:18">
      <c r="A120" s="554"/>
      <c r="B120" s="336">
        <v>0</v>
      </c>
      <c r="C120" s="359"/>
      <c r="D120" s="363"/>
      <c r="E120" s="376"/>
      <c r="F120" s="339" t="s">
        <v>161</v>
      </c>
      <c r="G120" s="419"/>
      <c r="H120" s="389">
        <f t="shared" si="39"/>
        <v>0</v>
      </c>
      <c r="I120" s="421"/>
      <c r="J120" s="341"/>
      <c r="K120" s="342"/>
      <c r="L120" s="343"/>
      <c r="M120" s="344"/>
      <c r="N120" s="344"/>
      <c r="O120" s="335"/>
      <c r="P120" s="424"/>
      <c r="Q120" s="345"/>
      <c r="R120" s="345"/>
    </row>
    <row r="121" spans="1:18">
      <c r="A121" s="554"/>
      <c r="B121" s="336">
        <v>0</v>
      </c>
      <c r="C121" s="359"/>
      <c r="D121" s="363"/>
      <c r="E121" s="376"/>
      <c r="F121" s="339" t="s">
        <v>161</v>
      </c>
      <c r="G121" s="419"/>
      <c r="H121" s="389">
        <f t="shared" si="39"/>
        <v>0</v>
      </c>
      <c r="I121" s="421"/>
      <c r="J121" s="341"/>
      <c r="K121" s="342"/>
      <c r="L121" s="343"/>
      <c r="M121" s="344"/>
      <c r="N121" s="344"/>
      <c r="O121" s="335"/>
      <c r="P121" s="424"/>
      <c r="Q121" s="345"/>
      <c r="R121" s="345"/>
    </row>
    <row r="122" spans="1:18" ht="15.6" customHeight="1">
      <c r="A122" s="554"/>
      <c r="B122" s="336">
        <v>0</v>
      </c>
      <c r="C122" s="359"/>
      <c r="D122" s="363"/>
      <c r="E122" s="376"/>
      <c r="F122" s="339" t="s">
        <v>161</v>
      </c>
      <c r="G122" s="419"/>
      <c r="H122" s="389">
        <f t="shared" si="39"/>
        <v>0</v>
      </c>
      <c r="I122" s="421"/>
      <c r="J122" s="341"/>
      <c r="K122" s="342"/>
      <c r="L122" s="343"/>
      <c r="M122" s="344"/>
      <c r="N122" s="344"/>
      <c r="O122" s="335"/>
      <c r="P122" s="424"/>
      <c r="Q122" s="345"/>
      <c r="R122" s="345"/>
    </row>
    <row r="123" spans="1:18">
      <c r="A123" s="554"/>
      <c r="B123" s="336">
        <v>0</v>
      </c>
      <c r="C123" s="359"/>
      <c r="D123" s="363"/>
      <c r="E123" s="376"/>
      <c r="F123" s="339" t="s">
        <v>161</v>
      </c>
      <c r="G123" s="419"/>
      <c r="H123" s="389">
        <f t="shared" si="39"/>
        <v>0</v>
      </c>
      <c r="I123" s="421"/>
      <c r="J123" s="341"/>
      <c r="K123" s="342"/>
      <c r="L123" s="343"/>
      <c r="M123" s="344"/>
      <c r="N123" s="344"/>
      <c r="O123" s="335"/>
      <c r="P123" s="424"/>
      <c r="Q123" s="345"/>
      <c r="R123" s="345"/>
    </row>
    <row r="124" spans="1:18" ht="17.399999999999999" customHeight="1">
      <c r="A124" s="554"/>
      <c r="B124" s="349">
        <v>0</v>
      </c>
      <c r="C124" s="204" t="s">
        <v>241</v>
      </c>
      <c r="D124" s="555" t="s">
        <v>219</v>
      </c>
      <c r="E124" s="555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2937.0351115225244</v>
      </c>
      <c r="L124" s="355">
        <f>AVERAGE(L112:L123)</f>
        <v>938.86018868932626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134" activePane="bottomRight" state="frozen"/>
      <selection activeCell="B151" sqref="B151"/>
      <selection pane="topRight" activeCell="B151" sqref="B151"/>
      <selection pane="bottomLeft" activeCell="B151" sqref="B151"/>
      <selection pane="bottomRight" activeCell="B151" sqref="B151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260</v>
      </c>
      <c r="B1" s="57"/>
      <c r="C1" s="57"/>
      <c r="D1" s="429" t="s">
        <v>198</v>
      </c>
      <c r="E1" s="58">
        <f>SUM(G5:G173)</f>
        <v>133943.40000000002</v>
      </c>
      <c r="F1" s="430" t="s">
        <v>3</v>
      </c>
      <c r="G1" s="59">
        <f>SUM(H5:H173)</f>
        <v>5280803.3835972352</v>
      </c>
      <c r="H1" s="426" t="s">
        <v>77</v>
      </c>
      <c r="I1" s="60">
        <f>M17+M30+M43+M56+M69+M82+M95+M108+M121+M134+M147+M160+M173</f>
        <v>188.89166666666665</v>
      </c>
      <c r="J1" s="674" t="s">
        <v>78</v>
      </c>
      <c r="K1" s="674"/>
      <c r="L1" s="674"/>
      <c r="M1" s="674" t="s">
        <v>79</v>
      </c>
      <c r="N1" s="674"/>
      <c r="O1" s="674"/>
      <c r="P1" s="674" t="s">
        <v>261</v>
      </c>
      <c r="Q1" s="674"/>
      <c r="R1" s="674"/>
      <c r="S1" s="674"/>
      <c r="T1" s="674" t="s">
        <v>201</v>
      </c>
      <c r="U1" s="674"/>
      <c r="V1" s="674"/>
      <c r="W1" s="674"/>
      <c r="X1" s="674"/>
      <c r="Y1" s="674"/>
      <c r="Z1" s="61" t="s">
        <v>262</v>
      </c>
      <c r="AA1" s="61" t="s">
        <v>263</v>
      </c>
      <c r="AB1" s="681" t="s">
        <v>264</v>
      </c>
      <c r="AC1" s="682"/>
      <c r="AD1" s="61" t="s">
        <v>262</v>
      </c>
      <c r="AE1" s="61" t="s">
        <v>265</v>
      </c>
      <c r="AF1" s="674" t="s">
        <v>266</v>
      </c>
      <c r="AG1" s="685"/>
      <c r="AH1" s="685"/>
      <c r="AK1" s="62" t="s">
        <v>267</v>
      </c>
    </row>
    <row r="2" spans="1:37" ht="26.25" customHeight="1">
      <c r="A2" s="671" t="s">
        <v>304</v>
      </c>
      <c r="B2" s="671"/>
      <c r="C2" s="429"/>
      <c r="D2" s="429" t="s">
        <v>203</v>
      </c>
      <c r="E2" s="63">
        <f>AVERAGE(O17,O30,O43,O56,O69,O82,O95,O108,O121,O134,O147,O160,O173)</f>
        <v>127.30732493650279</v>
      </c>
      <c r="F2" s="64" t="s">
        <v>80</v>
      </c>
      <c r="G2" s="65">
        <f>G1/E1</f>
        <v>39.425633391396921</v>
      </c>
      <c r="H2" s="426" t="s">
        <v>81</v>
      </c>
      <c r="I2" s="426">
        <f>COUNT(I5:I173)</f>
        <v>5</v>
      </c>
      <c r="J2" s="674"/>
      <c r="K2" s="674"/>
      <c r="L2" s="674"/>
      <c r="M2" s="674"/>
      <c r="N2" s="674"/>
      <c r="O2" s="674"/>
      <c r="P2" s="674"/>
      <c r="Q2" s="674"/>
      <c r="R2" s="674"/>
      <c r="S2" s="674"/>
      <c r="T2" s="674"/>
      <c r="U2" s="674"/>
      <c r="V2" s="674"/>
      <c r="W2" s="674"/>
      <c r="X2" s="674"/>
      <c r="Y2" s="674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683"/>
      <c r="AC2" s="684"/>
      <c r="AD2" s="67">
        <f>AD17+AD30+AD43+AD56+AD69+AD82+AD95+AD108+AD121+AD134+AD147+AD160+AD173</f>
        <v>3</v>
      </c>
      <c r="AE2" s="67">
        <f>AE17+AE30+AE43+AE56+AE69+AE82+AE95+AE108+AE121+AE134+AE147+AE160+AE173</f>
        <v>2</v>
      </c>
      <c r="AF2" s="685"/>
      <c r="AG2" s="685"/>
      <c r="AH2" s="685"/>
      <c r="AK2" s="402">
        <f>AVERAGE(AK5:AK9999)</f>
        <v>6.4313427010148523</v>
      </c>
    </row>
    <row r="3" spans="1:37" ht="30.6" customHeight="1">
      <c r="A3" s="616" t="s">
        <v>205</v>
      </c>
      <c r="B3" s="616" t="s">
        <v>82</v>
      </c>
      <c r="C3" s="672"/>
      <c r="D3" s="616" t="s">
        <v>207</v>
      </c>
      <c r="E3" s="616"/>
      <c r="F3" s="672" t="s">
        <v>83</v>
      </c>
      <c r="G3" s="676" t="s">
        <v>84</v>
      </c>
      <c r="H3" s="672" t="s">
        <v>85</v>
      </c>
      <c r="I3" s="677" t="s">
        <v>210</v>
      </c>
      <c r="J3" s="680" t="s">
        <v>86</v>
      </c>
      <c r="K3" s="669" t="s">
        <v>87</v>
      </c>
      <c r="L3" s="645" t="s">
        <v>35</v>
      </c>
      <c r="M3" s="676" t="s">
        <v>86</v>
      </c>
      <c r="N3" s="669" t="s">
        <v>212</v>
      </c>
      <c r="O3" s="645" t="s">
        <v>203</v>
      </c>
      <c r="P3" s="680" t="s">
        <v>211</v>
      </c>
      <c r="Q3" s="645" t="s">
        <v>203</v>
      </c>
      <c r="R3" s="670" t="s">
        <v>269</v>
      </c>
      <c r="S3" s="646" t="s">
        <v>270</v>
      </c>
      <c r="T3" s="676" t="s">
        <v>88</v>
      </c>
      <c r="U3" s="676"/>
      <c r="V3" s="675" t="s">
        <v>89</v>
      </c>
      <c r="W3" s="677" t="s">
        <v>213</v>
      </c>
      <c r="X3" s="676" t="s">
        <v>214</v>
      </c>
      <c r="Y3" s="676"/>
      <c r="Z3" s="678" t="s">
        <v>271</v>
      </c>
      <c r="AA3" s="679"/>
      <c r="AB3" s="665" t="s">
        <v>272</v>
      </c>
      <c r="AC3" s="666"/>
      <c r="AD3" s="667" t="s">
        <v>273</v>
      </c>
      <c r="AE3" s="668"/>
      <c r="AF3" s="669" t="s">
        <v>212</v>
      </c>
      <c r="AG3" s="670" t="s">
        <v>269</v>
      </c>
      <c r="AH3" s="646" t="s">
        <v>270</v>
      </c>
      <c r="AK3" s="675" t="s">
        <v>89</v>
      </c>
    </row>
    <row r="4" spans="1:37" ht="30.6" customHeight="1">
      <c r="A4" s="672"/>
      <c r="B4" s="616"/>
      <c r="C4" s="673"/>
      <c r="D4" s="616"/>
      <c r="E4" s="616"/>
      <c r="F4" s="673"/>
      <c r="G4" s="676"/>
      <c r="H4" s="673"/>
      <c r="I4" s="677"/>
      <c r="J4" s="680"/>
      <c r="K4" s="669"/>
      <c r="L4" s="645"/>
      <c r="M4" s="676"/>
      <c r="N4" s="669"/>
      <c r="O4" s="645"/>
      <c r="P4" s="680"/>
      <c r="Q4" s="645"/>
      <c r="R4" s="670"/>
      <c r="S4" s="646"/>
      <c r="T4" s="436" t="s">
        <v>90</v>
      </c>
      <c r="U4" s="436" t="s">
        <v>91</v>
      </c>
      <c r="V4" s="676"/>
      <c r="W4" s="677"/>
      <c r="X4" s="430" t="s">
        <v>215</v>
      </c>
      <c r="Y4" s="430" t="s">
        <v>36</v>
      </c>
      <c r="Z4" s="436" t="s">
        <v>274</v>
      </c>
      <c r="AA4" s="436" t="s">
        <v>275</v>
      </c>
      <c r="AB4" s="666"/>
      <c r="AC4" s="666"/>
      <c r="AD4" s="436" t="s">
        <v>276</v>
      </c>
      <c r="AE4" s="68" t="s">
        <v>277</v>
      </c>
      <c r="AF4" s="669"/>
      <c r="AG4" s="670"/>
      <c r="AH4" s="646"/>
      <c r="AK4" s="676"/>
    </row>
    <row r="5" spans="1:37" ht="18.75" customHeight="1">
      <c r="A5" s="661" t="s">
        <v>278</v>
      </c>
      <c r="B5" s="69" t="s">
        <v>163</v>
      </c>
      <c r="C5" s="70"/>
      <c r="D5" s="71" t="s">
        <v>93</v>
      </c>
      <c r="E5" s="72"/>
      <c r="F5" s="73">
        <v>36.92</v>
      </c>
      <c r="G5" s="74">
        <v>812</v>
      </c>
      <c r="H5" s="75">
        <f t="shared" ref="H5:H16" si="0">F5*G5</f>
        <v>29979.040000000001</v>
      </c>
      <c r="I5" s="427"/>
      <c r="J5" s="76">
        <v>12</v>
      </c>
      <c r="K5" s="74">
        <v>2000</v>
      </c>
      <c r="L5" s="77">
        <v>166.66666666666666</v>
      </c>
      <c r="M5" s="428">
        <v>12</v>
      </c>
      <c r="N5" s="74">
        <f t="shared" ref="N5:N12" si="1">G5/W5*60</f>
        <v>1571.6129032258077</v>
      </c>
      <c r="O5" s="77">
        <f t="shared" ref="O5:O12" si="2">N5/M5</f>
        <v>130.96774193548399</v>
      </c>
      <c r="P5" s="78">
        <f t="shared" ref="P5:P12" si="3">M5-J5</f>
        <v>0</v>
      </c>
      <c r="Q5" s="79">
        <f t="shared" ref="Q5:Q12" si="4">O5-L5</f>
        <v>-35.698924731182672</v>
      </c>
      <c r="R5" s="434">
        <f t="shared" ref="R5:R12" si="5">O5/L5</f>
        <v>0.78580645161290397</v>
      </c>
      <c r="S5" s="631">
        <f>R17</f>
        <v>0.86863426807831357</v>
      </c>
      <c r="T5" s="80">
        <v>0.25</v>
      </c>
      <c r="U5" s="80">
        <v>0.27152777777777776</v>
      </c>
      <c r="V5" s="430">
        <v>5</v>
      </c>
      <c r="W5" s="427">
        <f>(U5-T5)*24*60</f>
        <v>30.999999999999972</v>
      </c>
      <c r="X5" s="430"/>
      <c r="Y5" s="430"/>
      <c r="Z5" s="81"/>
      <c r="AA5" s="81"/>
      <c r="AB5" s="616"/>
      <c r="AC5" s="616"/>
      <c r="AD5" s="82"/>
      <c r="AE5" s="82"/>
      <c r="AF5" s="78">
        <f t="shared" ref="AF5:AF70" si="6">N5-K5</f>
        <v>-428.38709677419229</v>
      </c>
      <c r="AG5" s="434">
        <f t="shared" ref="AG5:AG70" si="7">N5/K5</f>
        <v>0.78580645161290386</v>
      </c>
      <c r="AH5" s="631">
        <f>AG17</f>
        <v>0.87374513541404186</v>
      </c>
      <c r="AJ5" s="62" t="str">
        <f>A5</f>
        <v>四度一組
(ET-600)</v>
      </c>
      <c r="AK5" s="404">
        <f>AVERAGE(AK6:AK16)</f>
        <v>6.4285714285714795</v>
      </c>
    </row>
    <row r="6" spans="1:37" ht="19.2" customHeight="1">
      <c r="A6" s="662"/>
      <c r="B6" s="69" t="s">
        <v>162</v>
      </c>
      <c r="C6" s="70"/>
      <c r="D6" s="71" t="s">
        <v>92</v>
      </c>
      <c r="E6" s="72"/>
      <c r="F6" s="73">
        <v>37.83</v>
      </c>
      <c r="G6" s="74">
        <v>5695</v>
      </c>
      <c r="H6" s="75">
        <f t="shared" si="0"/>
        <v>215441.84999999998</v>
      </c>
      <c r="I6" s="427"/>
      <c r="J6" s="76">
        <v>20</v>
      </c>
      <c r="K6" s="74">
        <v>2400</v>
      </c>
      <c r="L6" s="77">
        <v>120</v>
      </c>
      <c r="M6" s="428">
        <v>20</v>
      </c>
      <c r="N6" s="74">
        <f t="shared" si="1"/>
        <v>2248.0263157894733</v>
      </c>
      <c r="O6" s="77">
        <f t="shared" si="2"/>
        <v>112.40131578947367</v>
      </c>
      <c r="P6" s="78">
        <f t="shared" si="3"/>
        <v>0</v>
      </c>
      <c r="Q6" s="79">
        <f t="shared" si="4"/>
        <v>-7.5986842105263293</v>
      </c>
      <c r="R6" s="434">
        <f t="shared" si="5"/>
        <v>0.93667763157894723</v>
      </c>
      <c r="S6" s="631"/>
      <c r="T6" s="80">
        <v>0.27638888888888885</v>
      </c>
      <c r="U6" s="80">
        <v>0.38194444444444442</v>
      </c>
      <c r="V6" s="430">
        <v>7</v>
      </c>
      <c r="W6" s="427">
        <f t="shared" ref="W6:W17" si="8">(U6-T6)*24*60</f>
        <v>152.00000000000003</v>
      </c>
      <c r="X6" s="83"/>
      <c r="Y6" s="83"/>
      <c r="Z6" s="84"/>
      <c r="AA6" s="84"/>
      <c r="AB6" s="616"/>
      <c r="AC6" s="616"/>
      <c r="AD6" s="443"/>
      <c r="AE6" s="443"/>
      <c r="AF6" s="78">
        <f t="shared" si="6"/>
        <v>-151.9736842105267</v>
      </c>
      <c r="AG6" s="434">
        <f t="shared" si="7"/>
        <v>0.93667763157894723</v>
      </c>
      <c r="AH6" s="631"/>
      <c r="AJ6" s="405">
        <f>IF((IF(V6&lt;10,V6,(X6-U5)*1440))=0,"",IF(V6&lt;10,V6,(X6-U5)*1440))</f>
        <v>7</v>
      </c>
      <c r="AK6" s="406">
        <f>IF(AJ6&gt;4,AJ6,"")</f>
        <v>7</v>
      </c>
    </row>
    <row r="7" spans="1:37" ht="19.2" customHeight="1">
      <c r="A7" s="662"/>
      <c r="B7" s="69" t="s">
        <v>162</v>
      </c>
      <c r="C7" s="70"/>
      <c r="D7" s="71" t="s">
        <v>94</v>
      </c>
      <c r="E7" s="72"/>
      <c r="F7" s="73">
        <v>35.89</v>
      </c>
      <c r="G7" s="74">
        <v>2080</v>
      </c>
      <c r="H7" s="75">
        <f t="shared" si="0"/>
        <v>74651.199999999997</v>
      </c>
      <c r="I7" s="427"/>
      <c r="J7" s="76">
        <v>18</v>
      </c>
      <c r="K7" s="74">
        <v>2571</v>
      </c>
      <c r="L7" s="77">
        <v>142.83333333333334</v>
      </c>
      <c r="M7" s="428">
        <v>18</v>
      </c>
      <c r="N7" s="74">
        <f t="shared" si="1"/>
        <v>2311.1111111111122</v>
      </c>
      <c r="O7" s="77">
        <f t="shared" si="2"/>
        <v>128.39506172839512</v>
      </c>
      <c r="P7" s="78">
        <f t="shared" si="3"/>
        <v>0</v>
      </c>
      <c r="Q7" s="79">
        <f t="shared" si="4"/>
        <v>-14.438271604938222</v>
      </c>
      <c r="R7" s="434">
        <f t="shared" si="5"/>
        <v>0.89891525130731698</v>
      </c>
      <c r="S7" s="631"/>
      <c r="T7" s="80">
        <v>0.3972222222222222</v>
      </c>
      <c r="U7" s="80">
        <v>0.43472222222222218</v>
      </c>
      <c r="V7" s="430">
        <v>22</v>
      </c>
      <c r="W7" s="427">
        <f t="shared" si="8"/>
        <v>53.999999999999972</v>
      </c>
      <c r="X7" s="83">
        <v>0.38611111111111113</v>
      </c>
      <c r="Y7" s="83">
        <v>0.39583333333333331</v>
      </c>
      <c r="Z7" s="84"/>
      <c r="AA7" s="84"/>
      <c r="AB7" s="616"/>
      <c r="AC7" s="616"/>
      <c r="AD7" s="443">
        <v>1</v>
      </c>
      <c r="AE7" s="443"/>
      <c r="AF7" s="78">
        <f t="shared" si="6"/>
        <v>-259.88888888888778</v>
      </c>
      <c r="AG7" s="434">
        <f t="shared" si="7"/>
        <v>0.89891525130731709</v>
      </c>
      <c r="AH7" s="631"/>
      <c r="AJ7" s="405">
        <f t="shared" ref="AJ7:AJ16" si="9">IF((IF(V7&lt;10,V7,(X7-U6)*1440))=0,"",IF(V7&lt;10,V7,(X7-U6)*1440))</f>
        <v>6.0000000000000586</v>
      </c>
      <c r="AK7" s="406">
        <f t="shared" ref="AK7:AK16" si="10">IF(AJ7&gt;4,AJ7,"")</f>
        <v>6.0000000000000586</v>
      </c>
    </row>
    <row r="8" spans="1:37" ht="19.2" customHeight="1">
      <c r="A8" s="662"/>
      <c r="B8" s="69" t="s">
        <v>162</v>
      </c>
      <c r="C8" s="70"/>
      <c r="D8" s="71" t="s">
        <v>95</v>
      </c>
      <c r="E8" s="72"/>
      <c r="F8" s="73">
        <v>36.729999999999997</v>
      </c>
      <c r="G8" s="85">
        <v>765</v>
      </c>
      <c r="H8" s="75">
        <f t="shared" si="0"/>
        <v>28098.449999999997</v>
      </c>
      <c r="I8" s="427"/>
      <c r="J8" s="76">
        <v>18</v>
      </c>
      <c r="K8" s="74">
        <v>2571</v>
      </c>
      <c r="L8" s="77">
        <v>142.83333333333334</v>
      </c>
      <c r="M8" s="428">
        <v>18</v>
      </c>
      <c r="N8" s="74">
        <f t="shared" si="1"/>
        <v>2185.7142857142849</v>
      </c>
      <c r="O8" s="77">
        <f t="shared" si="2"/>
        <v>121.42857142857139</v>
      </c>
      <c r="P8" s="78">
        <f t="shared" si="3"/>
        <v>0</v>
      </c>
      <c r="Q8" s="79">
        <f t="shared" si="4"/>
        <v>-21.404761904761955</v>
      </c>
      <c r="R8" s="434">
        <f t="shared" si="5"/>
        <v>0.85014169028171327</v>
      </c>
      <c r="S8" s="631"/>
      <c r="T8" s="80">
        <v>0.43958333333333327</v>
      </c>
      <c r="U8" s="80">
        <v>0.45416666666666661</v>
      </c>
      <c r="V8" s="430">
        <v>7</v>
      </c>
      <c r="W8" s="427">
        <f t="shared" si="8"/>
        <v>21.000000000000007</v>
      </c>
      <c r="X8" s="83"/>
      <c r="Y8" s="83"/>
      <c r="Z8" s="84"/>
      <c r="AA8" s="84"/>
      <c r="AB8" s="616"/>
      <c r="AC8" s="616"/>
      <c r="AD8" s="443"/>
      <c r="AE8" s="443"/>
      <c r="AF8" s="78">
        <f t="shared" si="6"/>
        <v>-385.28571428571513</v>
      </c>
      <c r="AG8" s="434">
        <f t="shared" si="7"/>
        <v>0.85014169028171327</v>
      </c>
      <c r="AH8" s="631"/>
      <c r="AJ8" s="405">
        <f t="shared" si="9"/>
        <v>7</v>
      </c>
      <c r="AK8" s="406">
        <f t="shared" si="10"/>
        <v>7</v>
      </c>
    </row>
    <row r="9" spans="1:37" ht="19.2" customHeight="1">
      <c r="A9" s="662"/>
      <c r="B9" s="69" t="s">
        <v>162</v>
      </c>
      <c r="C9" s="86"/>
      <c r="D9" s="71" t="s">
        <v>96</v>
      </c>
      <c r="E9" s="87"/>
      <c r="F9" s="73">
        <v>28.86</v>
      </c>
      <c r="G9" s="74">
        <v>1181</v>
      </c>
      <c r="H9" s="75">
        <f t="shared" si="0"/>
        <v>34083.659999999996</v>
      </c>
      <c r="I9" s="443"/>
      <c r="J9" s="76">
        <v>17</v>
      </c>
      <c r="K9" s="74">
        <v>2571</v>
      </c>
      <c r="L9" s="77">
        <v>151.23529411764707</v>
      </c>
      <c r="M9" s="428">
        <v>17</v>
      </c>
      <c r="N9" s="74">
        <f t="shared" si="1"/>
        <v>2285.8064516129052</v>
      </c>
      <c r="O9" s="77">
        <f t="shared" si="2"/>
        <v>134.45920303605325</v>
      </c>
      <c r="P9" s="78">
        <f t="shared" si="3"/>
        <v>0</v>
      </c>
      <c r="Q9" s="79">
        <f t="shared" si="4"/>
        <v>-16.776091081593819</v>
      </c>
      <c r="R9" s="434">
        <f t="shared" si="5"/>
        <v>0.88907291000112998</v>
      </c>
      <c r="S9" s="631"/>
      <c r="T9" s="80">
        <v>0.4590277777777777</v>
      </c>
      <c r="U9" s="80">
        <v>0.48055555555555546</v>
      </c>
      <c r="V9" s="430">
        <v>7</v>
      </c>
      <c r="W9" s="427">
        <f t="shared" si="8"/>
        <v>30.999999999999972</v>
      </c>
      <c r="X9" s="83"/>
      <c r="Y9" s="83"/>
      <c r="Z9" s="84"/>
      <c r="AA9" s="84"/>
      <c r="AB9" s="616"/>
      <c r="AC9" s="616"/>
      <c r="AD9" s="443"/>
      <c r="AE9" s="443"/>
      <c r="AF9" s="78">
        <f t="shared" si="6"/>
        <v>-285.19354838709478</v>
      </c>
      <c r="AG9" s="434">
        <f t="shared" si="7"/>
        <v>0.88907291000112998</v>
      </c>
      <c r="AH9" s="631"/>
      <c r="AJ9" s="405">
        <f t="shared" si="9"/>
        <v>7</v>
      </c>
      <c r="AK9" s="406">
        <f t="shared" si="10"/>
        <v>7</v>
      </c>
    </row>
    <row r="10" spans="1:37" ht="19.2" customHeight="1">
      <c r="A10" s="663"/>
      <c r="B10" s="69" t="s">
        <v>162</v>
      </c>
      <c r="C10" s="70"/>
      <c r="D10" s="71" t="s">
        <v>97</v>
      </c>
      <c r="E10" s="72"/>
      <c r="F10" s="73">
        <v>31.11</v>
      </c>
      <c r="G10" s="74">
        <v>1760</v>
      </c>
      <c r="H10" s="75">
        <f t="shared" si="0"/>
        <v>54753.599999999999</v>
      </c>
      <c r="I10" s="427"/>
      <c r="J10" s="76">
        <v>18</v>
      </c>
      <c r="K10" s="74">
        <v>2769</v>
      </c>
      <c r="L10" s="77">
        <v>153.83333333333334</v>
      </c>
      <c r="M10" s="428">
        <v>18</v>
      </c>
      <c r="N10" s="74">
        <f t="shared" si="1"/>
        <v>2346.666666666667</v>
      </c>
      <c r="O10" s="77">
        <f t="shared" si="2"/>
        <v>130.37037037037038</v>
      </c>
      <c r="P10" s="78">
        <f t="shared" si="3"/>
        <v>0</v>
      </c>
      <c r="Q10" s="79">
        <f t="shared" si="4"/>
        <v>-23.462962962962962</v>
      </c>
      <c r="R10" s="434">
        <f t="shared" si="5"/>
        <v>0.84747803057662219</v>
      </c>
      <c r="S10" s="632"/>
      <c r="T10" s="80">
        <v>0.52083333333333315</v>
      </c>
      <c r="U10" s="80">
        <v>0.55208333333333315</v>
      </c>
      <c r="V10" s="430">
        <v>5</v>
      </c>
      <c r="W10" s="427">
        <f t="shared" si="8"/>
        <v>45</v>
      </c>
      <c r="X10" s="83"/>
      <c r="Y10" s="83"/>
      <c r="Z10" s="84"/>
      <c r="AA10" s="84"/>
      <c r="AB10" s="616"/>
      <c r="AC10" s="616"/>
      <c r="AD10" s="443"/>
      <c r="AE10" s="443"/>
      <c r="AF10" s="78">
        <f>N10-K10</f>
        <v>-422.33333333333303</v>
      </c>
      <c r="AG10" s="434">
        <f>N10/K10</f>
        <v>0.84747803057662219</v>
      </c>
      <c r="AH10" s="632"/>
      <c r="AJ10" s="405">
        <f t="shared" si="9"/>
        <v>5</v>
      </c>
      <c r="AK10" s="406">
        <f t="shared" si="10"/>
        <v>5</v>
      </c>
    </row>
    <row r="11" spans="1:37" ht="19.2" customHeight="1">
      <c r="A11" s="663"/>
      <c r="B11" s="69" t="s">
        <v>162</v>
      </c>
      <c r="C11" s="70"/>
      <c r="D11" s="88" t="s">
        <v>98</v>
      </c>
      <c r="E11" s="72"/>
      <c r="F11" s="73">
        <v>38.479999999999997</v>
      </c>
      <c r="G11" s="74">
        <v>2324</v>
      </c>
      <c r="H11" s="75">
        <f t="shared" si="0"/>
        <v>89427.51999999999</v>
      </c>
      <c r="I11" s="427"/>
      <c r="J11" s="76">
        <v>19</v>
      </c>
      <c r="K11" s="74">
        <v>2769</v>
      </c>
      <c r="L11" s="77">
        <v>145.73684210526315</v>
      </c>
      <c r="M11" s="428">
        <v>19</v>
      </c>
      <c r="N11" s="74">
        <f t="shared" si="1"/>
        <v>2404.1379310344846</v>
      </c>
      <c r="O11" s="77">
        <f t="shared" si="2"/>
        <v>126.53357531760446</v>
      </c>
      <c r="P11" s="78">
        <f t="shared" si="3"/>
        <v>0</v>
      </c>
      <c r="Q11" s="79">
        <f t="shared" si="4"/>
        <v>-19.203266787658691</v>
      </c>
      <c r="R11" s="434">
        <f t="shared" si="5"/>
        <v>0.86823327231292335</v>
      </c>
      <c r="S11" s="632"/>
      <c r="T11" s="80">
        <v>0.55694444444444424</v>
      </c>
      <c r="U11" s="80">
        <v>0.59722222222222199</v>
      </c>
      <c r="V11" s="430">
        <v>7</v>
      </c>
      <c r="W11" s="427">
        <f t="shared" si="8"/>
        <v>57.999999999999957</v>
      </c>
      <c r="X11" s="83"/>
      <c r="Y11" s="83"/>
      <c r="Z11" s="84"/>
      <c r="AA11" s="84"/>
      <c r="AB11" s="616"/>
      <c r="AC11" s="616"/>
      <c r="AD11" s="443"/>
      <c r="AE11" s="443"/>
      <c r="AF11" s="78">
        <f>N11-K11</f>
        <v>-364.86206896551539</v>
      </c>
      <c r="AG11" s="434">
        <f>N11/K11</f>
        <v>0.86823327231292324</v>
      </c>
      <c r="AH11" s="632"/>
      <c r="AJ11" s="405">
        <f t="shared" si="9"/>
        <v>7</v>
      </c>
      <c r="AK11" s="406">
        <f t="shared" si="10"/>
        <v>7</v>
      </c>
    </row>
    <row r="12" spans="1:37" ht="19.2" customHeight="1">
      <c r="A12" s="663"/>
      <c r="B12" s="69" t="s">
        <v>162</v>
      </c>
      <c r="C12" s="70"/>
      <c r="D12" s="88" t="s">
        <v>99</v>
      </c>
      <c r="E12" s="72"/>
      <c r="F12" s="73">
        <v>37.799999999999997</v>
      </c>
      <c r="G12" s="74">
        <v>3111</v>
      </c>
      <c r="H12" s="75">
        <f t="shared" si="0"/>
        <v>117595.79999999999</v>
      </c>
      <c r="I12" s="427"/>
      <c r="J12" s="76">
        <v>20</v>
      </c>
      <c r="K12" s="74">
        <v>2769</v>
      </c>
      <c r="L12" s="77">
        <v>138.44999999999999</v>
      </c>
      <c r="M12" s="428">
        <v>20</v>
      </c>
      <c r="N12" s="74">
        <f t="shared" si="1"/>
        <v>2488.7999999999979</v>
      </c>
      <c r="O12" s="77">
        <f t="shared" si="2"/>
        <v>124.4399999999999</v>
      </c>
      <c r="P12" s="78">
        <f t="shared" si="3"/>
        <v>0</v>
      </c>
      <c r="Q12" s="79">
        <f t="shared" si="4"/>
        <v>-14.01000000000009</v>
      </c>
      <c r="R12" s="434">
        <f t="shared" si="5"/>
        <v>0.89880823401950094</v>
      </c>
      <c r="S12" s="632"/>
      <c r="T12" s="80">
        <v>0.61249999999999971</v>
      </c>
      <c r="U12" s="80">
        <v>0.66458333333333308</v>
      </c>
      <c r="V12" s="430">
        <v>22</v>
      </c>
      <c r="W12" s="427">
        <f t="shared" si="8"/>
        <v>75.000000000000057</v>
      </c>
      <c r="X12" s="83">
        <v>0.60138888888888886</v>
      </c>
      <c r="Y12" s="83">
        <v>0.61111111111111105</v>
      </c>
      <c r="Z12" s="84"/>
      <c r="AA12" s="84"/>
      <c r="AB12" s="616"/>
      <c r="AC12" s="616"/>
      <c r="AD12" s="443"/>
      <c r="AE12" s="443"/>
      <c r="AF12" s="78">
        <f t="shared" si="6"/>
        <v>-280.20000000000209</v>
      </c>
      <c r="AG12" s="434">
        <f t="shared" si="7"/>
        <v>0.89880823401950083</v>
      </c>
      <c r="AH12" s="632"/>
      <c r="AJ12" s="405">
        <f t="shared" si="9"/>
        <v>6.0000000000002984</v>
      </c>
      <c r="AK12" s="406">
        <f t="shared" si="10"/>
        <v>6.0000000000002984</v>
      </c>
    </row>
    <row r="13" spans="1:37" ht="19.2" customHeight="1">
      <c r="A13" s="663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431"/>
      <c r="J13" s="76"/>
      <c r="K13" s="74"/>
      <c r="L13" s="77"/>
      <c r="M13" s="92"/>
      <c r="N13" s="74"/>
      <c r="O13" s="77"/>
      <c r="P13" s="78"/>
      <c r="Q13" s="79"/>
      <c r="R13" s="434"/>
      <c r="S13" s="632"/>
      <c r="T13" s="80"/>
      <c r="U13" s="80"/>
      <c r="V13" s="431"/>
      <c r="W13" s="427">
        <f t="shared" si="8"/>
        <v>0</v>
      </c>
      <c r="X13" s="93"/>
      <c r="Y13" s="93"/>
      <c r="Z13" s="84"/>
      <c r="AA13" s="84"/>
      <c r="AB13" s="616"/>
      <c r="AC13" s="616"/>
      <c r="AD13" s="443"/>
      <c r="AE13" s="443"/>
      <c r="AF13" s="78">
        <f t="shared" si="6"/>
        <v>0</v>
      </c>
      <c r="AG13" s="434" t="e">
        <f t="shared" si="7"/>
        <v>#DIV/0!</v>
      </c>
      <c r="AH13" s="632"/>
      <c r="AJ13" s="405" t="str">
        <f t="shared" si="9"/>
        <v/>
      </c>
      <c r="AK13" s="406" t="str">
        <f t="shared" si="10"/>
        <v/>
      </c>
    </row>
    <row r="14" spans="1:37" ht="19.2" customHeight="1">
      <c r="A14" s="663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431"/>
      <c r="J14" s="76"/>
      <c r="K14" s="74"/>
      <c r="L14" s="77"/>
      <c r="M14" s="92"/>
      <c r="N14" s="74"/>
      <c r="O14" s="77"/>
      <c r="P14" s="78"/>
      <c r="Q14" s="79"/>
      <c r="R14" s="434"/>
      <c r="S14" s="632"/>
      <c r="T14" s="80"/>
      <c r="U14" s="80"/>
      <c r="V14" s="431"/>
      <c r="W14" s="427">
        <f t="shared" si="8"/>
        <v>0</v>
      </c>
      <c r="X14" s="93"/>
      <c r="Y14" s="93"/>
      <c r="Z14" s="84"/>
      <c r="AA14" s="84"/>
      <c r="AB14" s="616"/>
      <c r="AC14" s="616"/>
      <c r="AD14" s="443"/>
      <c r="AE14" s="443"/>
      <c r="AF14" s="78">
        <f t="shared" si="6"/>
        <v>0</v>
      </c>
      <c r="AG14" s="434" t="e">
        <f t="shared" si="7"/>
        <v>#DIV/0!</v>
      </c>
      <c r="AH14" s="632"/>
      <c r="AJ14" s="405" t="str">
        <f t="shared" si="9"/>
        <v/>
      </c>
      <c r="AK14" s="406" t="str">
        <f t="shared" si="10"/>
        <v/>
      </c>
    </row>
    <row r="15" spans="1:37" ht="19.2" customHeight="1">
      <c r="A15" s="663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431"/>
      <c r="J15" s="76"/>
      <c r="K15" s="74"/>
      <c r="L15" s="77"/>
      <c r="M15" s="92"/>
      <c r="N15" s="96"/>
      <c r="O15" s="77"/>
      <c r="P15" s="78"/>
      <c r="Q15" s="79"/>
      <c r="R15" s="434"/>
      <c r="S15" s="632"/>
      <c r="T15" s="80"/>
      <c r="U15" s="80"/>
      <c r="V15" s="431"/>
      <c r="W15" s="427">
        <f t="shared" si="8"/>
        <v>0</v>
      </c>
      <c r="X15" s="93"/>
      <c r="Y15" s="93"/>
      <c r="Z15" s="84"/>
      <c r="AA15" s="84"/>
      <c r="AB15" s="616"/>
      <c r="AC15" s="616"/>
      <c r="AD15" s="443"/>
      <c r="AE15" s="443"/>
      <c r="AF15" s="78">
        <f t="shared" si="6"/>
        <v>0</v>
      </c>
      <c r="AG15" s="434" t="e">
        <f t="shared" si="7"/>
        <v>#DIV/0!</v>
      </c>
      <c r="AH15" s="632"/>
      <c r="AJ15" s="405" t="str">
        <f t="shared" si="9"/>
        <v/>
      </c>
      <c r="AK15" s="406" t="str">
        <f t="shared" si="10"/>
        <v/>
      </c>
    </row>
    <row r="16" spans="1:37" ht="19.2" customHeight="1">
      <c r="A16" s="663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431"/>
      <c r="J16" s="76"/>
      <c r="K16" s="74"/>
      <c r="L16" s="77"/>
      <c r="M16" s="92"/>
      <c r="N16" s="96"/>
      <c r="O16" s="77"/>
      <c r="P16" s="78"/>
      <c r="Q16" s="79"/>
      <c r="R16" s="434"/>
      <c r="S16" s="632"/>
      <c r="T16" s="80"/>
      <c r="U16" s="80"/>
      <c r="V16" s="431"/>
      <c r="W16" s="427">
        <f t="shared" si="8"/>
        <v>0</v>
      </c>
      <c r="X16" s="93"/>
      <c r="Y16" s="93"/>
      <c r="Z16" s="84"/>
      <c r="AA16" s="84"/>
      <c r="AB16" s="616"/>
      <c r="AC16" s="616"/>
      <c r="AD16" s="443"/>
      <c r="AE16" s="443"/>
      <c r="AF16" s="78">
        <f t="shared" si="6"/>
        <v>0</v>
      </c>
      <c r="AG16" s="434" t="e">
        <f t="shared" si="7"/>
        <v>#DIV/0!</v>
      </c>
      <c r="AH16" s="632"/>
      <c r="AJ16" s="405" t="str">
        <f t="shared" si="9"/>
        <v/>
      </c>
      <c r="AK16" s="406" t="str">
        <f t="shared" si="10"/>
        <v/>
      </c>
    </row>
    <row r="17" spans="1:37" ht="19.2" customHeight="1">
      <c r="A17" s="663"/>
      <c r="B17" s="97">
        <v>0</v>
      </c>
      <c r="C17" s="97" t="s">
        <v>279</v>
      </c>
      <c r="D17" s="626" t="s">
        <v>219</v>
      </c>
      <c r="E17" s="626"/>
      <c r="F17" s="98"/>
      <c r="G17" s="99"/>
      <c r="H17" s="100"/>
      <c r="I17" s="101"/>
      <c r="J17" s="99">
        <v>17.75</v>
      </c>
      <c r="K17" s="99">
        <v>2552.5</v>
      </c>
      <c r="L17" s="102">
        <v>145.19860036119712</v>
      </c>
      <c r="M17" s="103">
        <f t="shared" ref="M17:O17" si="11">AVERAGE(M5:M16)</f>
        <v>17.75</v>
      </c>
      <c r="N17" s="99">
        <f t="shared" si="11"/>
        <v>2230.2344581443417</v>
      </c>
      <c r="O17" s="102">
        <f t="shared" si="11"/>
        <v>126.12447995074402</v>
      </c>
      <c r="P17" s="104">
        <f t="shared" ref="P17:P25" si="12">M17-J17</f>
        <v>0</v>
      </c>
      <c r="Q17" s="105">
        <f t="shared" ref="Q17:Q25" si="13">O17-L17</f>
        <v>-19.074120410453105</v>
      </c>
      <c r="R17" s="106">
        <f>O17/L17</f>
        <v>0.86863426807831357</v>
      </c>
      <c r="S17" s="632"/>
      <c r="T17" s="80"/>
      <c r="U17" s="80"/>
      <c r="V17" s="431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616"/>
      <c r="AC17" s="616"/>
      <c r="AD17" s="110">
        <f>SUM(AD5:AD16)</f>
        <v>1</v>
      </c>
      <c r="AE17" s="110">
        <f>SUM(AE5:AE16)</f>
        <v>0</v>
      </c>
      <c r="AF17" s="104">
        <f t="shared" si="6"/>
        <v>-322.26554185565828</v>
      </c>
      <c r="AG17" s="435">
        <f t="shared" si="7"/>
        <v>0.87374513541404186</v>
      </c>
      <c r="AH17" s="632"/>
    </row>
    <row r="18" spans="1:37" ht="19.2" customHeight="1">
      <c r="A18" s="614" t="s">
        <v>280</v>
      </c>
      <c r="B18" s="111" t="s">
        <v>163</v>
      </c>
      <c r="C18" s="112"/>
      <c r="D18" s="113" t="s">
        <v>191</v>
      </c>
      <c r="E18" s="114"/>
      <c r="F18" s="115">
        <v>28.26</v>
      </c>
      <c r="G18" s="85">
        <v>764.4</v>
      </c>
      <c r="H18" s="116">
        <f t="shared" ref="H18:H29" si="14">F18*G18</f>
        <v>21601.944</v>
      </c>
      <c r="I18" s="443"/>
      <c r="J18" s="117">
        <v>12</v>
      </c>
      <c r="K18" s="85">
        <v>2000</v>
      </c>
      <c r="L18" s="118">
        <v>166.66666666666666</v>
      </c>
      <c r="M18" s="117">
        <v>12</v>
      </c>
      <c r="N18" s="85">
        <f t="shared" ref="N18:N25" si="15">G18/W18*60</f>
        <v>1528.7999999999993</v>
      </c>
      <c r="O18" s="118">
        <f t="shared" ref="O18:O25" si="16">N18/M18</f>
        <v>127.39999999999993</v>
      </c>
      <c r="P18" s="84">
        <f t="shared" si="12"/>
        <v>0</v>
      </c>
      <c r="Q18" s="119">
        <f t="shared" si="13"/>
        <v>-39.266666666666723</v>
      </c>
      <c r="R18" s="437">
        <f t="shared" ref="R18:R25" si="17">O18/L18</f>
        <v>0.76439999999999964</v>
      </c>
      <c r="S18" s="615">
        <f>R30</f>
        <v>0.82666552582946784</v>
      </c>
      <c r="T18" s="80">
        <v>0.16666666666666666</v>
      </c>
      <c r="U18" s="80">
        <v>0.1875</v>
      </c>
      <c r="V18" s="443">
        <v>5</v>
      </c>
      <c r="W18" s="120">
        <f>(U18-T18)*24*60</f>
        <v>30.000000000000014</v>
      </c>
      <c r="X18" s="118"/>
      <c r="Y18" s="118"/>
      <c r="Z18" s="84"/>
      <c r="AA18" s="84"/>
      <c r="AB18" s="616"/>
      <c r="AC18" s="616"/>
      <c r="AD18" s="443"/>
      <c r="AE18" s="443"/>
      <c r="AF18" s="121">
        <f t="shared" si="6"/>
        <v>-471.20000000000073</v>
      </c>
      <c r="AG18" s="122">
        <f t="shared" si="7"/>
        <v>0.76439999999999964</v>
      </c>
      <c r="AH18" s="657">
        <f>AG30</f>
        <v>0.83838589771073868</v>
      </c>
      <c r="AJ18" s="62" t="str">
        <f>A18</f>
        <v>四度二組A
熱麵
固定線
(ET-55)</v>
      </c>
      <c r="AK18" s="404">
        <f>AVERAGE(AK19:AK29)</f>
        <v>6.5000000000000115</v>
      </c>
    </row>
    <row r="19" spans="1:37" ht="19.2" customHeight="1">
      <c r="A19" s="614"/>
      <c r="B19" s="441" t="s">
        <v>164</v>
      </c>
      <c r="C19" s="440"/>
      <c r="D19" s="113" t="s">
        <v>101</v>
      </c>
      <c r="E19" s="114"/>
      <c r="F19" s="73">
        <v>53.27</v>
      </c>
      <c r="G19" s="85">
        <v>530</v>
      </c>
      <c r="H19" s="116">
        <f t="shared" si="14"/>
        <v>28233.100000000002</v>
      </c>
      <c r="I19" s="443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1223.0769230769238</v>
      </c>
      <c r="O19" s="125">
        <f t="shared" si="16"/>
        <v>71.945701357466106</v>
      </c>
      <c r="P19" s="84">
        <f t="shared" si="12"/>
        <v>0</v>
      </c>
      <c r="Q19" s="119">
        <f t="shared" si="13"/>
        <v>-20.113122171945662</v>
      </c>
      <c r="R19" s="437">
        <f t="shared" si="17"/>
        <v>0.78151880068813018</v>
      </c>
      <c r="S19" s="615"/>
      <c r="T19" s="80">
        <v>0.19166666666666668</v>
      </c>
      <c r="U19" s="80">
        <v>0.20972222222222223</v>
      </c>
      <c r="V19" s="443">
        <v>6</v>
      </c>
      <c r="W19" s="120">
        <f>(U19-T19)*24*60</f>
        <v>25.999999999999986</v>
      </c>
      <c r="X19" s="126"/>
      <c r="Y19" s="126"/>
      <c r="Z19" s="84"/>
      <c r="AA19" s="84"/>
      <c r="AB19" s="616"/>
      <c r="AC19" s="616"/>
      <c r="AD19" s="443"/>
      <c r="AE19" s="443"/>
      <c r="AF19" s="78">
        <f t="shared" si="6"/>
        <v>-341.92307692307622</v>
      </c>
      <c r="AG19" s="434">
        <f t="shared" si="7"/>
        <v>0.78151880068813018</v>
      </c>
      <c r="AH19" s="658"/>
      <c r="AJ19" s="405">
        <f t="shared" ref="AJ19:AJ29" si="18">IF((IF(V19&lt;10,V19,(X19-U18)*1440))=0,"",IF(V19&lt;10,V19,(X19-U18)*1440))</f>
        <v>6</v>
      </c>
      <c r="AK19" s="406">
        <f>IF(AJ19&gt;4,AJ19,"")</f>
        <v>6</v>
      </c>
    </row>
    <row r="20" spans="1:37" ht="19.2" customHeight="1">
      <c r="A20" s="614"/>
      <c r="B20" s="441" t="s">
        <v>164</v>
      </c>
      <c r="C20" s="86"/>
      <c r="D20" s="71" t="s">
        <v>102</v>
      </c>
      <c r="E20" s="114"/>
      <c r="F20" s="73">
        <v>49.91</v>
      </c>
      <c r="G20" s="85">
        <v>901</v>
      </c>
      <c r="H20" s="116">
        <f t="shared" si="14"/>
        <v>44968.909999999996</v>
      </c>
      <c r="I20" s="443"/>
      <c r="J20" s="123">
        <v>17</v>
      </c>
      <c r="K20" s="74">
        <v>1565</v>
      </c>
      <c r="L20" s="77">
        <v>92.058823529411768</v>
      </c>
      <c r="M20" s="123">
        <v>17</v>
      </c>
      <c r="N20" s="124">
        <f t="shared" si="15"/>
        <v>1422.631578947369</v>
      </c>
      <c r="O20" s="125">
        <f t="shared" si="16"/>
        <v>83.684210526315823</v>
      </c>
      <c r="P20" s="84">
        <f t="shared" si="12"/>
        <v>0</v>
      </c>
      <c r="Q20" s="119">
        <f t="shared" si="13"/>
        <v>-8.3746130030959449</v>
      </c>
      <c r="R20" s="437">
        <f t="shared" si="17"/>
        <v>0.90902976290566706</v>
      </c>
      <c r="S20" s="615"/>
      <c r="T20" s="80">
        <v>0.21458333333333335</v>
      </c>
      <c r="U20" s="80">
        <v>0.24097222222222223</v>
      </c>
      <c r="V20" s="443">
        <v>7</v>
      </c>
      <c r="W20" s="120">
        <f t="shared" ref="W20:W29" si="19">(U20-T20)*24*60</f>
        <v>37.999999999999986</v>
      </c>
      <c r="X20" s="126"/>
      <c r="Y20" s="126"/>
      <c r="Z20" s="84"/>
      <c r="AA20" s="84"/>
      <c r="AB20" s="616"/>
      <c r="AC20" s="616"/>
      <c r="AD20" s="443"/>
      <c r="AE20" s="443"/>
      <c r="AF20" s="121">
        <f t="shared" si="6"/>
        <v>-142.36842105263099</v>
      </c>
      <c r="AG20" s="122">
        <f t="shared" si="7"/>
        <v>0.90902976290566706</v>
      </c>
      <c r="AH20" s="658"/>
      <c r="AJ20" s="405">
        <f t="shared" si="18"/>
        <v>7</v>
      </c>
      <c r="AK20" s="406">
        <f t="shared" ref="AK20:AK29" si="20">IF(AJ20&gt;4,AJ20,"")</f>
        <v>7</v>
      </c>
    </row>
    <row r="21" spans="1:37" ht="19.2" customHeight="1">
      <c r="A21" s="614"/>
      <c r="B21" s="441" t="s">
        <v>164</v>
      </c>
      <c r="C21" s="127"/>
      <c r="D21" s="128" t="s">
        <v>104</v>
      </c>
      <c r="E21" s="72"/>
      <c r="F21" s="73">
        <v>44.3</v>
      </c>
      <c r="G21" s="74">
        <v>741</v>
      </c>
      <c r="H21" s="116">
        <f t="shared" si="14"/>
        <v>32826.299999999996</v>
      </c>
      <c r="I21" s="430"/>
      <c r="J21" s="123">
        <v>18</v>
      </c>
      <c r="K21" s="74">
        <v>1565</v>
      </c>
      <c r="L21" s="77">
        <v>86.944444444444443</v>
      </c>
      <c r="M21" s="123">
        <v>18</v>
      </c>
      <c r="N21" s="124">
        <f t="shared" si="15"/>
        <v>1389.3750000000016</v>
      </c>
      <c r="O21" s="125">
        <f t="shared" si="16"/>
        <v>77.187500000000085</v>
      </c>
      <c r="P21" s="84">
        <f t="shared" si="12"/>
        <v>0</v>
      </c>
      <c r="Q21" s="119">
        <f t="shared" si="13"/>
        <v>-9.7569444444443576</v>
      </c>
      <c r="R21" s="437">
        <f t="shared" si="17"/>
        <v>0.8877795527156559</v>
      </c>
      <c r="S21" s="615"/>
      <c r="T21" s="80">
        <v>0.25694444444444442</v>
      </c>
      <c r="U21" s="80">
        <v>0.27916666666666662</v>
      </c>
      <c r="V21" s="443">
        <v>23</v>
      </c>
      <c r="W21" s="120">
        <f t="shared" si="19"/>
        <v>31.999999999999964</v>
      </c>
      <c r="X21" s="126">
        <v>0.24583333333333335</v>
      </c>
      <c r="Y21" s="126">
        <v>0.25555555555555559</v>
      </c>
      <c r="Z21" s="84"/>
      <c r="AA21" s="84"/>
      <c r="AB21" s="616"/>
      <c r="AC21" s="616"/>
      <c r="AD21" s="443"/>
      <c r="AE21" s="443"/>
      <c r="AF21" s="78">
        <f t="shared" si="6"/>
        <v>-175.62499999999841</v>
      </c>
      <c r="AG21" s="434">
        <f t="shared" si="7"/>
        <v>0.88777955271565601</v>
      </c>
      <c r="AH21" s="659"/>
      <c r="AJ21" s="405">
        <f t="shared" si="18"/>
        <v>7.0000000000000151</v>
      </c>
      <c r="AK21" s="406">
        <f t="shared" si="20"/>
        <v>7.0000000000000151</v>
      </c>
    </row>
    <row r="22" spans="1:37" ht="19.2" customHeight="1">
      <c r="A22" s="614"/>
      <c r="B22" s="441" t="s">
        <v>164</v>
      </c>
      <c r="C22" s="127"/>
      <c r="D22" s="71" t="s">
        <v>105</v>
      </c>
      <c r="E22" s="72"/>
      <c r="F22" s="73">
        <v>49.91</v>
      </c>
      <c r="G22" s="74">
        <v>2561</v>
      </c>
      <c r="H22" s="116">
        <f t="shared" si="14"/>
        <v>127819.51</v>
      </c>
      <c r="I22" s="430"/>
      <c r="J22" s="117">
        <v>17</v>
      </c>
      <c r="K22" s="85">
        <v>1565</v>
      </c>
      <c r="L22" s="118">
        <v>92.058823529411768</v>
      </c>
      <c r="M22" s="123">
        <v>17</v>
      </c>
      <c r="N22" s="124">
        <f t="shared" si="15"/>
        <v>1449.6226415094336</v>
      </c>
      <c r="O22" s="125">
        <f t="shared" si="16"/>
        <v>85.27192008879021</v>
      </c>
      <c r="P22" s="84">
        <f t="shared" si="12"/>
        <v>0</v>
      </c>
      <c r="Q22" s="119">
        <f t="shared" si="13"/>
        <v>-6.7869034406215576</v>
      </c>
      <c r="R22" s="437">
        <f t="shared" si="17"/>
        <v>0.92627644824883937</v>
      </c>
      <c r="S22" s="615"/>
      <c r="T22" s="80">
        <v>0.28402777777777771</v>
      </c>
      <c r="U22" s="80">
        <v>0.35763888888888884</v>
      </c>
      <c r="V22" s="443">
        <v>7</v>
      </c>
      <c r="W22" s="120">
        <f t="shared" si="19"/>
        <v>106.00000000000003</v>
      </c>
      <c r="X22" s="126"/>
      <c r="Y22" s="126"/>
      <c r="Z22" s="84"/>
      <c r="AA22" s="84"/>
      <c r="AB22" s="616"/>
      <c r="AC22" s="616"/>
      <c r="AD22" s="443"/>
      <c r="AE22" s="443"/>
      <c r="AF22" s="121">
        <f t="shared" si="6"/>
        <v>-115.37735849056639</v>
      </c>
      <c r="AG22" s="122">
        <f t="shared" si="7"/>
        <v>0.92627644824883937</v>
      </c>
      <c r="AH22" s="659"/>
      <c r="AJ22" s="405">
        <f t="shared" si="18"/>
        <v>7</v>
      </c>
      <c r="AK22" s="406">
        <f t="shared" si="20"/>
        <v>7</v>
      </c>
    </row>
    <row r="23" spans="1:37" ht="19.2" customHeight="1">
      <c r="A23" s="614"/>
      <c r="B23" s="441" t="s">
        <v>162</v>
      </c>
      <c r="C23" s="127"/>
      <c r="D23" s="71" t="s">
        <v>106</v>
      </c>
      <c r="E23" s="72"/>
      <c r="F23" s="73">
        <v>36.729999999999997</v>
      </c>
      <c r="G23" s="74">
        <v>4319</v>
      </c>
      <c r="H23" s="116">
        <f t="shared" si="14"/>
        <v>158636.87</v>
      </c>
      <c r="I23" s="430"/>
      <c r="J23" s="123">
        <v>18</v>
      </c>
      <c r="K23" s="74">
        <v>2400</v>
      </c>
      <c r="L23" s="77">
        <v>133.33333333333334</v>
      </c>
      <c r="M23" s="123">
        <v>18</v>
      </c>
      <c r="N23" s="124">
        <f t="shared" si="15"/>
        <v>2214.8717948717954</v>
      </c>
      <c r="O23" s="125">
        <f t="shared" si="16"/>
        <v>123.04843304843308</v>
      </c>
      <c r="P23" s="84">
        <f t="shared" si="12"/>
        <v>0</v>
      </c>
      <c r="Q23" s="119">
        <f t="shared" si="13"/>
        <v>-10.28490028490026</v>
      </c>
      <c r="R23" s="437">
        <f t="shared" si="17"/>
        <v>0.92286324786324803</v>
      </c>
      <c r="S23" s="615"/>
      <c r="T23" s="80">
        <v>0.37291666666666662</v>
      </c>
      <c r="U23" s="80">
        <v>0.45416666666666661</v>
      </c>
      <c r="V23" s="443">
        <v>22</v>
      </c>
      <c r="W23" s="120">
        <f t="shared" si="19"/>
        <v>116.99999999999999</v>
      </c>
      <c r="X23" s="126">
        <v>0.36249999999999999</v>
      </c>
      <c r="Y23" s="126">
        <v>0.37222222222222223</v>
      </c>
      <c r="Z23" s="84"/>
      <c r="AA23" s="84"/>
      <c r="AB23" s="616"/>
      <c r="AC23" s="616"/>
      <c r="AD23" s="443"/>
      <c r="AE23" s="443"/>
      <c r="AF23" s="78">
        <f t="shared" si="6"/>
        <v>-185.12820512820463</v>
      </c>
      <c r="AG23" s="434">
        <f t="shared" si="7"/>
        <v>0.92286324786324803</v>
      </c>
      <c r="AH23" s="659"/>
      <c r="AJ23" s="405">
        <f t="shared" si="18"/>
        <v>7.0000000000000551</v>
      </c>
      <c r="AK23" s="406">
        <f t="shared" si="20"/>
        <v>7.0000000000000551</v>
      </c>
    </row>
    <row r="24" spans="1:37" ht="19.2" customHeight="1">
      <c r="A24" s="614"/>
      <c r="B24" s="441" t="s">
        <v>163</v>
      </c>
      <c r="C24" s="112"/>
      <c r="D24" s="113" t="s">
        <v>191</v>
      </c>
      <c r="E24" s="114"/>
      <c r="F24" s="73">
        <v>28.26</v>
      </c>
      <c r="G24" s="85">
        <v>509.6</v>
      </c>
      <c r="H24" s="116">
        <f t="shared" si="14"/>
        <v>14401.296000000002</v>
      </c>
      <c r="I24" s="430">
        <v>1</v>
      </c>
      <c r="J24" s="123">
        <v>12</v>
      </c>
      <c r="K24" s="74">
        <v>2000</v>
      </c>
      <c r="L24" s="77">
        <v>166.66666666666666</v>
      </c>
      <c r="M24" s="123">
        <v>12</v>
      </c>
      <c r="N24" s="124">
        <f t="shared" si="15"/>
        <v>1528.8000000000056</v>
      </c>
      <c r="O24" s="125">
        <f t="shared" si="16"/>
        <v>127.40000000000047</v>
      </c>
      <c r="P24" s="84">
        <f t="shared" si="12"/>
        <v>0</v>
      </c>
      <c r="Q24" s="119">
        <f t="shared" si="13"/>
        <v>-39.266666666666183</v>
      </c>
      <c r="R24" s="437">
        <f t="shared" si="17"/>
        <v>0.76440000000000285</v>
      </c>
      <c r="S24" s="615"/>
      <c r="T24" s="80">
        <v>0.49236111111111103</v>
      </c>
      <c r="U24" s="80">
        <v>0.50624999999999987</v>
      </c>
      <c r="V24" s="443">
        <v>2</v>
      </c>
      <c r="W24" s="120">
        <f t="shared" si="19"/>
        <v>19.999999999999929</v>
      </c>
      <c r="X24" s="126"/>
      <c r="Y24" s="126"/>
      <c r="Z24" s="84"/>
      <c r="AA24" s="84"/>
      <c r="AB24" s="616"/>
      <c r="AC24" s="616"/>
      <c r="AD24" s="443"/>
      <c r="AE24" s="443"/>
      <c r="AF24" s="121">
        <f t="shared" si="6"/>
        <v>-471.19999999999436</v>
      </c>
      <c r="AG24" s="122">
        <f t="shared" si="7"/>
        <v>0.76440000000000285</v>
      </c>
      <c r="AH24" s="659"/>
      <c r="AJ24" s="405">
        <f t="shared" si="18"/>
        <v>2</v>
      </c>
      <c r="AK24" s="406" t="str">
        <f t="shared" si="20"/>
        <v/>
      </c>
    </row>
    <row r="25" spans="1:37" ht="19.2" customHeight="1">
      <c r="A25" s="614"/>
      <c r="B25" s="441" t="s">
        <v>163</v>
      </c>
      <c r="C25" s="112"/>
      <c r="D25" s="113" t="s">
        <v>93</v>
      </c>
      <c r="E25" s="114"/>
      <c r="F25" s="73">
        <v>36.92</v>
      </c>
      <c r="G25" s="85">
        <v>1508</v>
      </c>
      <c r="H25" s="116">
        <f t="shared" si="14"/>
        <v>55675.360000000001</v>
      </c>
      <c r="I25" s="120">
        <v>1</v>
      </c>
      <c r="J25" s="123">
        <v>12</v>
      </c>
      <c r="K25" s="74">
        <v>2000</v>
      </c>
      <c r="L25" s="77">
        <v>166.66666666666666</v>
      </c>
      <c r="M25" s="123">
        <v>12</v>
      </c>
      <c r="N25" s="124">
        <f t="shared" si="15"/>
        <v>1533.5593220338997</v>
      </c>
      <c r="O25" s="125">
        <f t="shared" si="16"/>
        <v>127.79661016949164</v>
      </c>
      <c r="P25" s="84">
        <f t="shared" si="12"/>
        <v>0</v>
      </c>
      <c r="Q25" s="119">
        <f t="shared" si="13"/>
        <v>-38.870056497175014</v>
      </c>
      <c r="R25" s="437">
        <f t="shared" si="17"/>
        <v>0.76677966101694994</v>
      </c>
      <c r="S25" s="615"/>
      <c r="T25" s="80">
        <v>0.50972222222222208</v>
      </c>
      <c r="U25" s="80">
        <v>0.55069444444444426</v>
      </c>
      <c r="V25" s="443">
        <v>5</v>
      </c>
      <c r="W25" s="120">
        <f t="shared" si="19"/>
        <v>58.99999999999995</v>
      </c>
      <c r="X25" s="443"/>
      <c r="Y25" s="443"/>
      <c r="Z25" s="84"/>
      <c r="AA25" s="84"/>
      <c r="AB25" s="616"/>
      <c r="AC25" s="616"/>
      <c r="AD25" s="443"/>
      <c r="AE25" s="443"/>
      <c r="AF25" s="78">
        <f t="shared" si="6"/>
        <v>-466.44067796610034</v>
      </c>
      <c r="AG25" s="434">
        <f t="shared" si="7"/>
        <v>0.76677966101694983</v>
      </c>
      <c r="AH25" s="659"/>
      <c r="AJ25" s="405">
        <f t="shared" si="18"/>
        <v>5</v>
      </c>
      <c r="AK25" s="406">
        <f t="shared" si="20"/>
        <v>5</v>
      </c>
    </row>
    <row r="26" spans="1:37" ht="19.2" customHeight="1">
      <c r="A26" s="614"/>
      <c r="B26" s="441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23"/>
      <c r="K26" s="74"/>
      <c r="L26" s="77"/>
      <c r="M26" s="123"/>
      <c r="N26" s="124"/>
      <c r="O26" s="125"/>
      <c r="P26" s="84"/>
      <c r="Q26" s="119"/>
      <c r="R26" s="437"/>
      <c r="S26" s="615"/>
      <c r="T26" s="80"/>
      <c r="U26" s="80"/>
      <c r="V26" s="443"/>
      <c r="W26" s="120">
        <f t="shared" si="19"/>
        <v>0</v>
      </c>
      <c r="X26" s="443"/>
      <c r="Y26" s="443"/>
      <c r="Z26" s="84"/>
      <c r="AA26" s="84"/>
      <c r="AB26" s="616"/>
      <c r="AC26" s="616"/>
      <c r="AD26" s="443"/>
      <c r="AE26" s="443"/>
      <c r="AF26" s="121">
        <f t="shared" si="6"/>
        <v>0</v>
      </c>
      <c r="AG26" s="122" t="e">
        <f t="shared" si="7"/>
        <v>#DIV/0!</v>
      </c>
      <c r="AH26" s="659"/>
      <c r="AJ26" s="405" t="str">
        <f t="shared" si="18"/>
        <v/>
      </c>
      <c r="AK26" s="406" t="str">
        <f t="shared" si="20"/>
        <v/>
      </c>
    </row>
    <row r="27" spans="1:37" ht="19.2" customHeight="1">
      <c r="A27" s="614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437"/>
      <c r="S27" s="615"/>
      <c r="T27" s="80"/>
      <c r="U27" s="80"/>
      <c r="V27" s="443"/>
      <c r="W27" s="120">
        <f t="shared" si="19"/>
        <v>0</v>
      </c>
      <c r="X27" s="443"/>
      <c r="Y27" s="443"/>
      <c r="Z27" s="84"/>
      <c r="AA27" s="84"/>
      <c r="AB27" s="616"/>
      <c r="AC27" s="616"/>
      <c r="AD27" s="443"/>
      <c r="AE27" s="443"/>
      <c r="AF27" s="78">
        <f t="shared" si="6"/>
        <v>0</v>
      </c>
      <c r="AG27" s="434" t="e">
        <f t="shared" si="7"/>
        <v>#DIV/0!</v>
      </c>
      <c r="AH27" s="659"/>
      <c r="AJ27" s="405" t="str">
        <f t="shared" si="18"/>
        <v/>
      </c>
      <c r="AK27" s="406" t="str">
        <f t="shared" si="20"/>
        <v/>
      </c>
    </row>
    <row r="28" spans="1:37" ht="19.2" customHeight="1">
      <c r="A28" s="614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437"/>
      <c r="S28" s="615"/>
      <c r="T28" s="80"/>
      <c r="U28" s="80"/>
      <c r="V28" s="443"/>
      <c r="W28" s="120">
        <f t="shared" si="19"/>
        <v>0</v>
      </c>
      <c r="X28" s="443"/>
      <c r="Y28" s="443"/>
      <c r="Z28" s="84"/>
      <c r="AA28" s="84"/>
      <c r="AB28" s="616"/>
      <c r="AC28" s="616"/>
      <c r="AD28" s="443"/>
      <c r="AE28" s="443"/>
      <c r="AF28" s="121">
        <f t="shared" si="6"/>
        <v>0</v>
      </c>
      <c r="AG28" s="122" t="e">
        <f t="shared" si="7"/>
        <v>#DIV/0!</v>
      </c>
      <c r="AH28" s="659"/>
      <c r="AJ28" s="405" t="str">
        <f t="shared" si="18"/>
        <v/>
      </c>
      <c r="AK28" s="406" t="str">
        <f t="shared" si="20"/>
        <v/>
      </c>
    </row>
    <row r="29" spans="1:37" ht="19.2" customHeight="1">
      <c r="A29" s="614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437"/>
      <c r="S29" s="615"/>
      <c r="T29" s="80"/>
      <c r="U29" s="80"/>
      <c r="V29" s="443"/>
      <c r="W29" s="120">
        <f t="shared" si="19"/>
        <v>0</v>
      </c>
      <c r="X29" s="443"/>
      <c r="Y29" s="443"/>
      <c r="Z29" s="84"/>
      <c r="AA29" s="84"/>
      <c r="AB29" s="616"/>
      <c r="AC29" s="616"/>
      <c r="AD29" s="443"/>
      <c r="AE29" s="443"/>
      <c r="AF29" s="78">
        <f t="shared" si="6"/>
        <v>0</v>
      </c>
      <c r="AG29" s="434"/>
      <c r="AH29" s="659"/>
      <c r="AJ29" s="405" t="str">
        <f t="shared" si="18"/>
        <v/>
      </c>
      <c r="AK29" s="406" t="str">
        <f t="shared" si="20"/>
        <v/>
      </c>
    </row>
    <row r="30" spans="1:37" ht="19.2" customHeight="1">
      <c r="A30" s="614"/>
      <c r="B30" s="131">
        <v>0</v>
      </c>
      <c r="C30" s="132" t="s">
        <v>281</v>
      </c>
      <c r="D30" s="664" t="s">
        <v>219</v>
      </c>
      <c r="E30" s="664"/>
      <c r="F30" s="133"/>
      <c r="G30" s="103"/>
      <c r="H30" s="134"/>
      <c r="I30" s="135"/>
      <c r="J30" s="103">
        <v>15.375</v>
      </c>
      <c r="K30" s="103">
        <v>1832.5</v>
      </c>
      <c r="L30" s="136">
        <v>124.55678104575163</v>
      </c>
      <c r="M30" s="103">
        <f t="shared" ref="M30:O30" si="21">AVERAGE(M18:M29)</f>
        <v>15.375</v>
      </c>
      <c r="N30" s="103">
        <f t="shared" si="21"/>
        <v>1536.3421575549287</v>
      </c>
      <c r="O30" s="136">
        <f t="shared" si="21"/>
        <v>102.96679689881216</v>
      </c>
      <c r="P30" s="84">
        <f t="shared" ref="P30:P36" si="22">M30-J30</f>
        <v>0</v>
      </c>
      <c r="Q30" s="119">
        <f t="shared" ref="Q30:Q36" si="23">O30-L30</f>
        <v>-21.589984146939472</v>
      </c>
      <c r="R30" s="137">
        <f t="shared" ref="R30:R36" si="24">O30/L30</f>
        <v>0.82666552582946784</v>
      </c>
      <c r="S30" s="615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616"/>
      <c r="AC30" s="616"/>
      <c r="AD30" s="139">
        <f>SUM(AD18:AD29)</f>
        <v>0</v>
      </c>
      <c r="AE30" s="139">
        <f>SUM(AE18:AE29)</f>
        <v>0</v>
      </c>
      <c r="AF30" s="140">
        <f t="shared" si="6"/>
        <v>-296.15784244507131</v>
      </c>
      <c r="AG30" s="141">
        <f t="shared" ref="AG30" si="25">N30/K30</f>
        <v>0.83838589771073868</v>
      </c>
      <c r="AH30" s="660"/>
    </row>
    <row r="31" spans="1:37" ht="19.2" customHeight="1">
      <c r="A31" s="651" t="s">
        <v>282</v>
      </c>
      <c r="B31" s="142" t="s">
        <v>163</v>
      </c>
      <c r="C31" s="94"/>
      <c r="D31" s="71" t="s">
        <v>108</v>
      </c>
      <c r="E31" s="143"/>
      <c r="F31" s="144">
        <v>26.5</v>
      </c>
      <c r="G31" s="145">
        <v>1631</v>
      </c>
      <c r="H31" s="146">
        <f t="shared" ref="H31:H41" si="26">F31*G31</f>
        <v>43221.5</v>
      </c>
      <c r="I31" s="82"/>
      <c r="J31" s="147">
        <v>12</v>
      </c>
      <c r="K31" s="124">
        <v>2000</v>
      </c>
      <c r="L31" s="125">
        <v>166.66666666666666</v>
      </c>
      <c r="M31" s="92">
        <v>12</v>
      </c>
      <c r="N31" s="148">
        <f t="shared" ref="N31:N36" si="27">G31/W31*60</f>
        <v>1631.0000000000005</v>
      </c>
      <c r="O31" s="149">
        <f t="shared" ref="O31:O36" si="28">N31/M31</f>
        <v>135.91666666666671</v>
      </c>
      <c r="P31" s="150">
        <f t="shared" si="22"/>
        <v>0</v>
      </c>
      <c r="Q31" s="151">
        <f t="shared" si="23"/>
        <v>-30.749999999999943</v>
      </c>
      <c r="R31" s="438">
        <f t="shared" si="24"/>
        <v>0.81550000000000034</v>
      </c>
      <c r="S31" s="652">
        <f>R43</f>
        <v>0.90248347403962226</v>
      </c>
      <c r="T31" s="152">
        <v>0.16666666666666666</v>
      </c>
      <c r="U31" s="152">
        <v>0.20833333333333331</v>
      </c>
      <c r="V31" s="153">
        <v>5</v>
      </c>
      <c r="W31" s="154">
        <f t="shared" ref="W31:W42" si="29">(U31-T31)*24*60</f>
        <v>59.999999999999986</v>
      </c>
      <c r="X31" s="82"/>
      <c r="Y31" s="82"/>
      <c r="Z31" s="81"/>
      <c r="AA31" s="81"/>
      <c r="AB31" s="616"/>
      <c r="AC31" s="616"/>
      <c r="AD31" s="82"/>
      <c r="AE31" s="82"/>
      <c r="AF31" s="150">
        <f t="shared" si="6"/>
        <v>-368.99999999999955</v>
      </c>
      <c r="AG31" s="155">
        <f t="shared" si="7"/>
        <v>0.81550000000000022</v>
      </c>
      <c r="AH31" s="630">
        <f>AG43</f>
        <v>0.90328804129451135</v>
      </c>
      <c r="AJ31" s="62" t="str">
        <f>A31</f>
        <v>四度二組
(ET-55)</v>
      </c>
      <c r="AK31" s="404">
        <f>AVERAGE(AK32:AK42)</f>
        <v>6.1999999999999904</v>
      </c>
    </row>
    <row r="32" spans="1:37" ht="19.2" customHeight="1">
      <c r="A32" s="644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2449</v>
      </c>
      <c r="H32" s="116">
        <f t="shared" si="26"/>
        <v>83829.26999999999</v>
      </c>
      <c r="I32" s="427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2129.5652173913036</v>
      </c>
      <c r="O32" s="77">
        <f t="shared" si="28"/>
        <v>163.81270903010028</v>
      </c>
      <c r="P32" s="150">
        <f t="shared" si="22"/>
        <v>0</v>
      </c>
      <c r="Q32" s="79">
        <f t="shared" si="23"/>
        <v>-9.2642140468227865</v>
      </c>
      <c r="R32" s="434">
        <f t="shared" si="24"/>
        <v>0.94647342995169059</v>
      </c>
      <c r="S32" s="615"/>
      <c r="T32" s="80">
        <v>0.21249999999999999</v>
      </c>
      <c r="U32" s="80">
        <v>0.26041666666666669</v>
      </c>
      <c r="V32" s="153">
        <v>6</v>
      </c>
      <c r="W32" s="120">
        <f t="shared" si="29"/>
        <v>69.000000000000028</v>
      </c>
      <c r="X32" s="158"/>
      <c r="Y32" s="158"/>
      <c r="Z32" s="159"/>
      <c r="AA32" s="159"/>
      <c r="AB32" s="616"/>
      <c r="AC32" s="616"/>
      <c r="AD32" s="443"/>
      <c r="AE32" s="443"/>
      <c r="AF32" s="78">
        <f t="shared" si="6"/>
        <v>-120.43478260869642</v>
      </c>
      <c r="AG32" s="434">
        <f t="shared" si="7"/>
        <v>0.94647342995169048</v>
      </c>
      <c r="AH32" s="631"/>
      <c r="AJ32" s="405">
        <f t="shared" ref="AJ32:AJ42" si="30">IF((IF(V32&lt;10,V32,(X32-U31)*1440))=0,"",IF(V32&lt;10,V32,(X32-U31)*1440))</f>
        <v>6</v>
      </c>
      <c r="AK32" s="406">
        <f>IF(AJ32&gt;4,AJ32,"")</f>
        <v>6</v>
      </c>
    </row>
    <row r="33" spans="1:37" ht="19.2" customHeight="1">
      <c r="A33" s="644"/>
      <c r="B33" s="156" t="s">
        <v>165</v>
      </c>
      <c r="C33" s="443"/>
      <c r="D33" s="71" t="s">
        <v>110</v>
      </c>
      <c r="E33" s="114"/>
      <c r="F33" s="73">
        <v>35.83</v>
      </c>
      <c r="G33" s="145">
        <v>2353.65</v>
      </c>
      <c r="H33" s="116">
        <f t="shared" si="26"/>
        <v>84331.279500000004</v>
      </c>
      <c r="I33" s="443"/>
      <c r="J33" s="76">
        <v>11</v>
      </c>
      <c r="K33" s="74">
        <v>2250</v>
      </c>
      <c r="L33" s="77">
        <v>204.54545454545453</v>
      </c>
      <c r="M33" s="92">
        <v>11</v>
      </c>
      <c r="N33" s="74">
        <f t="shared" si="27"/>
        <v>2107.7462686567164</v>
      </c>
      <c r="O33" s="77">
        <f t="shared" si="28"/>
        <v>191.61329715061058</v>
      </c>
      <c r="P33" s="150">
        <f t="shared" si="22"/>
        <v>0</v>
      </c>
      <c r="Q33" s="79">
        <f t="shared" si="23"/>
        <v>-12.932157394843955</v>
      </c>
      <c r="R33" s="434">
        <f t="shared" si="24"/>
        <v>0.93677611940298511</v>
      </c>
      <c r="S33" s="615"/>
      <c r="T33" s="80">
        <v>0.27638888888888891</v>
      </c>
      <c r="U33" s="80">
        <v>0.32291666666666669</v>
      </c>
      <c r="V33" s="153">
        <v>23</v>
      </c>
      <c r="W33" s="120">
        <f t="shared" si="29"/>
        <v>67</v>
      </c>
      <c r="X33" s="158">
        <v>0.26527777777777778</v>
      </c>
      <c r="Y33" s="158">
        <v>0.27499999999999997</v>
      </c>
      <c r="Z33" s="159"/>
      <c r="AA33" s="159"/>
      <c r="AB33" s="616"/>
      <c r="AC33" s="616"/>
      <c r="AD33" s="443"/>
      <c r="AE33" s="443"/>
      <c r="AF33" s="78">
        <f t="shared" si="6"/>
        <v>-142.25373134328356</v>
      </c>
      <c r="AG33" s="160">
        <f t="shared" si="7"/>
        <v>0.93677611940298511</v>
      </c>
      <c r="AH33" s="631"/>
      <c r="AJ33" s="405">
        <f t="shared" si="30"/>
        <v>6.9999999999999751</v>
      </c>
      <c r="AK33" s="406">
        <f t="shared" ref="AK33:AK42" si="31">IF(AJ33&gt;4,AJ33,"")</f>
        <v>6.9999999999999751</v>
      </c>
    </row>
    <row r="34" spans="1:37" ht="19.2" customHeight="1">
      <c r="A34" s="644"/>
      <c r="B34" s="156" t="s">
        <v>164</v>
      </c>
      <c r="C34" s="161"/>
      <c r="D34" s="162" t="s">
        <v>103</v>
      </c>
      <c r="E34" s="114"/>
      <c r="F34" s="73">
        <v>38.39</v>
      </c>
      <c r="G34" s="163">
        <v>1498</v>
      </c>
      <c r="H34" s="116">
        <f t="shared" si="26"/>
        <v>57508.22</v>
      </c>
      <c r="I34" s="443"/>
      <c r="J34" s="147">
        <v>17</v>
      </c>
      <c r="K34" s="124">
        <v>1565</v>
      </c>
      <c r="L34" s="125">
        <v>92.058823529411768</v>
      </c>
      <c r="M34" s="164">
        <v>17</v>
      </c>
      <c r="N34" s="74">
        <f t="shared" si="27"/>
        <v>1449.6774193548383</v>
      </c>
      <c r="O34" s="77">
        <f t="shared" si="28"/>
        <v>85.275142314990489</v>
      </c>
      <c r="P34" s="150">
        <f t="shared" si="22"/>
        <v>0</v>
      </c>
      <c r="Q34" s="79">
        <f t="shared" si="23"/>
        <v>-6.7836812144212786</v>
      </c>
      <c r="R34" s="434">
        <f t="shared" si="24"/>
        <v>0.92631145006698934</v>
      </c>
      <c r="S34" s="615"/>
      <c r="T34" s="80">
        <v>0.32777777777777778</v>
      </c>
      <c r="U34" s="80">
        <v>0.37083333333333335</v>
      </c>
      <c r="V34" s="163">
        <v>7</v>
      </c>
      <c r="W34" s="120">
        <f t="shared" si="29"/>
        <v>62.000000000000021</v>
      </c>
      <c r="X34" s="158"/>
      <c r="Y34" s="158"/>
      <c r="Z34" s="159"/>
      <c r="AA34" s="159"/>
      <c r="AB34" s="616"/>
      <c r="AC34" s="616"/>
      <c r="AD34" s="443"/>
      <c r="AE34" s="443"/>
      <c r="AF34" s="78">
        <f t="shared" si="6"/>
        <v>-115.32258064516168</v>
      </c>
      <c r="AG34" s="160">
        <f t="shared" si="7"/>
        <v>0.92631145006698934</v>
      </c>
      <c r="AH34" s="631"/>
      <c r="AJ34" s="405">
        <f t="shared" si="30"/>
        <v>7</v>
      </c>
      <c r="AK34" s="406">
        <f t="shared" si="31"/>
        <v>7</v>
      </c>
    </row>
    <row r="35" spans="1:37" ht="19.2" customHeight="1">
      <c r="A35" s="644"/>
      <c r="B35" s="156" t="s">
        <v>164</v>
      </c>
      <c r="C35" s="70"/>
      <c r="D35" s="165" t="s">
        <v>107</v>
      </c>
      <c r="E35" s="72"/>
      <c r="F35" s="73">
        <v>49.52</v>
      </c>
      <c r="G35" s="163">
        <v>2616</v>
      </c>
      <c r="H35" s="116">
        <f t="shared" si="26"/>
        <v>129544.32000000001</v>
      </c>
      <c r="I35" s="430"/>
      <c r="J35" s="76">
        <v>18</v>
      </c>
      <c r="K35" s="74">
        <v>1565</v>
      </c>
      <c r="L35" s="77">
        <v>86.944444444444443</v>
      </c>
      <c r="M35" s="164">
        <v>18</v>
      </c>
      <c r="N35" s="74">
        <f t="shared" si="27"/>
        <v>1439.9999999999998</v>
      </c>
      <c r="O35" s="77">
        <f t="shared" si="28"/>
        <v>79.999999999999986</v>
      </c>
      <c r="P35" s="150">
        <f t="shared" si="22"/>
        <v>0</v>
      </c>
      <c r="Q35" s="79">
        <f t="shared" si="23"/>
        <v>-6.9444444444444571</v>
      </c>
      <c r="R35" s="434">
        <f t="shared" si="24"/>
        <v>0.9201277955271564</v>
      </c>
      <c r="S35" s="615"/>
      <c r="T35" s="80">
        <v>0.38611111111111113</v>
      </c>
      <c r="U35" s="80">
        <v>0.46180555555555558</v>
      </c>
      <c r="V35" s="145">
        <v>22</v>
      </c>
      <c r="W35" s="120">
        <f t="shared" si="29"/>
        <v>109.00000000000001</v>
      </c>
      <c r="X35" s="158">
        <v>0.375</v>
      </c>
      <c r="Y35" s="158">
        <v>0.38541666666666669</v>
      </c>
      <c r="Z35" s="159"/>
      <c r="AA35" s="159"/>
      <c r="AB35" s="616"/>
      <c r="AC35" s="616"/>
      <c r="AD35" s="443"/>
      <c r="AE35" s="443"/>
      <c r="AF35" s="150">
        <f t="shared" si="6"/>
        <v>-125.00000000000023</v>
      </c>
      <c r="AG35" s="155">
        <f t="shared" si="7"/>
        <v>0.9201277955271564</v>
      </c>
      <c r="AH35" s="632"/>
      <c r="AJ35" s="405">
        <f t="shared" si="30"/>
        <v>5.9999999999999787</v>
      </c>
      <c r="AK35" s="406">
        <f t="shared" si="31"/>
        <v>5.9999999999999787</v>
      </c>
    </row>
    <row r="36" spans="1:37" ht="19.2" customHeight="1">
      <c r="A36" s="644"/>
      <c r="B36" s="156" t="s">
        <v>189</v>
      </c>
      <c r="C36" s="166"/>
      <c r="D36" s="165" t="s">
        <v>170</v>
      </c>
      <c r="E36" s="114"/>
      <c r="F36" s="73">
        <v>29.85</v>
      </c>
      <c r="G36" s="145">
        <v>2376</v>
      </c>
      <c r="H36" s="116">
        <f t="shared" si="26"/>
        <v>70923.600000000006</v>
      </c>
      <c r="I36" s="443"/>
      <c r="J36" s="76">
        <v>15</v>
      </c>
      <c r="K36" s="74">
        <v>1800</v>
      </c>
      <c r="L36" s="77">
        <v>120</v>
      </c>
      <c r="M36" s="164">
        <v>15</v>
      </c>
      <c r="N36" s="74">
        <f t="shared" si="27"/>
        <v>1566.5934065934066</v>
      </c>
      <c r="O36" s="77">
        <f t="shared" si="28"/>
        <v>104.43956043956044</v>
      </c>
      <c r="P36" s="150">
        <f t="shared" si="22"/>
        <v>0</v>
      </c>
      <c r="Q36" s="79">
        <f t="shared" si="23"/>
        <v>-15.560439560439562</v>
      </c>
      <c r="R36" s="434">
        <f t="shared" si="24"/>
        <v>0.87032967032967035</v>
      </c>
      <c r="S36" s="615"/>
      <c r="T36" s="80">
        <v>0.50208333333333333</v>
      </c>
      <c r="U36" s="80">
        <v>0.56527777777777777</v>
      </c>
      <c r="V36" s="145">
        <v>5</v>
      </c>
      <c r="W36" s="120">
        <f t="shared" si="29"/>
        <v>91</v>
      </c>
      <c r="X36" s="158"/>
      <c r="Y36" s="158"/>
      <c r="Z36" s="159"/>
      <c r="AA36" s="159"/>
      <c r="AB36" s="616"/>
      <c r="AC36" s="616"/>
      <c r="AD36" s="443"/>
      <c r="AE36" s="443"/>
      <c r="AF36" s="78">
        <f t="shared" si="6"/>
        <v>-233.4065934065934</v>
      </c>
      <c r="AG36" s="434">
        <f t="shared" si="7"/>
        <v>0.87032967032967035</v>
      </c>
      <c r="AH36" s="632"/>
      <c r="AJ36" s="405">
        <f t="shared" si="30"/>
        <v>5</v>
      </c>
      <c r="AK36" s="406">
        <f t="shared" si="31"/>
        <v>5</v>
      </c>
    </row>
    <row r="37" spans="1:37" ht="19.2" customHeight="1">
      <c r="A37" s="644"/>
      <c r="B37" s="156">
        <v>0</v>
      </c>
      <c r="C37" s="166"/>
      <c r="D37" s="165"/>
      <c r="E37" s="114"/>
      <c r="F37" s="73" t="s">
        <v>161</v>
      </c>
      <c r="G37" s="145"/>
      <c r="H37" s="116">
        <f t="shared" si="26"/>
        <v>0</v>
      </c>
      <c r="I37" s="443"/>
      <c r="J37" s="147"/>
      <c r="K37" s="124"/>
      <c r="L37" s="125"/>
      <c r="M37" s="164"/>
      <c r="N37" s="74"/>
      <c r="O37" s="77"/>
      <c r="P37" s="150"/>
      <c r="Q37" s="79"/>
      <c r="R37" s="434"/>
      <c r="S37" s="615"/>
      <c r="T37" s="80"/>
      <c r="U37" s="80"/>
      <c r="V37" s="145"/>
      <c r="W37" s="120">
        <f t="shared" si="29"/>
        <v>0</v>
      </c>
      <c r="X37" s="158"/>
      <c r="Y37" s="158"/>
      <c r="Z37" s="159"/>
      <c r="AA37" s="159"/>
      <c r="AB37" s="616"/>
      <c r="AC37" s="616"/>
      <c r="AD37" s="443"/>
      <c r="AE37" s="443"/>
      <c r="AF37" s="78">
        <f t="shared" si="6"/>
        <v>0</v>
      </c>
      <c r="AG37" s="160" t="e">
        <f t="shared" si="7"/>
        <v>#DIV/0!</v>
      </c>
      <c r="AH37" s="632"/>
      <c r="AJ37" s="405" t="str">
        <f t="shared" si="30"/>
        <v/>
      </c>
      <c r="AK37" s="406" t="str">
        <f t="shared" si="31"/>
        <v/>
      </c>
    </row>
    <row r="38" spans="1:37" ht="19.2" customHeight="1">
      <c r="A38" s="644"/>
      <c r="B38" s="156">
        <v>0</v>
      </c>
      <c r="C38" s="166"/>
      <c r="D38" s="71"/>
      <c r="E38" s="114"/>
      <c r="F38" s="73" t="s">
        <v>161</v>
      </c>
      <c r="G38" s="85"/>
      <c r="H38" s="116">
        <f t="shared" si="26"/>
        <v>0</v>
      </c>
      <c r="I38" s="443"/>
      <c r="J38" s="76"/>
      <c r="K38" s="74"/>
      <c r="L38" s="77"/>
      <c r="M38" s="433"/>
      <c r="N38" s="74"/>
      <c r="O38" s="77"/>
      <c r="P38" s="150"/>
      <c r="Q38" s="79"/>
      <c r="R38" s="434"/>
      <c r="S38" s="615"/>
      <c r="T38" s="167"/>
      <c r="U38" s="167"/>
      <c r="V38" s="443"/>
      <c r="W38" s="120">
        <f t="shared" si="29"/>
        <v>0</v>
      </c>
      <c r="X38" s="158"/>
      <c r="Y38" s="158"/>
      <c r="Z38" s="159"/>
      <c r="AA38" s="159"/>
      <c r="AB38" s="616"/>
      <c r="AC38" s="616"/>
      <c r="AD38" s="443"/>
      <c r="AE38" s="443"/>
      <c r="AF38" s="78">
        <f t="shared" si="6"/>
        <v>0</v>
      </c>
      <c r="AG38" s="160" t="e">
        <f t="shared" si="7"/>
        <v>#DIV/0!</v>
      </c>
      <c r="AH38" s="632"/>
      <c r="AJ38" s="405" t="str">
        <f t="shared" si="30"/>
        <v/>
      </c>
      <c r="AK38" s="406" t="str">
        <f t="shared" si="31"/>
        <v/>
      </c>
    </row>
    <row r="39" spans="1:37" ht="19.2" customHeight="1">
      <c r="A39" s="644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443"/>
      <c r="J39" s="76"/>
      <c r="K39" s="74"/>
      <c r="L39" s="77"/>
      <c r="M39" s="433"/>
      <c r="N39" s="74"/>
      <c r="O39" s="77"/>
      <c r="P39" s="150"/>
      <c r="Q39" s="79"/>
      <c r="R39" s="434"/>
      <c r="S39" s="615"/>
      <c r="T39" s="80"/>
      <c r="U39" s="80"/>
      <c r="V39" s="443"/>
      <c r="W39" s="120">
        <f t="shared" si="29"/>
        <v>0</v>
      </c>
      <c r="X39" s="158"/>
      <c r="Y39" s="158"/>
      <c r="Z39" s="159"/>
      <c r="AA39" s="159"/>
      <c r="AB39" s="616"/>
      <c r="AC39" s="616"/>
      <c r="AD39" s="443"/>
      <c r="AE39" s="443"/>
      <c r="AF39" s="150">
        <f t="shared" si="6"/>
        <v>0</v>
      </c>
      <c r="AG39" s="155" t="e">
        <f t="shared" si="7"/>
        <v>#DIV/0!</v>
      </c>
      <c r="AH39" s="632"/>
      <c r="AJ39" s="405" t="str">
        <f t="shared" si="30"/>
        <v/>
      </c>
      <c r="AK39" s="406" t="str">
        <f t="shared" si="31"/>
        <v/>
      </c>
    </row>
    <row r="40" spans="1:37" ht="19.2" customHeight="1">
      <c r="A40" s="644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430"/>
      <c r="J40" s="76"/>
      <c r="K40" s="74"/>
      <c r="L40" s="77"/>
      <c r="M40" s="428"/>
      <c r="N40" s="74"/>
      <c r="O40" s="77"/>
      <c r="P40" s="150"/>
      <c r="Q40" s="79"/>
      <c r="R40" s="434"/>
      <c r="S40" s="615"/>
      <c r="T40" s="80"/>
      <c r="U40" s="80"/>
      <c r="V40" s="443"/>
      <c r="W40" s="120">
        <f>(U40-T40)*24*60</f>
        <v>0</v>
      </c>
      <c r="X40" s="158"/>
      <c r="Y40" s="158"/>
      <c r="Z40" s="159"/>
      <c r="AA40" s="159"/>
      <c r="AB40" s="616"/>
      <c r="AC40" s="616"/>
      <c r="AD40" s="443"/>
      <c r="AE40" s="443"/>
      <c r="AF40" s="78">
        <f t="shared" si="6"/>
        <v>0</v>
      </c>
      <c r="AG40" s="434" t="e">
        <f t="shared" si="7"/>
        <v>#DIV/0!</v>
      </c>
      <c r="AH40" s="632"/>
      <c r="AJ40" s="405" t="str">
        <f t="shared" si="30"/>
        <v/>
      </c>
      <c r="AK40" s="406" t="str">
        <f t="shared" si="31"/>
        <v/>
      </c>
    </row>
    <row r="41" spans="1:37" ht="19.2" customHeight="1">
      <c r="A41" s="644"/>
      <c r="B41" s="443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443"/>
      <c r="J41" s="129"/>
      <c r="K41" s="85"/>
      <c r="L41" s="118"/>
      <c r="M41" s="433"/>
      <c r="N41" s="85"/>
      <c r="O41" s="118"/>
      <c r="P41" s="84"/>
      <c r="Q41" s="119"/>
      <c r="R41" s="437"/>
      <c r="S41" s="615"/>
      <c r="T41" s="80"/>
      <c r="U41" s="80"/>
      <c r="V41" s="443"/>
      <c r="W41" s="120">
        <f>(U41-T41)*24*60</f>
        <v>0</v>
      </c>
      <c r="X41" s="158"/>
      <c r="Y41" s="158"/>
      <c r="Z41" s="159"/>
      <c r="AA41" s="159"/>
      <c r="AB41" s="616"/>
      <c r="AC41" s="616"/>
      <c r="AD41" s="443"/>
      <c r="AE41" s="443"/>
      <c r="AF41" s="78"/>
      <c r="AG41" s="169"/>
      <c r="AH41" s="632"/>
      <c r="AJ41" s="405" t="str">
        <f t="shared" si="30"/>
        <v/>
      </c>
      <c r="AK41" s="406" t="str">
        <f t="shared" si="31"/>
        <v/>
      </c>
    </row>
    <row r="42" spans="1:37" ht="19.2" customHeight="1">
      <c r="A42" s="644"/>
      <c r="B42" s="443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443"/>
      <c r="J42" s="129"/>
      <c r="K42" s="85"/>
      <c r="L42" s="118"/>
      <c r="M42" s="433" t="s">
        <v>15</v>
      </c>
      <c r="N42" s="85"/>
      <c r="O42" s="118"/>
      <c r="P42" s="84"/>
      <c r="Q42" s="119"/>
      <c r="R42" s="437"/>
      <c r="S42" s="615"/>
      <c r="T42" s="80"/>
      <c r="U42" s="80"/>
      <c r="V42" s="443"/>
      <c r="W42" s="120">
        <f t="shared" si="29"/>
        <v>0</v>
      </c>
      <c r="X42" s="158"/>
      <c r="Y42" s="158"/>
      <c r="Z42" s="159"/>
      <c r="AA42" s="159"/>
      <c r="AB42" s="616"/>
      <c r="AC42" s="616"/>
      <c r="AD42" s="443"/>
      <c r="AE42" s="443"/>
      <c r="AF42" s="78"/>
      <c r="AG42" s="169"/>
      <c r="AH42" s="632"/>
      <c r="AJ42" s="405" t="str">
        <f t="shared" si="30"/>
        <v/>
      </c>
      <c r="AK42" s="406" t="str">
        <f t="shared" si="31"/>
        <v/>
      </c>
    </row>
    <row r="43" spans="1:37" ht="19.2" customHeight="1">
      <c r="A43" s="644"/>
      <c r="B43" s="156">
        <v>0</v>
      </c>
      <c r="C43" s="132" t="s">
        <v>283</v>
      </c>
      <c r="D43" s="612" t="s">
        <v>219</v>
      </c>
      <c r="E43" s="612"/>
      <c r="F43" s="133"/>
      <c r="G43" s="103"/>
      <c r="H43" s="134"/>
      <c r="I43" s="135"/>
      <c r="J43" s="103">
        <v>14.333333333333334</v>
      </c>
      <c r="K43" s="103">
        <v>1905</v>
      </c>
      <c r="L43" s="136">
        <v>140.54871871048343</v>
      </c>
      <c r="M43" s="103">
        <f t="shared" ref="M43:O43" si="32">AVERAGE(M31:M42)</f>
        <v>14.333333333333334</v>
      </c>
      <c r="N43" s="103">
        <f t="shared" si="32"/>
        <v>1720.763718666044</v>
      </c>
      <c r="O43" s="136">
        <f t="shared" si="32"/>
        <v>126.84289593365475</v>
      </c>
      <c r="P43" s="84">
        <f>M43-J43</f>
        <v>0</v>
      </c>
      <c r="Q43" s="119">
        <f>N43-K43</f>
        <v>-184.23628133395596</v>
      </c>
      <c r="R43" s="137">
        <f t="shared" ref="R43:R50" si="33">O43/L43</f>
        <v>0.90248347403962226</v>
      </c>
      <c r="S43" s="615"/>
      <c r="T43" s="80"/>
      <c r="U43" s="80"/>
      <c r="V43" s="443"/>
      <c r="W43" s="443"/>
      <c r="X43" s="158"/>
      <c r="Y43" s="158"/>
      <c r="Z43" s="171">
        <f>SUM(Z31:Z42)</f>
        <v>0</v>
      </c>
      <c r="AA43" s="171">
        <f>SUM(AA31:AA42)</f>
        <v>0</v>
      </c>
      <c r="AB43" s="616"/>
      <c r="AC43" s="616"/>
      <c r="AD43" s="139">
        <f>SUM(AD31:AD42)</f>
        <v>0</v>
      </c>
      <c r="AE43" s="139">
        <f>SUM(AE31:AE42)</f>
        <v>0</v>
      </c>
      <c r="AF43" s="78">
        <f t="shared" ref="AF43:AF54" si="34">N43-K43</f>
        <v>-184.23628133395596</v>
      </c>
      <c r="AG43" s="435">
        <f t="shared" si="7"/>
        <v>0.90328804129451135</v>
      </c>
      <c r="AH43" s="632"/>
      <c r="AJ43" s="182"/>
    </row>
    <row r="44" spans="1:37" s="182" customFormat="1" ht="19.2" customHeight="1">
      <c r="A44" s="654" t="s">
        <v>284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1228</v>
      </c>
      <c r="H44" s="75">
        <f>F44*G44</f>
        <v>30368.440000000002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0" si="35">G44/W44*60</f>
        <v>2046.6666666666672</v>
      </c>
      <c r="O44" s="177">
        <f t="shared" ref="O44:O50" si="36">N44/M44</f>
        <v>409.33333333333343</v>
      </c>
      <c r="P44" s="81">
        <f t="shared" ref="P44:P50" si="37">M44-J44</f>
        <v>1</v>
      </c>
      <c r="Q44" s="178">
        <f t="shared" ref="Q44:Q50" si="38">O44-L44</f>
        <v>-90.666666666666572</v>
      </c>
      <c r="R44" s="179">
        <f t="shared" si="33"/>
        <v>0.81866666666666688</v>
      </c>
      <c r="S44" s="631">
        <f>R56</f>
        <v>0.89726098402467036</v>
      </c>
      <c r="T44" s="152">
        <v>0.16666666666666666</v>
      </c>
      <c r="U44" s="152">
        <v>0.19166666666666665</v>
      </c>
      <c r="V44" s="153">
        <v>5</v>
      </c>
      <c r="W44" s="180">
        <f t="shared" ref="W44:W56" si="39">(U44-T44)*24*60</f>
        <v>35.999999999999993</v>
      </c>
      <c r="X44" s="158"/>
      <c r="Y44" s="158"/>
      <c r="Z44" s="159"/>
      <c r="AA44" s="159"/>
      <c r="AB44" s="616"/>
      <c r="AC44" s="616"/>
      <c r="AD44" s="443"/>
      <c r="AE44" s="443"/>
      <c r="AF44" s="181">
        <f t="shared" si="34"/>
        <v>46.666666666667197</v>
      </c>
      <c r="AG44" s="439">
        <f t="shared" si="7"/>
        <v>1.0233333333333337</v>
      </c>
      <c r="AH44" s="648">
        <f>AG56</f>
        <v>0.98277413056026608</v>
      </c>
    </row>
    <row r="45" spans="1:37" s="182" customFormat="1" ht="19.2" customHeight="1">
      <c r="A45" s="655"/>
      <c r="B45" s="127" t="s">
        <v>165</v>
      </c>
      <c r="C45" s="172"/>
      <c r="D45" s="71" t="s">
        <v>113</v>
      </c>
      <c r="E45" s="72"/>
      <c r="F45" s="174">
        <v>24.73</v>
      </c>
      <c r="G45" s="145">
        <v>1160</v>
      </c>
      <c r="H45" s="75">
        <f>F45*G45</f>
        <v>28686.799999999999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2109.090909090909</v>
      </c>
      <c r="O45" s="177">
        <f t="shared" si="36"/>
        <v>421.81818181818181</v>
      </c>
      <c r="P45" s="81">
        <f t="shared" si="37"/>
        <v>1</v>
      </c>
      <c r="Q45" s="178">
        <f t="shared" si="38"/>
        <v>-78.181818181818187</v>
      </c>
      <c r="R45" s="179">
        <f t="shared" si="33"/>
        <v>0.84363636363636363</v>
      </c>
      <c r="S45" s="631"/>
      <c r="T45" s="80">
        <v>0.19513888888888886</v>
      </c>
      <c r="U45" s="80">
        <v>0.21805555555555553</v>
      </c>
      <c r="V45" s="153">
        <v>5</v>
      </c>
      <c r="W45" s="180">
        <f t="shared" si="39"/>
        <v>33</v>
      </c>
      <c r="X45" s="158"/>
      <c r="Y45" s="158"/>
      <c r="Z45" s="159"/>
      <c r="AA45" s="159"/>
      <c r="AB45" s="616"/>
      <c r="AC45" s="616"/>
      <c r="AD45" s="443"/>
      <c r="AE45" s="443"/>
      <c r="AF45" s="181">
        <f t="shared" si="34"/>
        <v>109.09090909090901</v>
      </c>
      <c r="AG45" s="439">
        <f t="shared" si="7"/>
        <v>1.0545454545454545</v>
      </c>
      <c r="AH45" s="648"/>
    </row>
    <row r="46" spans="1:37" s="182" customFormat="1" ht="19.2" customHeight="1">
      <c r="A46" s="655"/>
      <c r="B46" s="127" t="s">
        <v>163</v>
      </c>
      <c r="C46" s="172"/>
      <c r="D46" s="71" t="s">
        <v>114</v>
      </c>
      <c r="E46" s="72"/>
      <c r="F46" s="174">
        <v>28.26</v>
      </c>
      <c r="G46" s="145">
        <v>855</v>
      </c>
      <c r="H46" s="75">
        <f t="shared" ref="H46:H55" si="40">F46*G46</f>
        <v>24162.300000000003</v>
      </c>
      <c r="I46" s="183"/>
      <c r="J46" s="176">
        <v>7</v>
      </c>
      <c r="K46" s="163">
        <v>1500</v>
      </c>
      <c r="L46" s="177">
        <v>214.28571428571428</v>
      </c>
      <c r="M46" s="92">
        <v>7</v>
      </c>
      <c r="N46" s="163">
        <f t="shared" si="35"/>
        <v>1465.714285714286</v>
      </c>
      <c r="O46" s="177">
        <f t="shared" si="36"/>
        <v>209.38775510204087</v>
      </c>
      <c r="P46" s="81">
        <f t="shared" si="37"/>
        <v>0</v>
      </c>
      <c r="Q46" s="178">
        <f t="shared" si="38"/>
        <v>-4.8979591836734073</v>
      </c>
      <c r="R46" s="179">
        <f t="shared" si="33"/>
        <v>0.97714285714285742</v>
      </c>
      <c r="S46" s="631"/>
      <c r="T46" s="80">
        <v>0.22152777777777774</v>
      </c>
      <c r="U46" s="80">
        <v>0.24583333333333329</v>
      </c>
      <c r="V46" s="153">
        <v>5</v>
      </c>
      <c r="W46" s="180">
        <f t="shared" si="39"/>
        <v>34.999999999999993</v>
      </c>
      <c r="X46" s="158"/>
      <c r="Y46" s="158"/>
      <c r="Z46" s="159"/>
      <c r="AA46" s="159"/>
      <c r="AB46" s="616"/>
      <c r="AC46" s="616"/>
      <c r="AD46" s="443"/>
      <c r="AE46" s="443"/>
      <c r="AF46" s="181">
        <f t="shared" si="34"/>
        <v>-34.285714285713993</v>
      </c>
      <c r="AG46" s="439">
        <f t="shared" si="7"/>
        <v>0.97714285714285731</v>
      </c>
      <c r="AH46" s="648"/>
    </row>
    <row r="47" spans="1:37" s="182" customFormat="1" ht="19.2" customHeight="1">
      <c r="A47" s="655"/>
      <c r="B47" s="127" t="s">
        <v>163</v>
      </c>
      <c r="C47" s="172"/>
      <c r="D47" s="71" t="s">
        <v>115</v>
      </c>
      <c r="E47" s="184"/>
      <c r="F47" s="174">
        <v>28.47</v>
      </c>
      <c r="G47" s="163">
        <v>941</v>
      </c>
      <c r="H47" s="75">
        <f t="shared" si="40"/>
        <v>26790.27</v>
      </c>
      <c r="I47" s="183"/>
      <c r="J47" s="176">
        <v>7</v>
      </c>
      <c r="K47" s="163">
        <v>1500</v>
      </c>
      <c r="L47" s="177">
        <v>214.28571428571428</v>
      </c>
      <c r="M47" s="164">
        <v>7</v>
      </c>
      <c r="N47" s="163">
        <f t="shared" si="35"/>
        <v>1447.6923076923067</v>
      </c>
      <c r="O47" s="177">
        <f t="shared" si="36"/>
        <v>206.81318681318666</v>
      </c>
      <c r="P47" s="81">
        <f t="shared" si="37"/>
        <v>0</v>
      </c>
      <c r="Q47" s="178">
        <f t="shared" si="38"/>
        <v>-7.4725274725276165</v>
      </c>
      <c r="R47" s="179">
        <f t="shared" si="33"/>
        <v>0.96512820512820441</v>
      </c>
      <c r="S47" s="631"/>
      <c r="T47" s="80">
        <v>0.2493055555555555</v>
      </c>
      <c r="U47" s="80">
        <v>0.27638888888888885</v>
      </c>
      <c r="V47" s="163">
        <v>5</v>
      </c>
      <c r="W47" s="180">
        <f t="shared" si="39"/>
        <v>39.000000000000021</v>
      </c>
      <c r="X47" s="158"/>
      <c r="Y47" s="158"/>
      <c r="Z47" s="159"/>
      <c r="AA47" s="159"/>
      <c r="AB47" s="616"/>
      <c r="AC47" s="616"/>
      <c r="AD47" s="443"/>
      <c r="AE47" s="443"/>
      <c r="AF47" s="181">
        <f t="shared" si="34"/>
        <v>-52.307692307693287</v>
      </c>
      <c r="AG47" s="439">
        <f t="shared" si="7"/>
        <v>0.96512820512820452</v>
      </c>
      <c r="AH47" s="648"/>
    </row>
    <row r="48" spans="1:37" s="182" customFormat="1" ht="19.2" customHeight="1">
      <c r="A48" s="655"/>
      <c r="B48" s="127" t="s">
        <v>163</v>
      </c>
      <c r="C48" s="172"/>
      <c r="D48" s="71" t="s">
        <v>116</v>
      </c>
      <c r="E48" s="184"/>
      <c r="F48" s="174">
        <v>11.86</v>
      </c>
      <c r="G48" s="163">
        <v>1176</v>
      </c>
      <c r="H48" s="75">
        <f t="shared" si="40"/>
        <v>13947.359999999999</v>
      </c>
      <c r="I48" s="183"/>
      <c r="J48" s="176">
        <v>6</v>
      </c>
      <c r="K48" s="163">
        <v>1636</v>
      </c>
      <c r="L48" s="177">
        <v>272.66666666666669</v>
      </c>
      <c r="M48" s="164">
        <v>6</v>
      </c>
      <c r="N48" s="163">
        <f t="shared" si="35"/>
        <v>1440.0000000000005</v>
      </c>
      <c r="O48" s="177">
        <f t="shared" si="36"/>
        <v>240.00000000000009</v>
      </c>
      <c r="P48" s="81">
        <f t="shared" si="37"/>
        <v>0</v>
      </c>
      <c r="Q48" s="178">
        <f t="shared" si="38"/>
        <v>-32.6666666666666</v>
      </c>
      <c r="R48" s="179">
        <f t="shared" si="33"/>
        <v>0.88019559902200517</v>
      </c>
      <c r="S48" s="631"/>
      <c r="T48" s="80">
        <v>0.29374999999999996</v>
      </c>
      <c r="U48" s="80">
        <v>0.32777777777777772</v>
      </c>
      <c r="V48" s="145">
        <v>25</v>
      </c>
      <c r="W48" s="180">
        <f t="shared" si="39"/>
        <v>48.999999999999986</v>
      </c>
      <c r="X48" s="158">
        <v>0.28055555555555556</v>
      </c>
      <c r="Y48" s="158">
        <v>0.29305555555555557</v>
      </c>
      <c r="Z48" s="159"/>
      <c r="AA48" s="159"/>
      <c r="AB48" s="616"/>
      <c r="AC48" s="616"/>
      <c r="AD48" s="443"/>
      <c r="AE48" s="443"/>
      <c r="AF48" s="181">
        <f t="shared" si="34"/>
        <v>-195.99999999999955</v>
      </c>
      <c r="AG48" s="439">
        <f t="shared" si="7"/>
        <v>0.88019559902200517</v>
      </c>
      <c r="AH48" s="648"/>
    </row>
    <row r="49" spans="1:34" s="182" customFormat="1" ht="19.2" customHeight="1">
      <c r="A49" s="655"/>
      <c r="B49" s="127" t="s">
        <v>166</v>
      </c>
      <c r="C49" s="172"/>
      <c r="D49" s="71" t="s">
        <v>117</v>
      </c>
      <c r="E49" s="184"/>
      <c r="F49" s="174">
        <v>10.09</v>
      </c>
      <c r="G49" s="145">
        <v>3531.88</v>
      </c>
      <c r="H49" s="75">
        <f t="shared" si="40"/>
        <v>35636.669200000004</v>
      </c>
      <c r="I49" s="183"/>
      <c r="J49" s="176">
        <v>6</v>
      </c>
      <c r="K49" s="163">
        <v>1500</v>
      </c>
      <c r="L49" s="177">
        <v>250</v>
      </c>
      <c r="M49" s="164">
        <v>6</v>
      </c>
      <c r="N49" s="163">
        <f t="shared" si="35"/>
        <v>1471.616666666667</v>
      </c>
      <c r="O49" s="177">
        <f t="shared" si="36"/>
        <v>245.2694444444445</v>
      </c>
      <c r="P49" s="81">
        <f t="shared" si="37"/>
        <v>0</v>
      </c>
      <c r="Q49" s="178">
        <f t="shared" si="38"/>
        <v>-4.7305555555554974</v>
      </c>
      <c r="R49" s="179">
        <f t="shared" si="33"/>
        <v>0.98107777777777805</v>
      </c>
      <c r="S49" s="631"/>
      <c r="T49" s="80">
        <v>0.33333333333333326</v>
      </c>
      <c r="U49" s="80">
        <v>0.43333333333333324</v>
      </c>
      <c r="V49" s="145">
        <v>8</v>
      </c>
      <c r="W49" s="180">
        <f t="shared" si="39"/>
        <v>143.99999999999997</v>
      </c>
      <c r="X49" s="185"/>
      <c r="Y49" s="185"/>
      <c r="Z49" s="186"/>
      <c r="AA49" s="159"/>
      <c r="AB49" s="616"/>
      <c r="AC49" s="616"/>
      <c r="AD49" s="443">
        <v>1</v>
      </c>
      <c r="AE49" s="443"/>
      <c r="AF49" s="181">
        <f t="shared" si="34"/>
        <v>-28.383333333332985</v>
      </c>
      <c r="AG49" s="439">
        <f t="shared" si="7"/>
        <v>0.98107777777777805</v>
      </c>
      <c r="AH49" s="648"/>
    </row>
    <row r="50" spans="1:34" s="182" customFormat="1" ht="19.2" customHeight="1">
      <c r="A50" s="655"/>
      <c r="B50" s="127" t="s">
        <v>166</v>
      </c>
      <c r="C50" s="172"/>
      <c r="D50" s="71" t="s">
        <v>117</v>
      </c>
      <c r="E50" s="184"/>
      <c r="F50" s="174">
        <v>10.09</v>
      </c>
      <c r="G50" s="145">
        <v>3224.7599999999998</v>
      </c>
      <c r="H50" s="75">
        <f t="shared" si="40"/>
        <v>32537.828399999999</v>
      </c>
      <c r="I50" s="183"/>
      <c r="J50" s="176">
        <v>6</v>
      </c>
      <c r="K50" s="163">
        <v>1500</v>
      </c>
      <c r="L50" s="177">
        <v>250</v>
      </c>
      <c r="M50" s="164">
        <v>6</v>
      </c>
      <c r="N50" s="163">
        <f t="shared" si="35"/>
        <v>1454.7789473684211</v>
      </c>
      <c r="O50" s="177">
        <f t="shared" si="36"/>
        <v>242.46315789473684</v>
      </c>
      <c r="P50" s="81">
        <f t="shared" si="37"/>
        <v>0</v>
      </c>
      <c r="Q50" s="178">
        <f t="shared" si="38"/>
        <v>-7.5368421052631618</v>
      </c>
      <c r="R50" s="179">
        <f t="shared" si="33"/>
        <v>0.9698526315789473</v>
      </c>
      <c r="S50" s="631"/>
      <c r="T50" s="80">
        <v>0.47291666666666654</v>
      </c>
      <c r="U50" s="80">
        <v>0.56527777777777766</v>
      </c>
      <c r="V50" s="145">
        <v>4</v>
      </c>
      <c r="W50" s="180">
        <f t="shared" si="39"/>
        <v>133</v>
      </c>
      <c r="X50" s="185"/>
      <c r="Y50" s="185"/>
      <c r="Z50" s="186"/>
      <c r="AA50" s="186"/>
      <c r="AB50" s="616"/>
      <c r="AC50" s="616"/>
      <c r="AD50" s="443"/>
      <c r="AE50" s="443"/>
      <c r="AF50" s="181">
        <f t="shared" si="34"/>
        <v>-45.221052631578914</v>
      </c>
      <c r="AG50" s="439">
        <f t="shared" si="7"/>
        <v>0.96985263157894741</v>
      </c>
      <c r="AH50" s="648"/>
    </row>
    <row r="51" spans="1:34" s="182" customFormat="1" ht="19.2" customHeight="1">
      <c r="A51" s="655"/>
      <c r="B51" s="127">
        <v>0</v>
      </c>
      <c r="C51" s="172"/>
      <c r="D51" s="165"/>
      <c r="E51" s="184"/>
      <c r="F51" s="174" t="s">
        <v>161</v>
      </c>
      <c r="G51" s="145"/>
      <c r="H51" s="75">
        <f t="shared" si="40"/>
        <v>0</v>
      </c>
      <c r="I51" s="183"/>
      <c r="J51" s="176"/>
      <c r="K51" s="163"/>
      <c r="L51" s="177"/>
      <c r="M51" s="164"/>
      <c r="N51" s="163"/>
      <c r="O51" s="177"/>
      <c r="P51" s="81"/>
      <c r="Q51" s="178"/>
      <c r="R51" s="179"/>
      <c r="S51" s="631"/>
      <c r="T51" s="167"/>
      <c r="U51" s="167"/>
      <c r="V51" s="145"/>
      <c r="W51" s="180">
        <f t="shared" si="39"/>
        <v>0</v>
      </c>
      <c r="X51" s="185"/>
      <c r="Y51" s="185"/>
      <c r="Z51" s="186"/>
      <c r="AA51" s="186"/>
      <c r="AB51" s="616"/>
      <c r="AC51" s="616"/>
      <c r="AD51" s="443"/>
      <c r="AE51" s="443"/>
      <c r="AF51" s="181">
        <f t="shared" si="34"/>
        <v>0</v>
      </c>
      <c r="AG51" s="439" t="e">
        <f t="shared" si="7"/>
        <v>#DIV/0!</v>
      </c>
      <c r="AH51" s="648"/>
    </row>
    <row r="52" spans="1:34" s="182" customFormat="1" ht="19.2" customHeight="1">
      <c r="A52" s="655"/>
      <c r="B52" s="127">
        <v>0</v>
      </c>
      <c r="C52" s="172"/>
      <c r="D52" s="165"/>
      <c r="E52" s="184"/>
      <c r="F52" s="174" t="s">
        <v>161</v>
      </c>
      <c r="G52" s="145"/>
      <c r="H52" s="75">
        <f t="shared" si="40"/>
        <v>0</v>
      </c>
      <c r="I52" s="183"/>
      <c r="J52" s="176"/>
      <c r="K52" s="163"/>
      <c r="L52" s="177"/>
      <c r="M52" s="164"/>
      <c r="N52" s="163"/>
      <c r="O52" s="177"/>
      <c r="P52" s="81"/>
      <c r="Q52" s="178"/>
      <c r="R52" s="179"/>
      <c r="S52" s="631"/>
      <c r="T52" s="167"/>
      <c r="U52" s="167"/>
      <c r="V52" s="145"/>
      <c r="W52" s="180">
        <f t="shared" si="39"/>
        <v>0</v>
      </c>
      <c r="X52" s="185"/>
      <c r="Y52" s="185"/>
      <c r="Z52" s="186"/>
      <c r="AA52" s="186"/>
      <c r="AB52" s="616"/>
      <c r="AC52" s="616"/>
      <c r="AD52" s="443"/>
      <c r="AE52" s="443"/>
      <c r="AF52" s="181">
        <f t="shared" si="34"/>
        <v>0</v>
      </c>
      <c r="AG52" s="439" t="e">
        <f t="shared" si="7"/>
        <v>#DIV/0!</v>
      </c>
      <c r="AH52" s="648"/>
    </row>
    <row r="53" spans="1:34" s="182" customFormat="1" ht="19.2" customHeight="1">
      <c r="A53" s="655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437"/>
      <c r="S53" s="631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616"/>
      <c r="AC53" s="616"/>
      <c r="AD53" s="443"/>
      <c r="AE53" s="443"/>
      <c r="AF53" s="181">
        <f t="shared" si="34"/>
        <v>0</v>
      </c>
      <c r="AG53" s="439" t="e">
        <f t="shared" si="7"/>
        <v>#DIV/0!</v>
      </c>
      <c r="AH53" s="648"/>
    </row>
    <row r="54" spans="1:34" s="182" customFormat="1" ht="19.2" customHeight="1">
      <c r="A54" s="655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437"/>
      <c r="S54" s="631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616"/>
      <c r="AC54" s="616"/>
      <c r="AD54" s="443"/>
      <c r="AE54" s="443"/>
      <c r="AF54" s="181">
        <f t="shared" si="34"/>
        <v>0</v>
      </c>
      <c r="AG54" s="439" t="e">
        <f t="shared" si="7"/>
        <v>#DIV/0!</v>
      </c>
      <c r="AH54" s="648"/>
    </row>
    <row r="55" spans="1:34" s="182" customFormat="1" ht="19.2" customHeight="1">
      <c r="A55" s="655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437"/>
      <c r="S55" s="631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616"/>
      <c r="AC55" s="616"/>
      <c r="AD55" s="443"/>
      <c r="AE55" s="443"/>
      <c r="AF55" s="181"/>
      <c r="AG55" s="439"/>
      <c r="AH55" s="648"/>
    </row>
    <row r="56" spans="1:34" ht="19.2" customHeight="1">
      <c r="A56" s="656"/>
      <c r="B56" s="190">
        <v>0</v>
      </c>
      <c r="C56" s="191" t="s">
        <v>285</v>
      </c>
      <c r="D56" s="653" t="s">
        <v>219</v>
      </c>
      <c r="E56" s="612"/>
      <c r="F56" s="133"/>
      <c r="G56" s="103"/>
      <c r="H56" s="134"/>
      <c r="I56" s="135"/>
      <c r="J56" s="103">
        <v>5.7142857142857144</v>
      </c>
      <c r="K56" s="103">
        <v>1662.2857142857142</v>
      </c>
      <c r="L56" s="136">
        <v>314.46258503401361</v>
      </c>
      <c r="M56" s="103">
        <f t="shared" ref="M56:O56" si="41">AVERAGE(M44:M55)</f>
        <v>6</v>
      </c>
      <c r="N56" s="103">
        <f t="shared" si="41"/>
        <v>1633.6513975998937</v>
      </c>
      <c r="O56" s="136">
        <f t="shared" si="41"/>
        <v>282.15500848656063</v>
      </c>
      <c r="P56" s="192">
        <f>M56-J56</f>
        <v>0.28571428571428559</v>
      </c>
      <c r="Q56" s="151">
        <f>N56-K56</f>
        <v>-28.634316685820522</v>
      </c>
      <c r="R56" s="193">
        <f t="shared" ref="R56:R60" si="42">O56/L56</f>
        <v>0.89726098402467036</v>
      </c>
      <c r="S56" s="631"/>
      <c r="T56" s="194"/>
      <c r="U56" s="194"/>
      <c r="V56" s="432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616"/>
      <c r="AC56" s="616"/>
      <c r="AD56" s="139">
        <f>SUM(AD44:AD55)</f>
        <v>1</v>
      </c>
      <c r="AE56" s="139">
        <f>SUM(AE44:AE55)</f>
        <v>0</v>
      </c>
      <c r="AF56" s="196">
        <f>N56-K56</f>
        <v>-28.634316685820522</v>
      </c>
      <c r="AG56" s="437">
        <f>N56/K56</f>
        <v>0.98277413056026608</v>
      </c>
      <c r="AH56" s="648"/>
    </row>
    <row r="57" spans="1:34" ht="19.2" customHeight="1">
      <c r="A57" s="643" t="s">
        <v>286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2743</v>
      </c>
      <c r="H57" s="116">
        <f t="shared" ref="H57:H66" si="43">F57*G57</f>
        <v>76474.84</v>
      </c>
      <c r="I57" s="443"/>
      <c r="J57" s="129">
        <v>7</v>
      </c>
      <c r="K57" s="85">
        <v>1500</v>
      </c>
      <c r="L57" s="118">
        <v>214.28571428571428</v>
      </c>
      <c r="M57" s="433">
        <v>7</v>
      </c>
      <c r="N57" s="85">
        <f t="shared" ref="N57:N60" si="44">G57/W57*60</f>
        <v>1443.6842105263158</v>
      </c>
      <c r="O57" s="118">
        <f t="shared" ref="O57:O60" si="45">N57/M57</f>
        <v>206.24060150375939</v>
      </c>
      <c r="P57" s="197">
        <f t="shared" ref="P57:P60" si="46">M57-J57</f>
        <v>0</v>
      </c>
      <c r="Q57" s="79">
        <f t="shared" ref="Q57:Q60" si="47">O57-L57</f>
        <v>-8.0451127819548844</v>
      </c>
      <c r="R57" s="434">
        <f t="shared" si="42"/>
        <v>0.96245614035087723</v>
      </c>
      <c r="S57" s="631">
        <f>R69</f>
        <v>0.97025892160765304</v>
      </c>
      <c r="T57" s="198">
        <v>0.16666666666666666</v>
      </c>
      <c r="U57" s="198">
        <v>0.24583333333333332</v>
      </c>
      <c r="V57" s="430">
        <v>5</v>
      </c>
      <c r="W57" s="427">
        <f>(U57-T57)*24*60</f>
        <v>114</v>
      </c>
      <c r="X57" s="83"/>
      <c r="Y57" s="83"/>
      <c r="Z57" s="84"/>
      <c r="AA57" s="84"/>
      <c r="AB57" s="616"/>
      <c r="AC57" s="616"/>
      <c r="AD57" s="443"/>
      <c r="AE57" s="443"/>
      <c r="AF57" s="78">
        <f t="shared" si="6"/>
        <v>-56.315789473684163</v>
      </c>
      <c r="AG57" s="438">
        <f t="shared" si="7"/>
        <v>0.96245614035087723</v>
      </c>
      <c r="AH57" s="630">
        <f>AG69</f>
        <v>0.97019587137307672</v>
      </c>
    </row>
    <row r="58" spans="1:34" ht="19.2" customHeight="1">
      <c r="A58" s="644"/>
      <c r="B58" s="156" t="s">
        <v>163</v>
      </c>
      <c r="C58" s="443"/>
      <c r="D58" s="71" t="s">
        <v>119</v>
      </c>
      <c r="E58" s="72"/>
      <c r="F58" s="73">
        <v>28</v>
      </c>
      <c r="G58" s="74">
        <v>2636</v>
      </c>
      <c r="H58" s="75">
        <f t="shared" si="43"/>
        <v>73808</v>
      </c>
      <c r="I58" s="430"/>
      <c r="J58" s="76">
        <v>7</v>
      </c>
      <c r="K58" s="74">
        <v>1500</v>
      </c>
      <c r="L58" s="118">
        <v>214.28571428571428</v>
      </c>
      <c r="M58" s="428">
        <v>7</v>
      </c>
      <c r="N58" s="74">
        <f t="shared" si="44"/>
        <v>1464.4444444444443</v>
      </c>
      <c r="O58" s="77">
        <f t="shared" si="45"/>
        <v>209.20634920634919</v>
      </c>
      <c r="P58" s="197">
        <f t="shared" si="46"/>
        <v>0</v>
      </c>
      <c r="Q58" s="79">
        <f t="shared" si="47"/>
        <v>-5.0793650793650897</v>
      </c>
      <c r="R58" s="434">
        <f t="shared" si="42"/>
        <v>0.97629629629629622</v>
      </c>
      <c r="S58" s="631"/>
      <c r="T58" s="198">
        <v>0.25138888888888888</v>
      </c>
      <c r="U58" s="198">
        <v>0.3263888888888889</v>
      </c>
      <c r="V58" s="430">
        <v>8</v>
      </c>
      <c r="W58" s="427">
        <f>(U58-T58)*24*60</f>
        <v>108.00000000000001</v>
      </c>
      <c r="X58" s="83"/>
      <c r="Y58" s="83"/>
      <c r="Z58" s="84"/>
      <c r="AA58" s="84"/>
      <c r="AB58" s="649"/>
      <c r="AC58" s="650"/>
      <c r="AD58" s="443"/>
      <c r="AE58" s="443"/>
      <c r="AF58" s="78">
        <f t="shared" si="6"/>
        <v>-35.555555555555657</v>
      </c>
      <c r="AG58" s="434">
        <f t="shared" si="7"/>
        <v>0.97629629629629622</v>
      </c>
      <c r="AH58" s="631"/>
    </row>
    <row r="59" spans="1:34" ht="19.2" customHeight="1">
      <c r="A59" s="644"/>
      <c r="B59" s="156" t="s">
        <v>166</v>
      </c>
      <c r="C59" s="443"/>
      <c r="D59" s="71" t="s">
        <v>117</v>
      </c>
      <c r="E59" s="72"/>
      <c r="F59" s="73">
        <v>10.09</v>
      </c>
      <c r="G59" s="74">
        <v>3685.44</v>
      </c>
      <c r="H59" s="75">
        <f t="shared" si="43"/>
        <v>37186.089599999999</v>
      </c>
      <c r="I59" s="430"/>
      <c r="J59" s="76">
        <v>6</v>
      </c>
      <c r="K59" s="74">
        <v>1500</v>
      </c>
      <c r="L59" s="118">
        <v>250</v>
      </c>
      <c r="M59" s="428">
        <v>6</v>
      </c>
      <c r="N59" s="74">
        <f t="shared" si="44"/>
        <v>1454.7789473684209</v>
      </c>
      <c r="O59" s="77">
        <f t="shared" si="45"/>
        <v>242.46315789473681</v>
      </c>
      <c r="P59" s="197">
        <f t="shared" si="46"/>
        <v>0</v>
      </c>
      <c r="Q59" s="79">
        <f t="shared" si="47"/>
        <v>-7.5368421052631902</v>
      </c>
      <c r="R59" s="434">
        <f t="shared" si="42"/>
        <v>0.96985263157894719</v>
      </c>
      <c r="S59" s="631"/>
      <c r="T59" s="198">
        <v>0.34375</v>
      </c>
      <c r="U59" s="198">
        <v>0.44930555555555557</v>
      </c>
      <c r="V59" s="153">
        <v>25</v>
      </c>
      <c r="W59" s="427">
        <f t="shared" ref="W59:W69" si="48">(U59-T59)*24*60</f>
        <v>152.00000000000003</v>
      </c>
      <c r="X59" s="83">
        <v>0.33055555555555555</v>
      </c>
      <c r="Y59" s="83">
        <v>0.3430555555555555</v>
      </c>
      <c r="Z59" s="84"/>
      <c r="AA59" s="84"/>
      <c r="AB59" s="616"/>
      <c r="AC59" s="616"/>
      <c r="AD59" s="443"/>
      <c r="AE59" s="443"/>
      <c r="AF59" s="78">
        <f t="shared" si="6"/>
        <v>-45.221052631579141</v>
      </c>
      <c r="AG59" s="434">
        <f t="shared" si="7"/>
        <v>0.96985263157894719</v>
      </c>
      <c r="AH59" s="631"/>
    </row>
    <row r="60" spans="1:34" ht="19.2" customHeight="1">
      <c r="A60" s="644"/>
      <c r="B60" s="156" t="s">
        <v>166</v>
      </c>
      <c r="C60" s="443"/>
      <c r="D60" s="71" t="s">
        <v>117</v>
      </c>
      <c r="E60" s="72"/>
      <c r="F60" s="73">
        <v>10.09</v>
      </c>
      <c r="G60" s="74">
        <v>3378.32</v>
      </c>
      <c r="H60" s="75">
        <f t="shared" si="43"/>
        <v>34087.248800000001</v>
      </c>
      <c r="I60" s="430"/>
      <c r="J60" s="76">
        <v>6</v>
      </c>
      <c r="K60" s="74">
        <v>1500</v>
      </c>
      <c r="L60" s="118">
        <v>250</v>
      </c>
      <c r="M60" s="428">
        <v>6</v>
      </c>
      <c r="N60" s="74">
        <f t="shared" si="44"/>
        <v>1458.2676258992801</v>
      </c>
      <c r="O60" s="77">
        <f t="shared" si="45"/>
        <v>243.0446043165467</v>
      </c>
      <c r="P60" s="197">
        <f t="shared" si="46"/>
        <v>0</v>
      </c>
      <c r="Q60" s="79">
        <f t="shared" si="47"/>
        <v>-6.9553956834533039</v>
      </c>
      <c r="R60" s="434">
        <f t="shared" si="42"/>
        <v>0.97217841726618681</v>
      </c>
      <c r="S60" s="631"/>
      <c r="T60" s="198">
        <v>0.48958333333333331</v>
      </c>
      <c r="U60" s="198">
        <v>0.58611111111111114</v>
      </c>
      <c r="V60" s="153">
        <v>5</v>
      </c>
      <c r="W60" s="427">
        <f t="shared" si="48"/>
        <v>139.00000000000006</v>
      </c>
      <c r="X60" s="83"/>
      <c r="Y60" s="83"/>
      <c r="Z60" s="84"/>
      <c r="AA60" s="84"/>
      <c r="AB60" s="616"/>
      <c r="AC60" s="616"/>
      <c r="AD60" s="443"/>
      <c r="AE60" s="443">
        <v>1</v>
      </c>
      <c r="AF60" s="78">
        <f t="shared" si="6"/>
        <v>-41.732374100719881</v>
      </c>
      <c r="AG60" s="438">
        <f t="shared" si="7"/>
        <v>0.9721784172661867</v>
      </c>
      <c r="AH60" s="631"/>
    </row>
    <row r="61" spans="1:34" ht="19.2" customHeight="1">
      <c r="A61" s="644"/>
      <c r="B61" s="156">
        <v>0</v>
      </c>
      <c r="C61" s="443"/>
      <c r="D61" s="71"/>
      <c r="E61" s="72"/>
      <c r="F61" s="73" t="s">
        <v>161</v>
      </c>
      <c r="G61" s="74"/>
      <c r="H61" s="75">
        <f t="shared" si="43"/>
        <v>0</v>
      </c>
      <c r="I61" s="430"/>
      <c r="J61" s="76"/>
      <c r="K61" s="74"/>
      <c r="L61" s="118"/>
      <c r="M61" s="428"/>
      <c r="N61" s="74"/>
      <c r="O61" s="77"/>
      <c r="P61" s="197"/>
      <c r="Q61" s="79"/>
      <c r="R61" s="434"/>
      <c r="S61" s="631"/>
      <c r="T61" s="198"/>
      <c r="U61" s="198"/>
      <c r="V61" s="153"/>
      <c r="W61" s="427">
        <f t="shared" si="48"/>
        <v>0</v>
      </c>
      <c r="X61" s="83"/>
      <c r="Y61" s="83"/>
      <c r="Z61" s="84"/>
      <c r="AA61" s="84"/>
      <c r="AB61" s="616"/>
      <c r="AC61" s="616"/>
      <c r="AD61" s="443"/>
      <c r="AE61" s="443"/>
      <c r="AF61" s="78">
        <f t="shared" si="6"/>
        <v>0</v>
      </c>
      <c r="AG61" s="434" t="e">
        <f t="shared" si="7"/>
        <v>#DIV/0!</v>
      </c>
      <c r="AH61" s="631"/>
    </row>
    <row r="62" spans="1:34" ht="19.2" customHeight="1">
      <c r="A62" s="644"/>
      <c r="B62" s="156">
        <v>0</v>
      </c>
      <c r="C62" s="443"/>
      <c r="D62" s="71"/>
      <c r="E62" s="72"/>
      <c r="F62" s="73" t="s">
        <v>161</v>
      </c>
      <c r="G62" s="145"/>
      <c r="H62" s="75">
        <f t="shared" si="43"/>
        <v>0</v>
      </c>
      <c r="I62" s="430"/>
      <c r="J62" s="76"/>
      <c r="K62" s="74"/>
      <c r="L62" s="118"/>
      <c r="M62" s="92"/>
      <c r="N62" s="74"/>
      <c r="O62" s="77"/>
      <c r="P62" s="197"/>
      <c r="Q62" s="79"/>
      <c r="R62" s="434"/>
      <c r="S62" s="631"/>
      <c r="T62" s="199"/>
      <c r="U62" s="199"/>
      <c r="V62" s="153"/>
      <c r="W62" s="427">
        <f t="shared" si="48"/>
        <v>0</v>
      </c>
      <c r="X62" s="83"/>
      <c r="Y62" s="83"/>
      <c r="Z62" s="84"/>
      <c r="AA62" s="84"/>
      <c r="AB62" s="616"/>
      <c r="AC62" s="616"/>
      <c r="AD62" s="443"/>
      <c r="AE62" s="443"/>
      <c r="AF62" s="78">
        <f t="shared" si="6"/>
        <v>0</v>
      </c>
      <c r="AG62" s="434" t="e">
        <f t="shared" si="7"/>
        <v>#DIV/0!</v>
      </c>
      <c r="AH62" s="631"/>
    </row>
    <row r="63" spans="1:34" ht="19.2" customHeight="1">
      <c r="A63" s="644"/>
      <c r="B63" s="156">
        <v>0</v>
      </c>
      <c r="C63" s="443"/>
      <c r="D63" s="71"/>
      <c r="E63" s="72"/>
      <c r="F63" s="73" t="s">
        <v>161</v>
      </c>
      <c r="G63" s="145"/>
      <c r="H63" s="75">
        <f t="shared" si="43"/>
        <v>0</v>
      </c>
      <c r="I63" s="430"/>
      <c r="J63" s="76"/>
      <c r="K63" s="74"/>
      <c r="L63" s="118"/>
      <c r="M63" s="92" t="s">
        <v>15</v>
      </c>
      <c r="N63" s="74"/>
      <c r="O63" s="77"/>
      <c r="P63" s="197"/>
      <c r="Q63" s="79"/>
      <c r="R63" s="434"/>
      <c r="S63" s="631"/>
      <c r="T63" s="199"/>
      <c r="U63" s="199"/>
      <c r="V63" s="153"/>
      <c r="W63" s="427">
        <f t="shared" si="48"/>
        <v>0</v>
      </c>
      <c r="X63" s="83"/>
      <c r="Y63" s="83"/>
      <c r="Z63" s="84"/>
      <c r="AA63" s="84"/>
      <c r="AB63" s="616"/>
      <c r="AC63" s="616"/>
      <c r="AD63" s="443"/>
      <c r="AE63" s="443"/>
      <c r="AF63" s="78">
        <f t="shared" si="6"/>
        <v>0</v>
      </c>
      <c r="AG63" s="438" t="e">
        <f t="shared" si="7"/>
        <v>#DIV/0!</v>
      </c>
      <c r="AH63" s="631"/>
    </row>
    <row r="64" spans="1:34" ht="19.2" customHeight="1">
      <c r="A64" s="645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430"/>
      <c r="J64" s="202"/>
      <c r="K64" s="91"/>
      <c r="L64" s="118"/>
      <c r="M64" s="92"/>
      <c r="N64" s="74"/>
      <c r="O64" s="77"/>
      <c r="P64" s="197"/>
      <c r="Q64" s="79"/>
      <c r="R64" s="434"/>
      <c r="S64" s="631"/>
      <c r="T64" s="199"/>
      <c r="U64" s="199"/>
      <c r="V64" s="153"/>
      <c r="W64" s="427">
        <f t="shared" si="48"/>
        <v>0</v>
      </c>
      <c r="X64" s="430"/>
      <c r="Y64" s="430"/>
      <c r="Z64" s="84"/>
      <c r="AA64" s="84"/>
      <c r="AB64" s="616"/>
      <c r="AC64" s="616"/>
      <c r="AD64" s="443"/>
      <c r="AE64" s="443"/>
      <c r="AF64" s="78">
        <f t="shared" si="6"/>
        <v>0</v>
      </c>
      <c r="AG64" s="434" t="e">
        <f t="shared" si="7"/>
        <v>#DIV/0!</v>
      </c>
      <c r="AH64" s="631"/>
    </row>
    <row r="65" spans="1:37" ht="19.2" customHeight="1">
      <c r="A65" s="645"/>
      <c r="B65" s="127">
        <v>0</v>
      </c>
      <c r="C65" s="440"/>
      <c r="D65" s="71"/>
      <c r="E65" s="72"/>
      <c r="F65" s="73" t="s">
        <v>161</v>
      </c>
      <c r="G65" s="145"/>
      <c r="H65" s="75">
        <f t="shared" si="43"/>
        <v>0</v>
      </c>
      <c r="I65" s="430"/>
      <c r="J65" s="202"/>
      <c r="K65" s="91"/>
      <c r="L65" s="118"/>
      <c r="M65" s="92"/>
      <c r="N65" s="91"/>
      <c r="O65" s="108"/>
      <c r="P65" s="78"/>
      <c r="Q65" s="79"/>
      <c r="R65" s="434"/>
      <c r="S65" s="631"/>
      <c r="T65" s="199"/>
      <c r="U65" s="199"/>
      <c r="V65" s="153"/>
      <c r="W65" s="427">
        <f t="shared" si="48"/>
        <v>0</v>
      </c>
      <c r="X65" s="430"/>
      <c r="Y65" s="430"/>
      <c r="Z65" s="84"/>
      <c r="AA65" s="84"/>
      <c r="AB65" s="616"/>
      <c r="AC65" s="616"/>
      <c r="AD65" s="443"/>
      <c r="AE65" s="443"/>
      <c r="AF65" s="78">
        <f t="shared" si="6"/>
        <v>0</v>
      </c>
      <c r="AG65" s="434" t="e">
        <f t="shared" si="7"/>
        <v>#DIV/0!</v>
      </c>
      <c r="AH65" s="631"/>
    </row>
    <row r="66" spans="1:37" ht="19.2" customHeight="1">
      <c r="A66" s="645"/>
      <c r="B66" s="127">
        <v>0</v>
      </c>
      <c r="C66" s="440"/>
      <c r="D66" s="71"/>
      <c r="E66" s="72"/>
      <c r="F66" s="73" t="s">
        <v>161</v>
      </c>
      <c r="G66" s="145"/>
      <c r="H66" s="75">
        <f t="shared" si="43"/>
        <v>0</v>
      </c>
      <c r="I66" s="430"/>
      <c r="J66" s="202"/>
      <c r="K66" s="91"/>
      <c r="L66" s="118"/>
      <c r="M66" s="92"/>
      <c r="N66" s="91"/>
      <c r="O66" s="108"/>
      <c r="P66" s="78"/>
      <c r="Q66" s="79"/>
      <c r="R66" s="434"/>
      <c r="S66" s="631"/>
      <c r="T66" s="199"/>
      <c r="U66" s="199"/>
      <c r="V66" s="153"/>
      <c r="W66" s="427">
        <f t="shared" si="48"/>
        <v>0</v>
      </c>
      <c r="X66" s="430"/>
      <c r="Y66" s="430"/>
      <c r="Z66" s="84"/>
      <c r="AA66" s="84"/>
      <c r="AB66" s="616"/>
      <c r="AC66" s="616"/>
      <c r="AD66" s="443"/>
      <c r="AE66" s="443"/>
      <c r="AF66" s="78">
        <f t="shared" si="6"/>
        <v>0</v>
      </c>
      <c r="AG66" s="438" t="e">
        <f t="shared" si="7"/>
        <v>#DIV/0!</v>
      </c>
      <c r="AH66" s="631"/>
    </row>
    <row r="67" spans="1:37" ht="19.2" customHeight="1">
      <c r="A67" s="645"/>
      <c r="B67" s="127">
        <v>0</v>
      </c>
      <c r="C67" s="440"/>
      <c r="D67" s="71"/>
      <c r="E67" s="72"/>
      <c r="F67" s="73" t="s">
        <v>161</v>
      </c>
      <c r="G67" s="145"/>
      <c r="H67" s="75">
        <f>F67*G67</f>
        <v>0</v>
      </c>
      <c r="I67" s="430"/>
      <c r="J67" s="202"/>
      <c r="K67" s="91"/>
      <c r="L67" s="118"/>
      <c r="M67" s="92"/>
      <c r="N67" s="91"/>
      <c r="O67" s="108"/>
      <c r="P67" s="78"/>
      <c r="Q67" s="79"/>
      <c r="R67" s="434"/>
      <c r="S67" s="631"/>
      <c r="T67" s="199"/>
      <c r="U67" s="199"/>
      <c r="V67" s="153"/>
      <c r="W67" s="427">
        <f t="shared" si="48"/>
        <v>0</v>
      </c>
      <c r="X67" s="430"/>
      <c r="Y67" s="430"/>
      <c r="Z67" s="84"/>
      <c r="AA67" s="84"/>
      <c r="AB67" s="616"/>
      <c r="AC67" s="616"/>
      <c r="AD67" s="443"/>
      <c r="AE67" s="443"/>
      <c r="AF67" s="78">
        <f t="shared" si="6"/>
        <v>0</v>
      </c>
      <c r="AG67" s="434" t="e">
        <f t="shared" si="7"/>
        <v>#DIV/0!</v>
      </c>
      <c r="AH67" s="631"/>
    </row>
    <row r="68" spans="1:37" ht="19.2" customHeight="1">
      <c r="A68" s="645"/>
      <c r="B68" s="430">
        <v>0</v>
      </c>
      <c r="C68" s="440"/>
      <c r="D68" s="71"/>
      <c r="E68" s="72"/>
      <c r="F68" s="174" t="s">
        <v>161</v>
      </c>
      <c r="G68" s="145"/>
      <c r="H68" s="75">
        <f>F68*G68</f>
        <v>0</v>
      </c>
      <c r="I68" s="430"/>
      <c r="J68" s="202"/>
      <c r="K68" s="91"/>
      <c r="L68" s="118"/>
      <c r="M68" s="92"/>
      <c r="N68" s="91"/>
      <c r="O68" s="108"/>
      <c r="P68" s="78"/>
      <c r="Q68" s="79"/>
      <c r="R68" s="434"/>
      <c r="S68" s="631"/>
      <c r="T68" s="199"/>
      <c r="U68" s="199"/>
      <c r="V68" s="153"/>
      <c r="W68" s="427">
        <f t="shared" si="48"/>
        <v>0</v>
      </c>
      <c r="X68" s="430"/>
      <c r="Y68" s="430"/>
      <c r="Z68" s="84"/>
      <c r="AA68" s="84"/>
      <c r="AB68" s="616"/>
      <c r="AC68" s="616"/>
      <c r="AD68" s="443"/>
      <c r="AE68" s="443"/>
      <c r="AF68" s="78"/>
      <c r="AG68" s="434"/>
      <c r="AH68" s="631"/>
    </row>
    <row r="69" spans="1:37" ht="19.2" customHeight="1">
      <c r="A69" s="645"/>
      <c r="B69" s="203">
        <v>0</v>
      </c>
      <c r="C69" s="204" t="s">
        <v>287</v>
      </c>
      <c r="D69" s="612" t="s">
        <v>219</v>
      </c>
      <c r="E69" s="612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1455.2938070596151</v>
      </c>
      <c r="O69" s="102">
        <f t="shared" si="49"/>
        <v>225.23867823034803</v>
      </c>
      <c r="P69" s="78">
        <f>M69-J69</f>
        <v>0</v>
      </c>
      <c r="Q69" s="79">
        <f>N69-K69</f>
        <v>-44.706192940384881</v>
      </c>
      <c r="R69" s="209">
        <f t="shared" ref="R69:R75" si="50">O69/L69</f>
        <v>0.97025892160765304</v>
      </c>
      <c r="S69" s="631"/>
      <c r="T69" s="210"/>
      <c r="U69" s="210"/>
      <c r="V69" s="74"/>
      <c r="W69" s="427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616"/>
      <c r="AC69" s="616"/>
      <c r="AD69" s="139">
        <f>SUM(AD57:AD68)</f>
        <v>0</v>
      </c>
      <c r="AE69" s="139">
        <f>SUM(AE57:AE68)</f>
        <v>1</v>
      </c>
      <c r="AF69" s="78">
        <f t="shared" si="6"/>
        <v>-44.706192940384881</v>
      </c>
      <c r="AG69" s="434">
        <f t="shared" si="7"/>
        <v>0.97019587137307672</v>
      </c>
      <c r="AH69" s="631"/>
    </row>
    <row r="70" spans="1:37" ht="19.2" customHeight="1">
      <c r="A70" s="646" t="s">
        <v>288</v>
      </c>
      <c r="B70" s="430" t="s">
        <v>166</v>
      </c>
      <c r="C70" s="127"/>
      <c r="D70" s="71" t="s">
        <v>120</v>
      </c>
      <c r="E70" s="72"/>
      <c r="F70" s="73">
        <v>54.09</v>
      </c>
      <c r="G70" s="85">
        <v>338.20000000000005</v>
      </c>
      <c r="H70" s="75">
        <f>F70*G70</f>
        <v>18293.238000000005</v>
      </c>
      <c r="I70" s="430"/>
      <c r="J70" s="76">
        <v>16</v>
      </c>
      <c r="K70" s="74">
        <v>1500</v>
      </c>
      <c r="L70" s="77">
        <v>93.75</v>
      </c>
      <c r="M70" s="428">
        <v>16</v>
      </c>
      <c r="N70" s="74">
        <f t="shared" ref="N70:N75" si="51">G70/W70*60</f>
        <v>1268.2499999999984</v>
      </c>
      <c r="O70" s="77">
        <f t="shared" ref="O70:O75" si="52">N70/M70</f>
        <v>79.265624999999901</v>
      </c>
      <c r="P70" s="78">
        <f t="shared" ref="P70:P75" si="53">M70-J70</f>
        <v>0</v>
      </c>
      <c r="Q70" s="79">
        <f t="shared" ref="Q70:Q75" si="54">O70-L70</f>
        <v>-14.484375000000099</v>
      </c>
      <c r="R70" s="434">
        <f t="shared" si="50"/>
        <v>0.84549999999999892</v>
      </c>
      <c r="S70" s="631">
        <f>R82</f>
        <v>0.89622931068672063</v>
      </c>
      <c r="T70" s="198">
        <v>0.25</v>
      </c>
      <c r="U70" s="198">
        <v>0.26111111111111113</v>
      </c>
      <c r="V70" s="430">
        <v>5</v>
      </c>
      <c r="W70" s="427">
        <f>(U70-T70)*24*60</f>
        <v>16.000000000000021</v>
      </c>
      <c r="X70" s="430"/>
      <c r="Y70" s="430"/>
      <c r="Z70" s="84"/>
      <c r="AA70" s="84"/>
      <c r="AB70" s="616"/>
      <c r="AC70" s="616"/>
      <c r="AD70" s="443"/>
      <c r="AE70" s="443"/>
      <c r="AF70" s="78">
        <f t="shared" si="6"/>
        <v>-231.75000000000159</v>
      </c>
      <c r="AG70" s="434">
        <f t="shared" si="7"/>
        <v>0.84549999999999892</v>
      </c>
      <c r="AH70" s="631">
        <f>AG82</f>
        <v>0.89640928285320931</v>
      </c>
      <c r="AJ70" s="62" t="str">
        <f>A70</f>
        <v>四度三組
(ET-55)</v>
      </c>
      <c r="AK70" s="404">
        <f>AVERAGE(AK71:AK81)</f>
        <v>6.4000000000000226</v>
      </c>
    </row>
    <row r="71" spans="1:37" ht="19.2" customHeight="1">
      <c r="A71" s="646"/>
      <c r="B71" s="430" t="s">
        <v>167</v>
      </c>
      <c r="C71" s="70"/>
      <c r="D71" s="211" t="s">
        <v>121</v>
      </c>
      <c r="E71" s="72"/>
      <c r="F71" s="73">
        <v>77.34</v>
      </c>
      <c r="G71" s="74">
        <v>1300</v>
      </c>
      <c r="H71" s="75">
        <f>F71*G71</f>
        <v>100542</v>
      </c>
      <c r="I71" s="430"/>
      <c r="J71" s="76">
        <v>18</v>
      </c>
      <c r="K71" s="212">
        <v>1440</v>
      </c>
      <c r="L71" s="77">
        <v>80</v>
      </c>
      <c r="M71" s="433">
        <v>18</v>
      </c>
      <c r="N71" s="74">
        <f t="shared" si="51"/>
        <v>1322.0338983050842</v>
      </c>
      <c r="O71" s="77">
        <f t="shared" si="52"/>
        <v>73.446327683615792</v>
      </c>
      <c r="P71" s="78">
        <f t="shared" si="53"/>
        <v>0</v>
      </c>
      <c r="Q71" s="79">
        <f t="shared" si="54"/>
        <v>-6.5536723163842083</v>
      </c>
      <c r="R71" s="434">
        <f t="shared" si="50"/>
        <v>0.91807909604519744</v>
      </c>
      <c r="S71" s="631"/>
      <c r="T71" s="198">
        <v>0.26597222222222222</v>
      </c>
      <c r="U71" s="198">
        <v>0.30694444444444446</v>
      </c>
      <c r="V71" s="430">
        <v>7</v>
      </c>
      <c r="W71" s="427">
        <f t="shared" ref="W71:W81" si="55">(U71-T71)*24*60</f>
        <v>59.000000000000028</v>
      </c>
      <c r="X71" s="83"/>
      <c r="Y71" s="83"/>
      <c r="Z71" s="84"/>
      <c r="AA71" s="84"/>
      <c r="AB71" s="616"/>
      <c r="AC71" s="616"/>
      <c r="AD71" s="443"/>
      <c r="AE71" s="443"/>
      <c r="AF71" s="78">
        <f>N71-K71</f>
        <v>-117.96610169491578</v>
      </c>
      <c r="AG71" s="434">
        <f>N71/K71</f>
        <v>0.91807909604519733</v>
      </c>
      <c r="AH71" s="631"/>
      <c r="AJ71" s="405">
        <f t="shared" ref="AJ71:AJ81" si="56">IF((IF(V71&lt;10,V71,(X71-U70)*1440))=0,"",IF(V71&lt;10,V71,(X71-U70)*1440))</f>
        <v>7</v>
      </c>
      <c r="AK71" s="406">
        <f>IF(AJ71&gt;4,AJ71,"")</f>
        <v>7</v>
      </c>
    </row>
    <row r="72" spans="1:37" ht="19.2" customHeight="1">
      <c r="A72" s="646"/>
      <c r="B72" s="430" t="s">
        <v>167</v>
      </c>
      <c r="C72" s="94"/>
      <c r="D72" s="211" t="s">
        <v>128</v>
      </c>
      <c r="E72" s="72"/>
      <c r="F72" s="73">
        <v>69.260000000000005</v>
      </c>
      <c r="G72" s="74">
        <v>1255</v>
      </c>
      <c r="H72" s="75">
        <f t="shared" ref="H72:H76" si="57">F72*G72</f>
        <v>86921.3</v>
      </c>
      <c r="I72" s="430"/>
      <c r="J72" s="129">
        <v>20</v>
      </c>
      <c r="K72" s="85">
        <v>1385</v>
      </c>
      <c r="L72" s="118">
        <v>69.25</v>
      </c>
      <c r="M72" s="428">
        <v>20</v>
      </c>
      <c r="N72" s="74">
        <f t="shared" si="51"/>
        <v>1276.2711864406772</v>
      </c>
      <c r="O72" s="77">
        <f t="shared" si="52"/>
        <v>63.813559322033861</v>
      </c>
      <c r="P72" s="78">
        <f t="shared" si="53"/>
        <v>0</v>
      </c>
      <c r="Q72" s="79">
        <f t="shared" si="54"/>
        <v>-5.4364406779661394</v>
      </c>
      <c r="R72" s="434">
        <f t="shared" si="50"/>
        <v>0.92149544147341311</v>
      </c>
      <c r="S72" s="631"/>
      <c r="T72" s="198">
        <v>0.31180555555555556</v>
      </c>
      <c r="U72" s="198">
        <v>0.3527777777777778</v>
      </c>
      <c r="V72" s="430">
        <v>7</v>
      </c>
      <c r="W72" s="427">
        <f t="shared" si="55"/>
        <v>59.000000000000028</v>
      </c>
      <c r="X72" s="83"/>
      <c r="Y72" s="83"/>
      <c r="Z72" s="84"/>
      <c r="AA72" s="84"/>
      <c r="AB72" s="616"/>
      <c r="AC72" s="616"/>
      <c r="AD72" s="443"/>
      <c r="AE72" s="443"/>
      <c r="AF72" s="78">
        <f>N72-K72</f>
        <v>-108.72881355932282</v>
      </c>
      <c r="AG72" s="434">
        <f>N72/K72</f>
        <v>0.92149544147341311</v>
      </c>
      <c r="AH72" s="631"/>
      <c r="AJ72" s="405">
        <f t="shared" si="56"/>
        <v>7</v>
      </c>
      <c r="AK72" s="406">
        <f t="shared" ref="AK72:AK81" si="58">IF(AJ72&gt;4,AJ72,"")</f>
        <v>7</v>
      </c>
    </row>
    <row r="73" spans="1:37" ht="19.2" customHeight="1">
      <c r="A73" s="646"/>
      <c r="B73" s="430" t="s">
        <v>167</v>
      </c>
      <c r="C73" s="213"/>
      <c r="D73" s="214" t="s">
        <v>122</v>
      </c>
      <c r="E73" s="215"/>
      <c r="F73" s="73">
        <v>53.36</v>
      </c>
      <c r="G73" s="74">
        <v>3423.5</v>
      </c>
      <c r="H73" s="75">
        <f t="shared" si="57"/>
        <v>182677.96</v>
      </c>
      <c r="I73" s="443"/>
      <c r="J73" s="216">
        <v>19</v>
      </c>
      <c r="K73" s="217">
        <v>1636</v>
      </c>
      <c r="L73" s="118">
        <v>86.10526315789474</v>
      </c>
      <c r="M73" s="428">
        <v>19</v>
      </c>
      <c r="N73" s="74">
        <f t="shared" si="51"/>
        <v>1397.3469387755108</v>
      </c>
      <c r="O73" s="77">
        <f t="shared" si="52"/>
        <v>73.544575725026888</v>
      </c>
      <c r="P73" s="78">
        <f t="shared" si="53"/>
        <v>0</v>
      </c>
      <c r="Q73" s="79">
        <f t="shared" si="54"/>
        <v>-12.560687432867851</v>
      </c>
      <c r="R73" s="434">
        <f t="shared" si="50"/>
        <v>0.85412404570630251</v>
      </c>
      <c r="S73" s="631"/>
      <c r="T73" s="198">
        <v>0.36805555555555558</v>
      </c>
      <c r="U73" s="198">
        <v>0.47013888888888888</v>
      </c>
      <c r="V73" s="430">
        <v>22</v>
      </c>
      <c r="W73" s="427">
        <f t="shared" si="55"/>
        <v>146.99999999999994</v>
      </c>
      <c r="X73" s="218">
        <v>0.35694444444444445</v>
      </c>
      <c r="Y73" s="218">
        <v>0.3666666666666667</v>
      </c>
      <c r="Z73" s="159"/>
      <c r="AA73" s="159"/>
      <c r="AB73" s="616"/>
      <c r="AC73" s="616"/>
      <c r="AD73" s="443"/>
      <c r="AE73" s="443"/>
      <c r="AF73" s="78">
        <f>N73-K73</f>
        <v>-238.65306122448919</v>
      </c>
      <c r="AG73" s="434">
        <f>N73/K73</f>
        <v>0.8541240457063024</v>
      </c>
      <c r="AH73" s="631"/>
      <c r="AJ73" s="405">
        <f t="shared" si="56"/>
        <v>5.9999999999999787</v>
      </c>
      <c r="AK73" s="406">
        <f t="shared" si="58"/>
        <v>5.9999999999999787</v>
      </c>
    </row>
    <row r="74" spans="1:37" ht="19.2" customHeight="1">
      <c r="A74" s="646"/>
      <c r="B74" s="430" t="s">
        <v>167</v>
      </c>
      <c r="C74" s="213"/>
      <c r="D74" s="214" t="s">
        <v>125</v>
      </c>
      <c r="E74" s="215"/>
      <c r="F74" s="73">
        <v>53.76</v>
      </c>
      <c r="G74" s="212">
        <v>2184</v>
      </c>
      <c r="H74" s="75">
        <f t="shared" si="57"/>
        <v>117411.84</v>
      </c>
      <c r="I74" s="430"/>
      <c r="J74" s="76">
        <v>16</v>
      </c>
      <c r="K74" s="74">
        <v>1440</v>
      </c>
      <c r="L74" s="77">
        <v>90</v>
      </c>
      <c r="M74" s="428">
        <v>16</v>
      </c>
      <c r="N74" s="74">
        <f t="shared" si="51"/>
        <v>1337.1428571428576</v>
      </c>
      <c r="O74" s="77">
        <f t="shared" si="52"/>
        <v>83.571428571428598</v>
      </c>
      <c r="P74" s="78">
        <f t="shared" si="53"/>
        <v>0</v>
      </c>
      <c r="Q74" s="79">
        <f t="shared" si="54"/>
        <v>-6.4285714285714022</v>
      </c>
      <c r="R74" s="434">
        <f t="shared" si="50"/>
        <v>0.92857142857142883</v>
      </c>
      <c r="S74" s="631"/>
      <c r="T74" s="198">
        <v>0.51041666666666663</v>
      </c>
      <c r="U74" s="198">
        <v>0.57847222222222217</v>
      </c>
      <c r="V74" s="430">
        <v>5</v>
      </c>
      <c r="W74" s="427">
        <f t="shared" si="55"/>
        <v>97.999999999999972</v>
      </c>
      <c r="X74" s="218"/>
      <c r="Y74" s="218"/>
      <c r="Z74" s="159"/>
      <c r="AA74" s="159"/>
      <c r="AB74" s="616"/>
      <c r="AC74" s="616"/>
      <c r="AD74" s="443"/>
      <c r="AE74" s="443"/>
      <c r="AF74" s="78">
        <f t="shared" ref="AF74:AF80" si="59">N74-K74</f>
        <v>-102.85714285714243</v>
      </c>
      <c r="AG74" s="434">
        <f t="shared" ref="AG74:AG80" si="60">N74/K74</f>
        <v>0.92857142857142883</v>
      </c>
      <c r="AH74" s="631"/>
      <c r="AJ74" s="405">
        <f t="shared" si="56"/>
        <v>5</v>
      </c>
      <c r="AK74" s="406">
        <f t="shared" si="58"/>
        <v>5</v>
      </c>
    </row>
    <row r="75" spans="1:37" ht="19.2" customHeight="1">
      <c r="A75" s="646"/>
      <c r="B75" s="430" t="s">
        <v>167</v>
      </c>
      <c r="C75" s="94"/>
      <c r="D75" s="214" t="s">
        <v>124</v>
      </c>
      <c r="E75" s="215"/>
      <c r="F75" s="73">
        <v>47.51</v>
      </c>
      <c r="G75" s="212">
        <v>1611</v>
      </c>
      <c r="H75" s="75">
        <f t="shared" si="57"/>
        <v>76538.61</v>
      </c>
      <c r="I75" s="430"/>
      <c r="J75" s="129">
        <v>17</v>
      </c>
      <c r="K75" s="85">
        <v>1440</v>
      </c>
      <c r="L75" s="118">
        <v>84.705882352941174</v>
      </c>
      <c r="M75" s="428">
        <v>17</v>
      </c>
      <c r="N75" s="74">
        <f t="shared" si="51"/>
        <v>1324.109589041095</v>
      </c>
      <c r="O75" s="77">
        <f t="shared" si="52"/>
        <v>77.888799355358529</v>
      </c>
      <c r="P75" s="78">
        <f t="shared" si="53"/>
        <v>0</v>
      </c>
      <c r="Q75" s="79">
        <f t="shared" si="54"/>
        <v>-6.817082997582645</v>
      </c>
      <c r="R75" s="434">
        <f t="shared" si="50"/>
        <v>0.91952054794520488</v>
      </c>
      <c r="S75" s="631"/>
      <c r="T75" s="198">
        <v>0.59374999999999989</v>
      </c>
      <c r="U75" s="198">
        <v>0.64444444444444438</v>
      </c>
      <c r="V75" s="430">
        <v>22</v>
      </c>
      <c r="W75" s="427">
        <f t="shared" si="55"/>
        <v>73.000000000000057</v>
      </c>
      <c r="X75" s="218">
        <v>0.58333333333333337</v>
      </c>
      <c r="Y75" s="218">
        <v>0.59305555555555556</v>
      </c>
      <c r="Z75" s="159"/>
      <c r="AA75" s="159"/>
      <c r="AB75" s="616"/>
      <c r="AC75" s="616"/>
      <c r="AD75" s="443"/>
      <c r="AE75" s="443"/>
      <c r="AF75" s="78">
        <f t="shared" si="59"/>
        <v>-115.89041095890502</v>
      </c>
      <c r="AG75" s="434">
        <f t="shared" si="60"/>
        <v>0.91952054794520488</v>
      </c>
      <c r="AH75" s="631"/>
      <c r="AJ75" s="405">
        <f t="shared" si="56"/>
        <v>7.000000000000135</v>
      </c>
      <c r="AK75" s="406">
        <f t="shared" si="58"/>
        <v>7.000000000000135</v>
      </c>
    </row>
    <row r="76" spans="1:37" ht="19.2" customHeight="1">
      <c r="A76" s="646"/>
      <c r="B76" s="430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430"/>
      <c r="J76" s="76"/>
      <c r="K76" s="74"/>
      <c r="L76" s="77"/>
      <c r="M76" s="433"/>
      <c r="N76" s="74"/>
      <c r="O76" s="77"/>
      <c r="P76" s="78"/>
      <c r="Q76" s="79"/>
      <c r="R76" s="434"/>
      <c r="S76" s="631"/>
      <c r="T76" s="198"/>
      <c r="U76" s="198"/>
      <c r="V76" s="430"/>
      <c r="W76" s="427">
        <f t="shared" si="55"/>
        <v>0</v>
      </c>
      <c r="X76" s="218"/>
      <c r="Y76" s="218"/>
      <c r="Z76" s="159"/>
      <c r="AA76" s="159"/>
      <c r="AB76" s="616"/>
      <c r="AC76" s="616"/>
      <c r="AD76" s="443"/>
      <c r="AE76" s="443"/>
      <c r="AF76" s="78">
        <f t="shared" si="59"/>
        <v>0</v>
      </c>
      <c r="AG76" s="434" t="e">
        <f t="shared" si="60"/>
        <v>#DIV/0!</v>
      </c>
      <c r="AH76" s="631"/>
      <c r="AJ76" s="405" t="str">
        <f t="shared" si="56"/>
        <v/>
      </c>
      <c r="AK76" s="406" t="str">
        <f t="shared" si="58"/>
        <v/>
      </c>
    </row>
    <row r="77" spans="1:37" ht="19.2" customHeight="1">
      <c r="A77" s="646"/>
      <c r="B77" s="430">
        <v>0</v>
      </c>
      <c r="C77" s="440"/>
      <c r="D77" s="71"/>
      <c r="E77" s="72"/>
      <c r="F77" s="73" t="s">
        <v>161</v>
      </c>
      <c r="G77" s="212"/>
      <c r="H77" s="75"/>
      <c r="I77" s="443"/>
      <c r="J77" s="76"/>
      <c r="K77" s="212"/>
      <c r="L77" s="77"/>
      <c r="M77" s="433"/>
      <c r="N77" s="74"/>
      <c r="O77" s="77"/>
      <c r="P77" s="78"/>
      <c r="Q77" s="79"/>
      <c r="R77" s="434"/>
      <c r="S77" s="631"/>
      <c r="T77" s="198"/>
      <c r="U77" s="198"/>
      <c r="V77" s="430"/>
      <c r="W77" s="427">
        <f t="shared" si="55"/>
        <v>0</v>
      </c>
      <c r="X77" s="218"/>
      <c r="Y77" s="218"/>
      <c r="Z77" s="159"/>
      <c r="AA77" s="159"/>
      <c r="AB77" s="616"/>
      <c r="AC77" s="616"/>
      <c r="AD77" s="443"/>
      <c r="AE77" s="443"/>
      <c r="AF77" s="78">
        <f t="shared" si="59"/>
        <v>0</v>
      </c>
      <c r="AG77" s="434" t="e">
        <f t="shared" si="60"/>
        <v>#DIV/0!</v>
      </c>
      <c r="AH77" s="631"/>
      <c r="AJ77" s="405" t="str">
        <f t="shared" si="56"/>
        <v/>
      </c>
      <c r="AK77" s="406" t="str">
        <f t="shared" si="58"/>
        <v/>
      </c>
    </row>
    <row r="78" spans="1:37" ht="19.2" customHeight="1">
      <c r="A78" s="646"/>
      <c r="B78" s="430">
        <v>0</v>
      </c>
      <c r="C78" s="440"/>
      <c r="D78" s="71"/>
      <c r="E78" s="72"/>
      <c r="F78" s="73" t="s">
        <v>161</v>
      </c>
      <c r="G78" s="85"/>
      <c r="H78" s="75"/>
      <c r="I78" s="443"/>
      <c r="J78" s="129"/>
      <c r="K78" s="85"/>
      <c r="L78" s="118"/>
      <c r="M78" s="433"/>
      <c r="N78" s="74"/>
      <c r="O78" s="77"/>
      <c r="P78" s="78"/>
      <c r="Q78" s="79"/>
      <c r="R78" s="434"/>
      <c r="S78" s="631"/>
      <c r="T78" s="198"/>
      <c r="U78" s="198"/>
      <c r="V78" s="430"/>
      <c r="W78" s="427">
        <f t="shared" si="55"/>
        <v>0</v>
      </c>
      <c r="X78" s="218"/>
      <c r="Y78" s="218"/>
      <c r="Z78" s="159"/>
      <c r="AA78" s="159"/>
      <c r="AB78" s="616"/>
      <c r="AC78" s="616"/>
      <c r="AD78" s="443"/>
      <c r="AE78" s="443"/>
      <c r="AF78" s="78">
        <f t="shared" si="59"/>
        <v>0</v>
      </c>
      <c r="AG78" s="434" t="e">
        <f t="shared" si="60"/>
        <v>#DIV/0!</v>
      </c>
      <c r="AH78" s="631"/>
      <c r="AJ78" s="405" t="str">
        <f t="shared" si="56"/>
        <v/>
      </c>
      <c r="AK78" s="406" t="str">
        <f t="shared" si="58"/>
        <v/>
      </c>
    </row>
    <row r="79" spans="1:37" ht="19.2" customHeight="1">
      <c r="A79" s="646"/>
      <c r="B79" s="430">
        <v>0</v>
      </c>
      <c r="C79" s="213"/>
      <c r="D79" s="214"/>
      <c r="E79" s="215"/>
      <c r="F79" s="73" t="s">
        <v>161</v>
      </c>
      <c r="G79" s="85"/>
      <c r="H79" s="75"/>
      <c r="I79" s="443"/>
      <c r="J79" s="129"/>
      <c r="K79" s="85"/>
      <c r="L79" s="118"/>
      <c r="M79" s="433"/>
      <c r="N79" s="85"/>
      <c r="O79" s="219"/>
      <c r="P79" s="140"/>
      <c r="Q79" s="220"/>
      <c r="R79" s="141"/>
      <c r="S79" s="631"/>
      <c r="T79" s="198"/>
      <c r="U79" s="198"/>
      <c r="V79" s="430"/>
      <c r="W79" s="427">
        <f t="shared" si="55"/>
        <v>0</v>
      </c>
      <c r="X79" s="218"/>
      <c r="Y79" s="218"/>
      <c r="Z79" s="159"/>
      <c r="AA79" s="159"/>
      <c r="AB79" s="616"/>
      <c r="AC79" s="616"/>
      <c r="AD79" s="443"/>
      <c r="AE79" s="443"/>
      <c r="AF79" s="78">
        <f t="shared" si="59"/>
        <v>0</v>
      </c>
      <c r="AG79" s="434" t="e">
        <f t="shared" si="60"/>
        <v>#DIV/0!</v>
      </c>
      <c r="AH79" s="631"/>
      <c r="AJ79" s="405" t="str">
        <f t="shared" si="56"/>
        <v/>
      </c>
      <c r="AK79" s="406" t="str">
        <f t="shared" si="58"/>
        <v/>
      </c>
    </row>
    <row r="80" spans="1:37" ht="19.2" customHeight="1">
      <c r="A80" s="646"/>
      <c r="B80" s="430">
        <v>0</v>
      </c>
      <c r="C80" s="440"/>
      <c r="D80" s="71"/>
      <c r="E80" s="72"/>
      <c r="F80" s="73" t="s">
        <v>161</v>
      </c>
      <c r="G80" s="85"/>
      <c r="H80" s="75"/>
      <c r="I80" s="443"/>
      <c r="J80" s="129"/>
      <c r="K80" s="85"/>
      <c r="L80" s="118"/>
      <c r="M80" s="433"/>
      <c r="N80" s="85"/>
      <c r="O80" s="221"/>
      <c r="P80" s="84"/>
      <c r="Q80" s="119"/>
      <c r="R80" s="442"/>
      <c r="S80" s="631"/>
      <c r="T80" s="198"/>
      <c r="U80" s="198"/>
      <c r="V80" s="430"/>
      <c r="W80" s="427">
        <f t="shared" si="55"/>
        <v>0</v>
      </c>
      <c r="X80" s="218"/>
      <c r="Y80" s="218"/>
      <c r="Z80" s="159"/>
      <c r="AA80" s="159"/>
      <c r="AB80" s="616"/>
      <c r="AC80" s="616"/>
      <c r="AD80" s="443"/>
      <c r="AE80" s="443"/>
      <c r="AF80" s="78">
        <f t="shared" si="59"/>
        <v>0</v>
      </c>
      <c r="AG80" s="434" t="e">
        <f t="shared" si="60"/>
        <v>#DIV/0!</v>
      </c>
      <c r="AH80" s="631"/>
      <c r="AJ80" s="405" t="str">
        <f t="shared" si="56"/>
        <v/>
      </c>
      <c r="AK80" s="406" t="str">
        <f t="shared" si="58"/>
        <v/>
      </c>
    </row>
    <row r="81" spans="1:37" ht="19.2" customHeight="1">
      <c r="A81" s="646"/>
      <c r="B81" s="430">
        <v>0</v>
      </c>
      <c r="C81" s="440"/>
      <c r="D81" s="71"/>
      <c r="E81" s="72"/>
      <c r="F81" s="73" t="s">
        <v>161</v>
      </c>
      <c r="G81" s="85"/>
      <c r="H81" s="116"/>
      <c r="I81" s="443"/>
      <c r="J81" s="129"/>
      <c r="K81" s="85"/>
      <c r="L81" s="118"/>
      <c r="M81" s="433"/>
      <c r="N81" s="85"/>
      <c r="O81" s="221"/>
      <c r="P81" s="84"/>
      <c r="Q81" s="119"/>
      <c r="R81" s="442"/>
      <c r="S81" s="631"/>
      <c r="T81" s="198"/>
      <c r="U81" s="198"/>
      <c r="V81" s="430"/>
      <c r="W81" s="427">
        <f t="shared" si="55"/>
        <v>0</v>
      </c>
      <c r="X81" s="218"/>
      <c r="Y81" s="218"/>
      <c r="Z81" s="159"/>
      <c r="AA81" s="159"/>
      <c r="AB81" s="616"/>
      <c r="AC81" s="616"/>
      <c r="AD81" s="443"/>
      <c r="AE81" s="443"/>
      <c r="AF81" s="78"/>
      <c r="AG81" s="160"/>
      <c r="AH81" s="631"/>
      <c r="AJ81" s="405" t="str">
        <f t="shared" si="56"/>
        <v/>
      </c>
      <c r="AK81" s="406" t="str">
        <f t="shared" si="58"/>
        <v/>
      </c>
    </row>
    <row r="82" spans="1:37" ht="19.2" customHeight="1">
      <c r="A82" s="647"/>
      <c r="B82" s="203">
        <v>0</v>
      </c>
      <c r="C82" s="132" t="s">
        <v>289</v>
      </c>
      <c r="D82" s="612" t="s">
        <v>219</v>
      </c>
      <c r="E82" s="612"/>
      <c r="F82" s="222"/>
      <c r="G82" s="103"/>
      <c r="H82" s="134"/>
      <c r="I82" s="135"/>
      <c r="J82" s="103">
        <v>17.666666666666668</v>
      </c>
      <c r="K82" s="103">
        <v>1473.5</v>
      </c>
      <c r="L82" s="136">
        <v>83.968524251805988</v>
      </c>
      <c r="M82" s="103">
        <f t="shared" ref="M82:O82" si="61">AVERAGE(M70:M81)</f>
        <v>17.666666666666668</v>
      </c>
      <c r="N82" s="103">
        <f t="shared" si="61"/>
        <v>1320.8590782842039</v>
      </c>
      <c r="O82" s="223">
        <f t="shared" si="61"/>
        <v>75.255052609577263</v>
      </c>
      <c r="P82" s="150">
        <f>M82-J82</f>
        <v>0</v>
      </c>
      <c r="Q82" s="151">
        <f>N82-K82</f>
        <v>-152.64092171579614</v>
      </c>
      <c r="R82" s="209">
        <f>O82/L82</f>
        <v>0.89622931068672063</v>
      </c>
      <c r="S82" s="631"/>
      <c r="T82" s="198"/>
      <c r="U82" s="198"/>
      <c r="V82" s="430"/>
      <c r="W82" s="74"/>
      <c r="X82" s="77"/>
      <c r="Y82" s="77"/>
      <c r="Z82" s="138">
        <f>SUM(Z70:Z81)</f>
        <v>0</v>
      </c>
      <c r="AA82" s="138">
        <f>SUM(AA70:AA81)</f>
        <v>0</v>
      </c>
      <c r="AB82" s="616"/>
      <c r="AC82" s="616"/>
      <c r="AD82" s="139">
        <f>SUM(AD70:AD81)</f>
        <v>0</v>
      </c>
      <c r="AE82" s="139">
        <f>SUM(AE70:AE81)</f>
        <v>0</v>
      </c>
      <c r="AF82" s="78">
        <f>N82-K82</f>
        <v>-152.64092171579614</v>
      </c>
      <c r="AG82" s="434">
        <f>N82/K82</f>
        <v>0.89640928285320931</v>
      </c>
      <c r="AH82" s="631"/>
    </row>
    <row r="83" spans="1:37" ht="19.2" customHeight="1">
      <c r="A83" s="639" t="s">
        <v>290</v>
      </c>
      <c r="B83" s="142" t="s">
        <v>163</v>
      </c>
      <c r="C83" s="440"/>
      <c r="D83" s="225" t="s">
        <v>100</v>
      </c>
      <c r="E83" s="72"/>
      <c r="F83" s="174">
        <v>27.5</v>
      </c>
      <c r="G83" s="74">
        <v>246</v>
      </c>
      <c r="H83" s="116">
        <f t="shared" ref="H83:H94" si="62">F83*G83</f>
        <v>6765</v>
      </c>
      <c r="I83" s="430"/>
      <c r="J83" s="129">
        <v>12</v>
      </c>
      <c r="K83" s="85">
        <v>2000</v>
      </c>
      <c r="L83" s="118">
        <v>166.66666666666666</v>
      </c>
      <c r="M83" s="433">
        <v>12</v>
      </c>
      <c r="N83" s="85">
        <f t="shared" ref="N83:N88" si="63">G83/W83*60</f>
        <v>1229.9999999999961</v>
      </c>
      <c r="O83" s="221">
        <f t="shared" ref="O83:O88" si="64">N83/M83</f>
        <v>102.49999999999967</v>
      </c>
      <c r="P83" s="84">
        <f t="shared" ref="P83:P84" si="65">M83-J83</f>
        <v>0</v>
      </c>
      <c r="Q83" s="119">
        <f t="shared" ref="Q83:Q84" si="66">O83-L83</f>
        <v>-64.166666666666984</v>
      </c>
      <c r="R83" s="224">
        <f t="shared" ref="R83:R84" si="67">O83/L83</f>
        <v>0.6149999999999981</v>
      </c>
      <c r="S83" s="631">
        <f>R95</f>
        <v>0.80165990460658221</v>
      </c>
      <c r="T83" s="198">
        <v>0.33333333333333331</v>
      </c>
      <c r="U83" s="198">
        <v>0.34166666666666667</v>
      </c>
      <c r="V83" s="430">
        <v>5</v>
      </c>
      <c r="W83" s="427">
        <f t="shared" ref="W83:W93" si="68">(U83-T83)*24*60</f>
        <v>12.000000000000037</v>
      </c>
      <c r="X83" s="83"/>
      <c r="Y83" s="83"/>
      <c r="Z83" s="84"/>
      <c r="AA83" s="84"/>
      <c r="AB83" s="616"/>
      <c r="AC83" s="616"/>
      <c r="AD83" s="443"/>
      <c r="AE83" s="443"/>
      <c r="AF83" s="78">
        <f t="shared" ref="AF83:AF173" si="69">N83-K83</f>
        <v>-770.00000000000387</v>
      </c>
      <c r="AG83" s="434">
        <f t="shared" ref="AG83:AG173" si="70">N83/K83</f>
        <v>0.6149999999999981</v>
      </c>
      <c r="AH83" s="631">
        <f>AG95</f>
        <v>0.81950235759112011</v>
      </c>
      <c r="AJ83" s="62" t="str">
        <f>A83</f>
        <v>四度四組
(ET-55)</v>
      </c>
      <c r="AK83" s="404">
        <f>AVERAGE(AK84:AK94)</f>
        <v>6.2000000000000117</v>
      </c>
    </row>
    <row r="84" spans="1:37" ht="19.2" customHeight="1">
      <c r="A84" s="640"/>
      <c r="B84" s="142" t="s">
        <v>164</v>
      </c>
      <c r="C84" s="157"/>
      <c r="D84" s="225" t="s">
        <v>129</v>
      </c>
      <c r="E84" s="72"/>
      <c r="F84" s="174">
        <v>68.88</v>
      </c>
      <c r="G84" s="74">
        <v>1199</v>
      </c>
      <c r="H84" s="116">
        <f t="shared" si="62"/>
        <v>82587.12</v>
      </c>
      <c r="I84" s="430"/>
      <c r="J84" s="129">
        <v>17</v>
      </c>
      <c r="K84" s="85">
        <v>1440</v>
      </c>
      <c r="L84" s="118">
        <v>84.705882352941174</v>
      </c>
      <c r="M84" s="433">
        <v>17</v>
      </c>
      <c r="N84" s="85">
        <f t="shared" si="63"/>
        <v>1284.6428571428582</v>
      </c>
      <c r="O84" s="221">
        <f t="shared" si="64"/>
        <v>75.567226890756373</v>
      </c>
      <c r="P84" s="84">
        <f t="shared" si="65"/>
        <v>0</v>
      </c>
      <c r="Q84" s="119">
        <f t="shared" si="66"/>
        <v>-9.1386554621848006</v>
      </c>
      <c r="R84" s="224">
        <f t="shared" si="67"/>
        <v>0.89211309523809612</v>
      </c>
      <c r="S84" s="631"/>
      <c r="T84" s="198">
        <v>0.34652777777777777</v>
      </c>
      <c r="U84" s="198">
        <v>0.38541666666666663</v>
      </c>
      <c r="V84" s="430">
        <v>7</v>
      </c>
      <c r="W84" s="427">
        <f t="shared" si="68"/>
        <v>55.999999999999957</v>
      </c>
      <c r="X84" s="83"/>
      <c r="Y84" s="83"/>
      <c r="Z84" s="84"/>
      <c r="AA84" s="84"/>
      <c r="AB84" s="616"/>
      <c r="AC84" s="616"/>
      <c r="AD84" s="443"/>
      <c r="AE84" s="443"/>
      <c r="AF84" s="78">
        <f t="shared" si="69"/>
        <v>-155.35714285714175</v>
      </c>
      <c r="AG84" s="434">
        <f t="shared" si="70"/>
        <v>0.89211309523809601</v>
      </c>
      <c r="AH84" s="631"/>
      <c r="AJ84" s="405">
        <f t="shared" ref="AJ84:AJ94" si="71">IF((IF(V84&lt;10,V84,(X84-U83)*1440))=0,"",IF(V84&lt;10,V84,(X84-U83)*1440))</f>
        <v>7</v>
      </c>
      <c r="AK84" s="406">
        <f>IF(AJ84&gt;4,AJ84,"")</f>
        <v>7</v>
      </c>
    </row>
    <row r="85" spans="1:37" ht="19.2" customHeight="1">
      <c r="A85" s="640"/>
      <c r="B85" s="142" t="s">
        <v>167</v>
      </c>
      <c r="C85" s="127"/>
      <c r="D85" s="225" t="s">
        <v>126</v>
      </c>
      <c r="E85" s="72"/>
      <c r="F85" s="174">
        <v>61.11</v>
      </c>
      <c r="G85" s="74">
        <v>1701</v>
      </c>
      <c r="H85" s="116">
        <f t="shared" si="62"/>
        <v>103948.11</v>
      </c>
      <c r="I85" s="430"/>
      <c r="J85" s="129">
        <v>16</v>
      </c>
      <c r="K85" s="85">
        <v>1440</v>
      </c>
      <c r="L85" s="118">
        <v>90</v>
      </c>
      <c r="M85" s="433">
        <v>16</v>
      </c>
      <c r="N85" s="85">
        <f t="shared" si="63"/>
        <v>1275.7499999999995</v>
      </c>
      <c r="O85" s="221">
        <f t="shared" si="64"/>
        <v>79.734374999999972</v>
      </c>
      <c r="P85" s="84">
        <f>M85-J85</f>
        <v>0</v>
      </c>
      <c r="Q85" s="119">
        <f>O85-L85</f>
        <v>-10.265625000000028</v>
      </c>
      <c r="R85" s="224">
        <f>O85/L85</f>
        <v>0.88593749999999971</v>
      </c>
      <c r="S85" s="631"/>
      <c r="T85" s="198">
        <v>0.39027777777777772</v>
      </c>
      <c r="U85" s="198">
        <v>0.4458333333333333</v>
      </c>
      <c r="V85" s="430">
        <v>7</v>
      </c>
      <c r="W85" s="427">
        <f t="shared" si="68"/>
        <v>80.000000000000028</v>
      </c>
      <c r="X85" s="83"/>
      <c r="Y85" s="83"/>
      <c r="Z85" s="84"/>
      <c r="AA85" s="84"/>
      <c r="AB85" s="616"/>
      <c r="AC85" s="616"/>
      <c r="AD85" s="443"/>
      <c r="AE85" s="443"/>
      <c r="AF85" s="78">
        <f t="shared" si="69"/>
        <v>-164.25000000000045</v>
      </c>
      <c r="AG85" s="434">
        <f t="shared" si="70"/>
        <v>0.88593749999999971</v>
      </c>
      <c r="AH85" s="631"/>
      <c r="AJ85" s="405">
        <f t="shared" si="71"/>
        <v>7</v>
      </c>
      <c r="AK85" s="406">
        <f t="shared" ref="AK85:AK94" si="72">IF(AJ85&gt;4,AJ85,"")</f>
        <v>7</v>
      </c>
    </row>
    <row r="86" spans="1:37" ht="19.2" customHeight="1">
      <c r="A86" s="640"/>
      <c r="B86" s="142" t="s">
        <v>167</v>
      </c>
      <c r="C86" s="127"/>
      <c r="D86" s="225" t="s">
        <v>127</v>
      </c>
      <c r="E86" s="72"/>
      <c r="F86" s="174">
        <v>61.09</v>
      </c>
      <c r="G86" s="74">
        <v>1638</v>
      </c>
      <c r="H86" s="116">
        <f t="shared" si="62"/>
        <v>100065.42000000001</v>
      </c>
      <c r="I86" s="430"/>
      <c r="J86" s="129">
        <v>17</v>
      </c>
      <c r="K86" s="85">
        <v>1440</v>
      </c>
      <c r="L86" s="118">
        <v>84.705882352941174</v>
      </c>
      <c r="M86" s="433">
        <v>17</v>
      </c>
      <c r="N86" s="85">
        <f t="shared" si="63"/>
        <v>1293.1578947368425</v>
      </c>
      <c r="O86" s="221">
        <f t="shared" si="64"/>
        <v>76.068111455108379</v>
      </c>
      <c r="P86" s="84">
        <f>M86-J86</f>
        <v>0</v>
      </c>
      <c r="Q86" s="119">
        <f>O86-L86</f>
        <v>-8.6377708978327945</v>
      </c>
      <c r="R86" s="224">
        <f>O86/L86</f>
        <v>0.89802631578947401</v>
      </c>
      <c r="S86" s="631"/>
      <c r="T86" s="198">
        <v>0.46111111111111108</v>
      </c>
      <c r="U86" s="198">
        <v>0.51388888888888884</v>
      </c>
      <c r="V86" s="430">
        <v>22</v>
      </c>
      <c r="W86" s="427">
        <f t="shared" si="68"/>
        <v>75.999999999999972</v>
      </c>
      <c r="X86" s="83">
        <v>0.45</v>
      </c>
      <c r="Y86" s="83">
        <v>0.4597222222222222</v>
      </c>
      <c r="Z86" s="84"/>
      <c r="AA86" s="84"/>
      <c r="AB86" s="616"/>
      <c r="AC86" s="616"/>
      <c r="AD86" s="443"/>
      <c r="AE86" s="443"/>
      <c r="AF86" s="78">
        <f>N86-K86</f>
        <v>-146.84210526315746</v>
      </c>
      <c r="AG86" s="434">
        <f>N86/K86</f>
        <v>0.89802631578947401</v>
      </c>
      <c r="AH86" s="631"/>
      <c r="AJ86" s="405">
        <f t="shared" si="71"/>
        <v>6.0000000000000586</v>
      </c>
      <c r="AK86" s="406">
        <f t="shared" si="72"/>
        <v>6.0000000000000586</v>
      </c>
    </row>
    <row r="87" spans="1:37" ht="19.2" customHeight="1">
      <c r="A87" s="640"/>
      <c r="B87" s="142" t="s">
        <v>163</v>
      </c>
      <c r="C87" s="440"/>
      <c r="D87" s="71" t="s">
        <v>131</v>
      </c>
      <c r="E87" s="72"/>
      <c r="F87" s="174">
        <v>28.26</v>
      </c>
      <c r="G87" s="85">
        <v>401</v>
      </c>
      <c r="H87" s="116">
        <f t="shared" si="62"/>
        <v>11332.26</v>
      </c>
      <c r="I87" s="430"/>
      <c r="J87" s="129">
        <v>19</v>
      </c>
      <c r="K87" s="85">
        <v>1200</v>
      </c>
      <c r="L87" s="118">
        <v>63.157894736842103</v>
      </c>
      <c r="M87" s="433">
        <v>19</v>
      </c>
      <c r="N87" s="85">
        <f t="shared" si="63"/>
        <v>1093.6363636363596</v>
      </c>
      <c r="O87" s="221">
        <f t="shared" si="64"/>
        <v>57.55980861243998</v>
      </c>
      <c r="P87" s="84">
        <f>M87-J87</f>
        <v>0</v>
      </c>
      <c r="Q87" s="119">
        <f>O87-L87</f>
        <v>-5.5980861244021227</v>
      </c>
      <c r="R87" s="224">
        <f>O87/L87</f>
        <v>0.91136363636363305</v>
      </c>
      <c r="S87" s="631"/>
      <c r="T87" s="198">
        <v>0.55416666666666659</v>
      </c>
      <c r="U87" s="198">
        <v>0.56944444444444442</v>
      </c>
      <c r="V87" s="430">
        <v>5</v>
      </c>
      <c r="W87" s="427">
        <f t="shared" si="68"/>
        <v>22.000000000000082</v>
      </c>
      <c r="X87" s="83"/>
      <c r="Y87" s="83"/>
      <c r="Z87" s="84"/>
      <c r="AA87" s="84"/>
      <c r="AB87" s="616"/>
      <c r="AC87" s="616"/>
      <c r="AD87" s="443"/>
      <c r="AE87" s="443"/>
      <c r="AF87" s="78">
        <f>N87-K87</f>
        <v>-106.36363636364035</v>
      </c>
      <c r="AG87" s="434">
        <f>N87/K87</f>
        <v>0.91136363636363305</v>
      </c>
      <c r="AH87" s="631"/>
      <c r="AJ87" s="405">
        <f t="shared" si="71"/>
        <v>5</v>
      </c>
      <c r="AK87" s="406">
        <f t="shared" si="72"/>
        <v>5</v>
      </c>
    </row>
    <row r="88" spans="1:37" ht="19.2" customHeight="1">
      <c r="A88" s="640"/>
      <c r="B88" s="142" t="s">
        <v>167</v>
      </c>
      <c r="C88" s="440"/>
      <c r="D88" s="71" t="s">
        <v>122</v>
      </c>
      <c r="E88" s="72"/>
      <c r="F88" s="174">
        <v>53.36</v>
      </c>
      <c r="G88" s="148">
        <v>751.5</v>
      </c>
      <c r="H88" s="116">
        <f t="shared" si="62"/>
        <v>40100.04</v>
      </c>
      <c r="I88" s="430">
        <v>1</v>
      </c>
      <c r="J88" s="129">
        <v>19</v>
      </c>
      <c r="K88" s="85">
        <v>1636</v>
      </c>
      <c r="L88" s="118">
        <v>86.10526315789474</v>
      </c>
      <c r="M88" s="433">
        <v>19</v>
      </c>
      <c r="N88" s="85">
        <f t="shared" si="63"/>
        <v>1326.1764705882399</v>
      </c>
      <c r="O88" s="221">
        <f t="shared" si="64"/>
        <v>69.798761609907359</v>
      </c>
      <c r="P88" s="84">
        <f>M88-J88</f>
        <v>0</v>
      </c>
      <c r="Q88" s="119">
        <f>O88-L88</f>
        <v>-16.306501547987381</v>
      </c>
      <c r="R88" s="224">
        <f>O88/L88</f>
        <v>0.81062131454048891</v>
      </c>
      <c r="S88" s="631"/>
      <c r="T88" s="198">
        <v>0.57361111111111118</v>
      </c>
      <c r="U88" s="198">
        <v>0.59722222222222221</v>
      </c>
      <c r="V88" s="430">
        <v>6</v>
      </c>
      <c r="W88" s="427">
        <f t="shared" si="68"/>
        <v>33.999999999999879</v>
      </c>
      <c r="X88" s="83"/>
      <c r="Y88" s="83"/>
      <c r="Z88" s="84"/>
      <c r="AA88" s="84"/>
      <c r="AB88" s="616"/>
      <c r="AC88" s="616"/>
      <c r="AD88" s="443"/>
      <c r="AE88" s="443"/>
      <c r="AF88" s="78">
        <f>N88-K88</f>
        <v>-309.82352941176009</v>
      </c>
      <c r="AG88" s="434">
        <f>N88/K88</f>
        <v>0.81062131454048891</v>
      </c>
      <c r="AH88" s="631"/>
      <c r="AJ88" s="405">
        <f t="shared" si="71"/>
        <v>6</v>
      </c>
      <c r="AK88" s="406">
        <f t="shared" si="72"/>
        <v>6</v>
      </c>
    </row>
    <row r="89" spans="1:37" ht="19.2" customHeight="1">
      <c r="A89" s="640"/>
      <c r="B89" s="142">
        <v>0</v>
      </c>
      <c r="C89" s="440"/>
      <c r="D89" s="71"/>
      <c r="E89" s="72"/>
      <c r="F89" s="174" t="s">
        <v>161</v>
      </c>
      <c r="G89" s="148"/>
      <c r="H89" s="116">
        <f t="shared" si="62"/>
        <v>0</v>
      </c>
      <c r="I89" s="430"/>
      <c r="J89" s="129"/>
      <c r="K89" s="85"/>
      <c r="L89" s="118"/>
      <c r="M89" s="433"/>
      <c r="N89" s="85"/>
      <c r="O89" s="221"/>
      <c r="P89" s="84"/>
      <c r="Q89" s="119"/>
      <c r="R89" s="224"/>
      <c r="S89" s="631"/>
      <c r="T89" s="198"/>
      <c r="U89" s="198"/>
      <c r="V89" s="430"/>
      <c r="W89" s="427">
        <f t="shared" si="68"/>
        <v>0</v>
      </c>
      <c r="X89" s="83"/>
      <c r="Y89" s="83"/>
      <c r="Z89" s="84"/>
      <c r="AA89" s="84"/>
      <c r="AB89" s="616"/>
      <c r="AC89" s="616"/>
      <c r="AD89" s="443"/>
      <c r="AE89" s="443"/>
      <c r="AF89" s="78">
        <f>N89-K89</f>
        <v>0</v>
      </c>
      <c r="AG89" s="434" t="e">
        <f>N89/K89</f>
        <v>#DIV/0!</v>
      </c>
      <c r="AH89" s="631"/>
      <c r="AJ89" s="405" t="str">
        <f t="shared" si="71"/>
        <v/>
      </c>
      <c r="AK89" s="406" t="str">
        <f t="shared" si="72"/>
        <v/>
      </c>
    </row>
    <row r="90" spans="1:37" ht="19.2" customHeight="1">
      <c r="A90" s="640"/>
      <c r="B90" s="142">
        <v>0</v>
      </c>
      <c r="C90" s="440"/>
      <c r="D90" s="71"/>
      <c r="E90" s="72"/>
      <c r="F90" s="174" t="s">
        <v>161</v>
      </c>
      <c r="G90" s="74"/>
      <c r="H90" s="116">
        <f t="shared" si="62"/>
        <v>0</v>
      </c>
      <c r="I90" s="226"/>
      <c r="J90" s="129"/>
      <c r="K90" s="85"/>
      <c r="L90" s="118"/>
      <c r="M90" s="433"/>
      <c r="N90" s="85"/>
      <c r="O90" s="221"/>
      <c r="P90" s="84"/>
      <c r="Q90" s="119"/>
      <c r="R90" s="224"/>
      <c r="S90" s="631"/>
      <c r="T90" s="198"/>
      <c r="U90" s="198"/>
      <c r="V90" s="430"/>
      <c r="W90" s="427">
        <f t="shared" si="68"/>
        <v>0</v>
      </c>
      <c r="X90" s="227"/>
      <c r="Y90" s="227"/>
      <c r="Z90" s="84"/>
      <c r="AA90" s="84"/>
      <c r="AB90" s="616"/>
      <c r="AC90" s="616"/>
      <c r="AD90" s="443"/>
      <c r="AE90" s="443"/>
      <c r="AF90" s="78">
        <f t="shared" si="69"/>
        <v>0</v>
      </c>
      <c r="AG90" s="434" t="e">
        <f t="shared" si="70"/>
        <v>#DIV/0!</v>
      </c>
      <c r="AH90" s="631"/>
      <c r="AJ90" s="405" t="str">
        <f t="shared" si="71"/>
        <v/>
      </c>
      <c r="AK90" s="406" t="str">
        <f t="shared" si="72"/>
        <v/>
      </c>
    </row>
    <row r="91" spans="1:37" ht="19.2" customHeight="1">
      <c r="A91" s="640"/>
      <c r="B91" s="142">
        <v>0</v>
      </c>
      <c r="C91" s="440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433"/>
      <c r="N91" s="85"/>
      <c r="O91" s="221"/>
      <c r="P91" s="84"/>
      <c r="Q91" s="119"/>
      <c r="R91" s="224"/>
      <c r="S91" s="632"/>
      <c r="T91" s="198"/>
      <c r="U91" s="198"/>
      <c r="V91" s="430"/>
      <c r="W91" s="427">
        <f t="shared" si="68"/>
        <v>0</v>
      </c>
      <c r="X91" s="149"/>
      <c r="Y91" s="149"/>
      <c r="Z91" s="84"/>
      <c r="AA91" s="84"/>
      <c r="AB91" s="616"/>
      <c r="AC91" s="616"/>
      <c r="AD91" s="443"/>
      <c r="AE91" s="443"/>
      <c r="AF91" s="78">
        <f t="shared" si="69"/>
        <v>0</v>
      </c>
      <c r="AG91" s="434" t="e">
        <f t="shared" si="70"/>
        <v>#DIV/0!</v>
      </c>
      <c r="AH91" s="632"/>
      <c r="AJ91" s="405" t="str">
        <f t="shared" si="71"/>
        <v/>
      </c>
      <c r="AK91" s="406" t="str">
        <f t="shared" si="72"/>
        <v/>
      </c>
    </row>
    <row r="92" spans="1:37" ht="19.2" customHeight="1">
      <c r="A92" s="640"/>
      <c r="B92" s="142">
        <v>0</v>
      </c>
      <c r="C92" s="440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632"/>
      <c r="T92" s="198"/>
      <c r="U92" s="198"/>
      <c r="V92" s="430"/>
      <c r="W92" s="427">
        <f t="shared" si="68"/>
        <v>0</v>
      </c>
      <c r="X92" s="218"/>
      <c r="Y92" s="218"/>
      <c r="Z92" s="159"/>
      <c r="AA92" s="159"/>
      <c r="AB92" s="616"/>
      <c r="AC92" s="616"/>
      <c r="AD92" s="443"/>
      <c r="AE92" s="443"/>
      <c r="AF92" s="78">
        <f t="shared" si="69"/>
        <v>0</v>
      </c>
      <c r="AG92" s="434" t="e">
        <f t="shared" si="70"/>
        <v>#DIV/0!</v>
      </c>
      <c r="AH92" s="632"/>
      <c r="AJ92" s="405" t="str">
        <f t="shared" si="71"/>
        <v/>
      </c>
      <c r="AK92" s="406" t="str">
        <f t="shared" si="72"/>
        <v/>
      </c>
    </row>
    <row r="93" spans="1:37" ht="19.2" customHeight="1">
      <c r="A93" s="640"/>
      <c r="B93" s="431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433"/>
      <c r="N93" s="85"/>
      <c r="O93" s="118"/>
      <c r="P93" s="84"/>
      <c r="Q93" s="119"/>
      <c r="R93" s="437"/>
      <c r="S93" s="641"/>
      <c r="T93" s="232"/>
      <c r="U93" s="232"/>
      <c r="V93" s="431"/>
      <c r="W93" s="427">
        <f t="shared" si="68"/>
        <v>0</v>
      </c>
      <c r="X93" s="233"/>
      <c r="Y93" s="233"/>
      <c r="Z93" s="159"/>
      <c r="AA93" s="159"/>
      <c r="AB93" s="616"/>
      <c r="AC93" s="616"/>
      <c r="AD93" s="443"/>
      <c r="AE93" s="443"/>
      <c r="AF93" s="78">
        <f t="shared" si="69"/>
        <v>0</v>
      </c>
      <c r="AG93" s="434" t="e">
        <f t="shared" si="70"/>
        <v>#DIV/0!</v>
      </c>
      <c r="AH93" s="632"/>
      <c r="AJ93" s="405" t="str">
        <f t="shared" si="71"/>
        <v/>
      </c>
      <c r="AK93" s="406" t="str">
        <f t="shared" si="72"/>
        <v/>
      </c>
    </row>
    <row r="94" spans="1:37" ht="19.2" customHeight="1">
      <c r="A94" s="640"/>
      <c r="B94" s="431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437"/>
      <c r="S94" s="641"/>
      <c r="T94" s="232"/>
      <c r="U94" s="232"/>
      <c r="V94" s="431"/>
      <c r="W94" s="427">
        <f>(U94-T94)*24*60</f>
        <v>0</v>
      </c>
      <c r="X94" s="233"/>
      <c r="Y94" s="233"/>
      <c r="Z94" s="159"/>
      <c r="AA94" s="159"/>
      <c r="AB94" s="616"/>
      <c r="AC94" s="616"/>
      <c r="AD94" s="443"/>
      <c r="AE94" s="443"/>
      <c r="AF94" s="78">
        <f t="shared" si="69"/>
        <v>0</v>
      </c>
      <c r="AG94" s="434" t="e">
        <f t="shared" si="70"/>
        <v>#DIV/0!</v>
      </c>
      <c r="AH94" s="632"/>
      <c r="AJ94" s="405" t="str">
        <f t="shared" si="71"/>
        <v/>
      </c>
      <c r="AK94" s="406" t="str">
        <f t="shared" si="72"/>
        <v/>
      </c>
    </row>
    <row r="95" spans="1:37" ht="19.2" customHeight="1">
      <c r="A95" s="640"/>
      <c r="B95" s="236">
        <v>0</v>
      </c>
      <c r="C95" s="132" t="s">
        <v>291</v>
      </c>
      <c r="D95" s="612" t="s">
        <v>219</v>
      </c>
      <c r="E95" s="612"/>
      <c r="F95" s="98"/>
      <c r="G95" s="99"/>
      <c r="H95" s="237"/>
      <c r="I95" s="135"/>
      <c r="J95" s="238">
        <v>16.666666666666668</v>
      </c>
      <c r="K95" s="238">
        <v>1526</v>
      </c>
      <c r="L95" s="239">
        <v>95.890264877880966</v>
      </c>
      <c r="M95" s="238">
        <f t="shared" ref="M95:O95" si="73">AVERAGE(M83:M94)</f>
        <v>16.666666666666668</v>
      </c>
      <c r="N95" s="238">
        <f t="shared" si="73"/>
        <v>1250.5605976840493</v>
      </c>
      <c r="O95" s="239">
        <f t="shared" si="73"/>
        <v>76.871380594701961</v>
      </c>
      <c r="P95" s="240">
        <f>M95-J95</f>
        <v>0</v>
      </c>
      <c r="Q95" s="241">
        <f t="shared" ref="Q95:Q100" si="74">O95-L95</f>
        <v>-19.018884283179005</v>
      </c>
      <c r="R95" s="242">
        <f>O95/L95</f>
        <v>0.80165990460658221</v>
      </c>
      <c r="S95" s="632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616"/>
      <c r="AC95" s="616"/>
      <c r="AD95" s="139">
        <f>SUM(AD83:AD94)</f>
        <v>0</v>
      </c>
      <c r="AE95" s="139">
        <f>SUM(AE83:AE94)</f>
        <v>0</v>
      </c>
      <c r="AF95" s="104">
        <f t="shared" si="69"/>
        <v>-275.4394023159507</v>
      </c>
      <c r="AG95" s="435">
        <f t="shared" si="70"/>
        <v>0.81950235759112011</v>
      </c>
      <c r="AH95" s="632"/>
    </row>
    <row r="96" spans="1:37" ht="19.2" customHeight="1">
      <c r="A96" s="642" t="s">
        <v>292</v>
      </c>
      <c r="B96" s="430" t="s">
        <v>163</v>
      </c>
      <c r="C96" s="127"/>
      <c r="D96" s="128" t="s">
        <v>111</v>
      </c>
      <c r="E96" s="72"/>
      <c r="F96" s="73">
        <v>43.14</v>
      </c>
      <c r="G96" s="74">
        <v>1307.2</v>
      </c>
      <c r="H96" s="75">
        <f t="shared" ref="H96:H105" si="75">F96*G96</f>
        <v>56392.608</v>
      </c>
      <c r="I96" s="430"/>
      <c r="J96" s="76">
        <v>17</v>
      </c>
      <c r="K96" s="74">
        <v>1500</v>
      </c>
      <c r="L96" s="77">
        <v>88.235294117647058</v>
      </c>
      <c r="M96" s="428">
        <v>17</v>
      </c>
      <c r="N96" s="74">
        <f t="shared" ref="N96:N100" si="76">G96/W96*60</f>
        <v>1329.3559322033893</v>
      </c>
      <c r="O96" s="77">
        <f t="shared" ref="O96:O100" si="77">N96/M96</f>
        <v>78.197407776669962</v>
      </c>
      <c r="P96" s="78">
        <f t="shared" ref="P96:P100" si="78">M96-J96</f>
        <v>0</v>
      </c>
      <c r="Q96" s="79">
        <f t="shared" si="74"/>
        <v>-10.037886340977096</v>
      </c>
      <c r="R96" s="434">
        <f t="shared" ref="R96:R100" si="79">O96/L96</f>
        <v>0.88623728813559288</v>
      </c>
      <c r="S96" s="631">
        <f>R108</f>
        <v>0.86656440858194184</v>
      </c>
      <c r="T96" s="80">
        <v>0.33333333333333331</v>
      </c>
      <c r="U96" s="80">
        <v>0.37430555555555556</v>
      </c>
      <c r="V96" s="443">
        <v>5</v>
      </c>
      <c r="W96" s="120">
        <f t="shared" ref="W96:W133" si="80">(U96-T96)*24*60</f>
        <v>59.000000000000028</v>
      </c>
      <c r="X96" s="126"/>
      <c r="Y96" s="126"/>
      <c r="Z96" s="84"/>
      <c r="AA96" s="84"/>
      <c r="AB96" s="616"/>
      <c r="AC96" s="616"/>
      <c r="AD96" s="443"/>
      <c r="AE96" s="443"/>
      <c r="AF96" s="84">
        <f t="shared" si="69"/>
        <v>-170.64406779661067</v>
      </c>
      <c r="AG96" s="437">
        <f t="shared" si="70"/>
        <v>0.88623728813559288</v>
      </c>
      <c r="AH96" s="615">
        <f>AG108</f>
        <v>0.86500963905124129</v>
      </c>
    </row>
    <row r="97" spans="1:37" s="252" customFormat="1" ht="19.2" customHeight="1">
      <c r="A97" s="642"/>
      <c r="B97" s="430" t="s">
        <v>163</v>
      </c>
      <c r="C97" s="243"/>
      <c r="D97" s="244" t="s">
        <v>130</v>
      </c>
      <c r="E97" s="87"/>
      <c r="F97" s="245">
        <v>29.113149847094796</v>
      </c>
      <c r="G97" s="246">
        <v>2113</v>
      </c>
      <c r="H97" s="247">
        <f t="shared" si="75"/>
        <v>61516.085626911306</v>
      </c>
      <c r="I97" s="153"/>
      <c r="J97" s="76">
        <v>20</v>
      </c>
      <c r="K97" s="74">
        <v>1385</v>
      </c>
      <c r="L97" s="77">
        <v>69.25</v>
      </c>
      <c r="M97" s="129">
        <v>20</v>
      </c>
      <c r="N97" s="74">
        <f t="shared" si="76"/>
        <v>1131.9642857142856</v>
      </c>
      <c r="O97" s="77">
        <f t="shared" si="77"/>
        <v>56.598214285714278</v>
      </c>
      <c r="P97" s="78">
        <f t="shared" si="78"/>
        <v>0</v>
      </c>
      <c r="Q97" s="79">
        <f t="shared" si="74"/>
        <v>-12.651785714285722</v>
      </c>
      <c r="R97" s="434">
        <f t="shared" si="79"/>
        <v>0.8173027333677152</v>
      </c>
      <c r="S97" s="631"/>
      <c r="T97" s="248">
        <v>0.37916666666666665</v>
      </c>
      <c r="U97" s="248">
        <v>0.45694444444444443</v>
      </c>
      <c r="V97" s="249">
        <v>7</v>
      </c>
      <c r="W97" s="120">
        <f t="shared" si="80"/>
        <v>112</v>
      </c>
      <c r="X97" s="83"/>
      <c r="Y97" s="83"/>
      <c r="Z97" s="84"/>
      <c r="AA97" s="84"/>
      <c r="AB97" s="616"/>
      <c r="AC97" s="616"/>
      <c r="AD97" s="249"/>
      <c r="AE97" s="249"/>
      <c r="AF97" s="250">
        <f t="shared" si="69"/>
        <v>-253.03571428571445</v>
      </c>
      <c r="AG97" s="251">
        <f t="shared" si="70"/>
        <v>0.8173027333677152</v>
      </c>
      <c r="AH97" s="615"/>
      <c r="AJ97" s="62"/>
      <c r="AK97" s="62"/>
    </row>
    <row r="98" spans="1:37" s="255" customFormat="1" ht="19.2" customHeight="1">
      <c r="A98" s="642"/>
      <c r="B98" s="430" t="s">
        <v>166</v>
      </c>
      <c r="C98" s="86"/>
      <c r="D98" s="71" t="s">
        <v>123</v>
      </c>
      <c r="E98" s="114"/>
      <c r="F98" s="245">
        <v>51.44</v>
      </c>
      <c r="G98" s="85">
        <v>853</v>
      </c>
      <c r="H98" s="247">
        <f t="shared" si="75"/>
        <v>43878.32</v>
      </c>
      <c r="I98" s="443"/>
      <c r="J98" s="76">
        <v>20</v>
      </c>
      <c r="K98" s="74">
        <v>1440</v>
      </c>
      <c r="L98" s="77">
        <v>72</v>
      </c>
      <c r="M98" s="129">
        <v>20</v>
      </c>
      <c r="N98" s="74">
        <f t="shared" si="76"/>
        <v>1163.1818181818182</v>
      </c>
      <c r="O98" s="77">
        <f t="shared" si="77"/>
        <v>58.159090909090914</v>
      </c>
      <c r="P98" s="78">
        <f t="shared" si="78"/>
        <v>0</v>
      </c>
      <c r="Q98" s="79">
        <f t="shared" si="74"/>
        <v>-13.840909090909086</v>
      </c>
      <c r="R98" s="434">
        <f t="shared" si="79"/>
        <v>0.8077651515151516</v>
      </c>
      <c r="S98" s="631"/>
      <c r="T98" s="80">
        <v>0.46249999999999997</v>
      </c>
      <c r="U98" s="80">
        <v>0.49305555555555552</v>
      </c>
      <c r="V98" s="443">
        <v>8</v>
      </c>
      <c r="W98" s="120">
        <f t="shared" si="80"/>
        <v>44</v>
      </c>
      <c r="X98" s="253"/>
      <c r="Y98" s="253"/>
      <c r="Z98" s="254"/>
      <c r="AA98" s="254"/>
      <c r="AB98" s="616"/>
      <c r="AC98" s="616"/>
      <c r="AD98" s="443"/>
      <c r="AE98" s="443"/>
      <c r="AF98" s="250">
        <f t="shared" si="69"/>
        <v>-276.81818181818176</v>
      </c>
      <c r="AG98" s="437">
        <f t="shared" si="70"/>
        <v>0.8077651515151516</v>
      </c>
      <c r="AH98" s="615"/>
      <c r="AJ98" s="62"/>
      <c r="AK98" s="62"/>
    </row>
    <row r="99" spans="1:37" ht="19.2" customHeight="1">
      <c r="A99" s="642"/>
      <c r="B99" s="430" t="s">
        <v>166</v>
      </c>
      <c r="C99" s="112"/>
      <c r="D99" s="113" t="s">
        <v>192</v>
      </c>
      <c r="E99" s="114"/>
      <c r="F99" s="245">
        <v>56.43</v>
      </c>
      <c r="G99" s="85">
        <v>1466</v>
      </c>
      <c r="H99" s="247">
        <f t="shared" si="75"/>
        <v>82726.38</v>
      </c>
      <c r="I99" s="443"/>
      <c r="J99" s="76">
        <v>19</v>
      </c>
      <c r="K99" s="74">
        <v>1385</v>
      </c>
      <c r="L99" s="77">
        <v>72.89473684210526</v>
      </c>
      <c r="M99" s="428">
        <v>19</v>
      </c>
      <c r="N99" s="74">
        <f t="shared" si="76"/>
        <v>1256.5714285714273</v>
      </c>
      <c r="O99" s="77">
        <f t="shared" si="77"/>
        <v>66.135338345864596</v>
      </c>
      <c r="P99" s="78">
        <f t="shared" si="78"/>
        <v>0</v>
      </c>
      <c r="Q99" s="79">
        <f t="shared" si="74"/>
        <v>-6.7593984962406637</v>
      </c>
      <c r="R99" s="434">
        <f t="shared" si="79"/>
        <v>0.90727178958225807</v>
      </c>
      <c r="S99" s="631"/>
      <c r="T99" s="80">
        <v>0.53263888888888877</v>
      </c>
      <c r="U99" s="80">
        <v>0.58124999999999993</v>
      </c>
      <c r="V99" s="443">
        <v>7</v>
      </c>
      <c r="W99" s="120">
        <f t="shared" si="80"/>
        <v>70.000000000000071</v>
      </c>
      <c r="X99" s="218"/>
      <c r="Y99" s="218"/>
      <c r="Z99" s="159"/>
      <c r="AA99" s="159"/>
      <c r="AB99" s="616"/>
      <c r="AC99" s="616"/>
      <c r="AD99" s="443"/>
      <c r="AE99" s="443"/>
      <c r="AF99" s="250">
        <f t="shared" si="69"/>
        <v>-128.4285714285727</v>
      </c>
      <c r="AG99" s="251">
        <f t="shared" si="70"/>
        <v>0.90727178958225796</v>
      </c>
      <c r="AH99" s="615"/>
    </row>
    <row r="100" spans="1:37" s="255" customFormat="1" ht="19.2" customHeight="1">
      <c r="A100" s="642"/>
      <c r="B100" s="430" t="s">
        <v>166</v>
      </c>
      <c r="C100" s="86"/>
      <c r="D100" s="71" t="s">
        <v>196</v>
      </c>
      <c r="E100" s="114"/>
      <c r="F100" s="245">
        <v>57.3</v>
      </c>
      <c r="G100" s="85">
        <v>1195.0999999999999</v>
      </c>
      <c r="H100" s="247">
        <f t="shared" si="75"/>
        <v>68479.23</v>
      </c>
      <c r="I100" s="443"/>
      <c r="J100" s="76">
        <v>19</v>
      </c>
      <c r="K100" s="74">
        <v>1440</v>
      </c>
      <c r="L100" s="77">
        <v>75.78947368421052</v>
      </c>
      <c r="M100" s="129">
        <v>19</v>
      </c>
      <c r="N100" s="74">
        <f t="shared" si="76"/>
        <v>1303.7454545454552</v>
      </c>
      <c r="O100" s="77">
        <f t="shared" si="77"/>
        <v>68.618181818181853</v>
      </c>
      <c r="P100" s="78">
        <f t="shared" si="78"/>
        <v>0</v>
      </c>
      <c r="Q100" s="79">
        <f t="shared" si="74"/>
        <v>-7.1712918660286675</v>
      </c>
      <c r="R100" s="434">
        <f t="shared" si="79"/>
        <v>0.90537878787878845</v>
      </c>
      <c r="S100" s="631"/>
      <c r="T100" s="248">
        <v>0.59652777777777766</v>
      </c>
      <c r="U100" s="248">
        <v>0.63472222222222208</v>
      </c>
      <c r="V100" s="249">
        <v>22</v>
      </c>
      <c r="W100" s="120">
        <f t="shared" si="80"/>
        <v>54.999999999999964</v>
      </c>
      <c r="X100" s="256">
        <v>0.58611111111111114</v>
      </c>
      <c r="Y100" s="256">
        <v>0.59583333333333333</v>
      </c>
      <c r="Z100" s="254"/>
      <c r="AA100" s="254"/>
      <c r="AB100" s="616"/>
      <c r="AC100" s="616"/>
      <c r="AD100" s="443"/>
      <c r="AE100" s="443"/>
      <c r="AF100" s="250">
        <f t="shared" si="69"/>
        <v>-136.25454545454477</v>
      </c>
      <c r="AG100" s="437">
        <f t="shared" si="70"/>
        <v>0.90537878787878834</v>
      </c>
      <c r="AH100" s="615"/>
      <c r="AJ100" s="62"/>
      <c r="AK100" s="62"/>
    </row>
    <row r="101" spans="1:37" s="255" customFormat="1" ht="19.2" customHeight="1">
      <c r="A101" s="642"/>
      <c r="B101" s="430">
        <v>0</v>
      </c>
      <c r="C101" s="86"/>
      <c r="D101" s="113"/>
      <c r="E101" s="114"/>
      <c r="F101" s="245" t="s">
        <v>161</v>
      </c>
      <c r="G101" s="85"/>
      <c r="H101" s="247">
        <f t="shared" si="75"/>
        <v>0</v>
      </c>
      <c r="I101" s="443"/>
      <c r="J101" s="76"/>
      <c r="K101" s="74"/>
      <c r="L101" s="77"/>
      <c r="M101" s="129"/>
      <c r="N101" s="74"/>
      <c r="O101" s="77"/>
      <c r="P101" s="78"/>
      <c r="Q101" s="79"/>
      <c r="R101" s="434"/>
      <c r="S101" s="631"/>
      <c r="T101" s="248"/>
      <c r="U101" s="80"/>
      <c r="V101" s="249"/>
      <c r="W101" s="120">
        <f t="shared" si="80"/>
        <v>0</v>
      </c>
      <c r="X101" s="257"/>
      <c r="Y101" s="257"/>
      <c r="Z101" s="254"/>
      <c r="AA101" s="254"/>
      <c r="AB101" s="616"/>
      <c r="AC101" s="616"/>
      <c r="AD101" s="443"/>
      <c r="AE101" s="443"/>
      <c r="AF101" s="250">
        <f t="shared" si="69"/>
        <v>0</v>
      </c>
      <c r="AG101" s="251" t="e">
        <f t="shared" si="70"/>
        <v>#DIV/0!</v>
      </c>
      <c r="AH101" s="615"/>
      <c r="AJ101" s="62"/>
      <c r="AK101" s="62"/>
    </row>
    <row r="102" spans="1:37" s="255" customFormat="1" ht="19.2" customHeight="1">
      <c r="A102" s="642"/>
      <c r="B102" s="430">
        <v>0</v>
      </c>
      <c r="C102" s="213"/>
      <c r="D102" s="113"/>
      <c r="E102" s="215"/>
      <c r="F102" s="245" t="s">
        <v>161</v>
      </c>
      <c r="G102" s="85"/>
      <c r="H102" s="247">
        <f t="shared" si="75"/>
        <v>0</v>
      </c>
      <c r="I102" s="430"/>
      <c r="J102" s="76"/>
      <c r="K102" s="74"/>
      <c r="L102" s="77"/>
      <c r="M102" s="129"/>
      <c r="N102" s="74"/>
      <c r="O102" s="77"/>
      <c r="P102" s="78"/>
      <c r="Q102" s="79"/>
      <c r="R102" s="434"/>
      <c r="S102" s="631"/>
      <c r="T102" s="248"/>
      <c r="U102" s="248"/>
      <c r="V102" s="249"/>
      <c r="W102" s="120">
        <f t="shared" si="80"/>
        <v>0</v>
      </c>
      <c r="X102" s="257"/>
      <c r="Y102" s="257"/>
      <c r="Z102" s="254"/>
      <c r="AA102" s="254"/>
      <c r="AB102" s="616"/>
      <c r="AC102" s="616"/>
      <c r="AD102" s="443"/>
      <c r="AE102" s="443"/>
      <c r="AF102" s="250">
        <f t="shared" si="69"/>
        <v>0</v>
      </c>
      <c r="AG102" s="437" t="e">
        <f t="shared" si="70"/>
        <v>#DIV/0!</v>
      </c>
      <c r="AH102" s="615"/>
      <c r="AJ102" s="62"/>
      <c r="AK102" s="62"/>
    </row>
    <row r="103" spans="1:37" s="255" customFormat="1" ht="19.2" customHeight="1">
      <c r="A103" s="642"/>
      <c r="B103" s="430">
        <v>0</v>
      </c>
      <c r="C103" s="258"/>
      <c r="D103" s="113"/>
      <c r="E103" s="114"/>
      <c r="F103" s="245" t="s">
        <v>161</v>
      </c>
      <c r="G103" s="85"/>
      <c r="H103" s="247">
        <f t="shared" si="75"/>
        <v>0</v>
      </c>
      <c r="I103" s="259"/>
      <c r="J103" s="76"/>
      <c r="K103" s="74"/>
      <c r="L103" s="77"/>
      <c r="M103" s="129"/>
      <c r="N103" s="74"/>
      <c r="O103" s="77"/>
      <c r="P103" s="78"/>
      <c r="Q103" s="79"/>
      <c r="R103" s="434"/>
      <c r="S103" s="631"/>
      <c r="T103" s="248"/>
      <c r="U103" s="248"/>
      <c r="V103" s="249"/>
      <c r="W103" s="120">
        <f t="shared" si="80"/>
        <v>0</v>
      </c>
      <c r="X103" s="257"/>
      <c r="Y103" s="257"/>
      <c r="Z103" s="254"/>
      <c r="AA103" s="254"/>
      <c r="AB103" s="616"/>
      <c r="AC103" s="616"/>
      <c r="AD103" s="443"/>
      <c r="AE103" s="443"/>
      <c r="AF103" s="84">
        <f t="shared" si="69"/>
        <v>0</v>
      </c>
      <c r="AG103" s="437" t="e">
        <f t="shared" si="70"/>
        <v>#DIV/0!</v>
      </c>
      <c r="AH103" s="615"/>
      <c r="AJ103" s="62"/>
      <c r="AK103" s="62"/>
    </row>
    <row r="104" spans="1:37" s="255" customFormat="1" ht="19.2" customHeight="1">
      <c r="A104" s="642"/>
      <c r="B104" s="430">
        <v>0</v>
      </c>
      <c r="C104" s="260"/>
      <c r="D104" s="113"/>
      <c r="E104" s="114"/>
      <c r="F104" s="245" t="s">
        <v>161</v>
      </c>
      <c r="G104" s="246"/>
      <c r="H104" s="247">
        <f t="shared" si="75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434"/>
      <c r="S104" s="632"/>
      <c r="T104" s="248"/>
      <c r="U104" s="248"/>
      <c r="V104" s="249"/>
      <c r="W104" s="120">
        <f t="shared" si="80"/>
        <v>0</v>
      </c>
      <c r="X104" s="257"/>
      <c r="Y104" s="257"/>
      <c r="Z104" s="254"/>
      <c r="AA104" s="254"/>
      <c r="AB104" s="616"/>
      <c r="AC104" s="616"/>
      <c r="AD104" s="443"/>
      <c r="AE104" s="443"/>
      <c r="AF104" s="250">
        <f t="shared" si="69"/>
        <v>0</v>
      </c>
      <c r="AG104" s="251" t="e">
        <f t="shared" si="70"/>
        <v>#DIV/0!</v>
      </c>
      <c r="AH104" s="615"/>
      <c r="AJ104" s="62"/>
      <c r="AK104" s="62"/>
    </row>
    <row r="105" spans="1:37" s="255" customFormat="1" ht="19.2" customHeight="1">
      <c r="A105" s="642"/>
      <c r="B105" s="430">
        <v>0</v>
      </c>
      <c r="C105" s="260"/>
      <c r="D105" s="113"/>
      <c r="E105" s="114"/>
      <c r="F105" s="245" t="s">
        <v>161</v>
      </c>
      <c r="G105" s="246"/>
      <c r="H105" s="247">
        <f t="shared" si="75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434"/>
      <c r="S105" s="632"/>
      <c r="T105" s="248"/>
      <c r="U105" s="248"/>
      <c r="V105" s="249"/>
      <c r="W105" s="120">
        <f t="shared" si="80"/>
        <v>0</v>
      </c>
      <c r="X105" s="257"/>
      <c r="Y105" s="257"/>
      <c r="Z105" s="254"/>
      <c r="AA105" s="254"/>
      <c r="AB105" s="616"/>
      <c r="AC105" s="616"/>
      <c r="AD105" s="443"/>
      <c r="AE105" s="443"/>
      <c r="AF105" s="84">
        <f t="shared" si="69"/>
        <v>0</v>
      </c>
      <c r="AG105" s="437" t="e">
        <f t="shared" si="70"/>
        <v>#DIV/0!</v>
      </c>
      <c r="AH105" s="615"/>
      <c r="AJ105" s="62"/>
      <c r="AK105" s="62"/>
    </row>
    <row r="106" spans="1:37" s="255" customFormat="1" ht="19.2" customHeight="1">
      <c r="A106" s="642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434"/>
      <c r="S106" s="641"/>
      <c r="T106" s="248"/>
      <c r="U106" s="248"/>
      <c r="V106" s="249"/>
      <c r="W106" s="120">
        <f t="shared" si="80"/>
        <v>0</v>
      </c>
      <c r="X106" s="257"/>
      <c r="Y106" s="257"/>
      <c r="Z106" s="254"/>
      <c r="AA106" s="254"/>
      <c r="AB106" s="616"/>
      <c r="AC106" s="616"/>
      <c r="AD106" s="443"/>
      <c r="AE106" s="443"/>
      <c r="AF106" s="84">
        <f t="shared" si="69"/>
        <v>0</v>
      </c>
      <c r="AG106" s="437" t="e">
        <f t="shared" si="70"/>
        <v>#DIV/0!</v>
      </c>
      <c r="AH106" s="615"/>
      <c r="AJ106" s="62"/>
      <c r="AK106" s="62"/>
    </row>
    <row r="107" spans="1:37" s="255" customFormat="1" ht="19.2" customHeight="1">
      <c r="A107" s="642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437"/>
      <c r="S107" s="641"/>
      <c r="T107" s="248"/>
      <c r="U107" s="248"/>
      <c r="V107" s="249"/>
      <c r="W107" s="120">
        <f t="shared" si="80"/>
        <v>0</v>
      </c>
      <c r="X107" s="257"/>
      <c r="Y107" s="257"/>
      <c r="Z107" s="254"/>
      <c r="AA107" s="254"/>
      <c r="AB107" s="616"/>
      <c r="AC107" s="616"/>
      <c r="AD107" s="443"/>
      <c r="AE107" s="443"/>
      <c r="AF107" s="254"/>
      <c r="AG107" s="437"/>
      <c r="AH107" s="615"/>
      <c r="AJ107" s="62"/>
      <c r="AK107" s="62"/>
    </row>
    <row r="108" spans="1:37" ht="19.2" customHeight="1">
      <c r="A108" s="642"/>
      <c r="B108" s="142">
        <v>0</v>
      </c>
      <c r="C108" s="132" t="s">
        <v>293</v>
      </c>
      <c r="D108" s="612" t="s">
        <v>219</v>
      </c>
      <c r="E108" s="612"/>
      <c r="F108" s="263"/>
      <c r="G108" s="103"/>
      <c r="H108" s="134"/>
      <c r="I108" s="135"/>
      <c r="J108" s="103">
        <v>19</v>
      </c>
      <c r="K108" s="103">
        <v>1430</v>
      </c>
      <c r="L108" s="136">
        <v>75.633900928792571</v>
      </c>
      <c r="M108" s="103">
        <f t="shared" ref="M108:O108" si="81">AVERAGE(M96:M107)</f>
        <v>19</v>
      </c>
      <c r="N108" s="103">
        <f t="shared" si="81"/>
        <v>1236.963783843275</v>
      </c>
      <c r="O108" s="136">
        <f t="shared" si="81"/>
        <v>65.541646627104313</v>
      </c>
      <c r="P108" s="84">
        <f t="shared" ref="P108:P118" si="82">M108-J108</f>
        <v>0</v>
      </c>
      <c r="Q108" s="119">
        <f t="shared" ref="Q108:Q118" si="83">O108-L108</f>
        <v>-10.092254301688257</v>
      </c>
      <c r="R108" s="137">
        <f t="shared" ref="R108:R118" si="84">O108/L108</f>
        <v>0.86656440858194184</v>
      </c>
      <c r="S108" s="632"/>
      <c r="T108" s="80"/>
      <c r="U108" s="80"/>
      <c r="V108" s="85"/>
      <c r="W108" s="120">
        <f t="shared" si="80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616"/>
      <c r="AC108" s="616"/>
      <c r="AD108" s="139">
        <f>SUM(AD96:AD107)</f>
        <v>0</v>
      </c>
      <c r="AE108" s="139">
        <f>SUM(AE96:AE107)</f>
        <v>0</v>
      </c>
      <c r="AF108" s="84">
        <f t="shared" si="69"/>
        <v>-193.036216156725</v>
      </c>
      <c r="AG108" s="437">
        <f t="shared" si="70"/>
        <v>0.86500963905124129</v>
      </c>
      <c r="AH108" s="615"/>
    </row>
    <row r="109" spans="1:37" ht="19.2" customHeight="1">
      <c r="A109" s="633" t="s">
        <v>294</v>
      </c>
      <c r="B109" s="430" t="s">
        <v>165</v>
      </c>
      <c r="C109" s="440"/>
      <c r="D109" s="264" t="s">
        <v>133</v>
      </c>
      <c r="E109" s="72"/>
      <c r="F109" s="73">
        <v>29.965493443754308</v>
      </c>
      <c r="G109" s="74">
        <v>1301</v>
      </c>
      <c r="H109" s="75">
        <f t="shared" ref="H109:H119" si="85">F109*G109</f>
        <v>38985.106970324356</v>
      </c>
      <c r="I109" s="430"/>
      <c r="J109" s="76">
        <v>18</v>
      </c>
      <c r="K109" s="74">
        <v>1200</v>
      </c>
      <c r="L109" s="77">
        <v>66.666666666666671</v>
      </c>
      <c r="M109" s="428">
        <v>18</v>
      </c>
      <c r="N109" s="74">
        <f t="shared" ref="N109:N118" si="86">G109/W109*60</f>
        <v>1084.1666666666656</v>
      </c>
      <c r="O109" s="77">
        <f t="shared" ref="O109:O118" si="87">N109/M109</f>
        <v>60.231481481481424</v>
      </c>
      <c r="P109" s="78">
        <f t="shared" si="82"/>
        <v>0</v>
      </c>
      <c r="Q109" s="79">
        <f t="shared" si="83"/>
        <v>-6.4351851851852473</v>
      </c>
      <c r="R109" s="434">
        <f t="shared" si="84"/>
        <v>0.90347222222222134</v>
      </c>
      <c r="S109" s="636">
        <f>R121</f>
        <v>0.92593375827196134</v>
      </c>
      <c r="T109" s="265">
        <v>0.5</v>
      </c>
      <c r="U109" s="265">
        <v>0.55000000000000004</v>
      </c>
      <c r="V109" s="266">
        <v>5</v>
      </c>
      <c r="W109" s="427">
        <f t="shared" si="80"/>
        <v>72.000000000000057</v>
      </c>
      <c r="X109" s="83"/>
      <c r="Y109" s="83"/>
      <c r="Z109" s="84"/>
      <c r="AA109" s="84"/>
      <c r="AB109" s="616"/>
      <c r="AC109" s="616"/>
      <c r="AD109" s="443"/>
      <c r="AE109" s="443"/>
      <c r="AF109" s="78">
        <f t="shared" si="69"/>
        <v>-115.83333333333439</v>
      </c>
      <c r="AG109" s="160">
        <f t="shared" si="70"/>
        <v>0.90347222222222134</v>
      </c>
      <c r="AH109" s="615">
        <f>AG121</f>
        <v>0.92417726969349079</v>
      </c>
      <c r="AJ109" s="62" t="str">
        <f>A109</f>
        <v>綜合一組
(ET-55)</v>
      </c>
      <c r="AK109" s="404">
        <f>AVERAGE(AK110:AK120)</f>
        <v>6.3333333333333304</v>
      </c>
    </row>
    <row r="110" spans="1:37" ht="19.2" customHeight="1">
      <c r="A110" s="634"/>
      <c r="B110" s="430" t="s">
        <v>165</v>
      </c>
      <c r="C110" s="213"/>
      <c r="D110" s="71" t="s">
        <v>110</v>
      </c>
      <c r="E110" s="215"/>
      <c r="F110" s="73">
        <v>35.83</v>
      </c>
      <c r="G110" s="212">
        <v>1267.3499999999999</v>
      </c>
      <c r="H110" s="75">
        <f t="shared" si="85"/>
        <v>45409.150499999996</v>
      </c>
      <c r="I110" s="430">
        <v>1</v>
      </c>
      <c r="J110" s="76">
        <v>11</v>
      </c>
      <c r="K110" s="74">
        <v>2250</v>
      </c>
      <c r="L110" s="77">
        <v>204.54545454545453</v>
      </c>
      <c r="M110" s="428">
        <v>11</v>
      </c>
      <c r="N110" s="74">
        <f t="shared" si="86"/>
        <v>2055.1621621621603</v>
      </c>
      <c r="O110" s="77">
        <f t="shared" si="87"/>
        <v>186.83292383292365</v>
      </c>
      <c r="P110" s="78">
        <f t="shared" si="82"/>
        <v>0</v>
      </c>
      <c r="Q110" s="79">
        <f t="shared" si="83"/>
        <v>-17.712530712530878</v>
      </c>
      <c r="R110" s="434">
        <f t="shared" si="84"/>
        <v>0.9134054054054046</v>
      </c>
      <c r="S110" s="622"/>
      <c r="T110" s="265">
        <v>0.5541666666666667</v>
      </c>
      <c r="U110" s="265">
        <v>0.57986111111111116</v>
      </c>
      <c r="V110" s="266">
        <v>6</v>
      </c>
      <c r="W110" s="427">
        <f t="shared" si="80"/>
        <v>37.000000000000028</v>
      </c>
      <c r="X110" s="227"/>
      <c r="Y110" s="227"/>
      <c r="Z110" s="84"/>
      <c r="AA110" s="84"/>
      <c r="AB110" s="616"/>
      <c r="AC110" s="616"/>
      <c r="AD110" s="443"/>
      <c r="AE110" s="443"/>
      <c r="AF110" s="78">
        <f t="shared" si="69"/>
        <v>-194.83783783783974</v>
      </c>
      <c r="AG110" s="160">
        <f t="shared" si="70"/>
        <v>0.9134054054054046</v>
      </c>
      <c r="AH110" s="615"/>
      <c r="AJ110" s="405">
        <f t="shared" ref="AJ110:AJ120" si="88">IF((IF(V110&lt;10,V110,(X110-U109)*1440))=0,"",IF(V110&lt;10,V110,(X110-U109)*1440))</f>
        <v>6</v>
      </c>
      <c r="AK110" s="406">
        <f>IF(AJ110&gt;4,AJ110,"")</f>
        <v>6</v>
      </c>
    </row>
    <row r="111" spans="1:37" ht="19.2" customHeight="1">
      <c r="A111" s="634"/>
      <c r="B111" s="430" t="s">
        <v>163</v>
      </c>
      <c r="C111" s="213"/>
      <c r="D111" s="214" t="s">
        <v>111</v>
      </c>
      <c r="E111" s="215"/>
      <c r="F111" s="73">
        <v>43.14</v>
      </c>
      <c r="G111" s="85">
        <v>212.8</v>
      </c>
      <c r="H111" s="75">
        <f t="shared" si="85"/>
        <v>9180.1920000000009</v>
      </c>
      <c r="I111" s="443">
        <v>1</v>
      </c>
      <c r="J111" s="76">
        <v>17</v>
      </c>
      <c r="K111" s="74">
        <v>1500</v>
      </c>
      <c r="L111" s="77">
        <v>88.235294117647058</v>
      </c>
      <c r="M111" s="267">
        <v>17</v>
      </c>
      <c r="N111" s="74">
        <f t="shared" si="86"/>
        <v>1276.8000000000045</v>
      </c>
      <c r="O111" s="77">
        <f t="shared" si="87"/>
        <v>75.105882352941435</v>
      </c>
      <c r="P111" s="78">
        <f t="shared" si="82"/>
        <v>0</v>
      </c>
      <c r="Q111" s="79">
        <f t="shared" si="83"/>
        <v>-13.129411764705623</v>
      </c>
      <c r="R111" s="434">
        <f t="shared" si="84"/>
        <v>0.85120000000000295</v>
      </c>
      <c r="S111" s="622"/>
      <c r="T111" s="265">
        <v>0.58472222222222225</v>
      </c>
      <c r="U111" s="265">
        <v>0.59166666666666667</v>
      </c>
      <c r="V111" s="266">
        <v>7</v>
      </c>
      <c r="W111" s="427">
        <f t="shared" si="80"/>
        <v>9.9999999999999645</v>
      </c>
      <c r="X111" s="83"/>
      <c r="Y111" s="83"/>
      <c r="Z111" s="84"/>
      <c r="AA111" s="84"/>
      <c r="AB111" s="616"/>
      <c r="AC111" s="616"/>
      <c r="AD111" s="443"/>
      <c r="AE111" s="443">
        <v>1</v>
      </c>
      <c r="AF111" s="78">
        <f t="shared" si="69"/>
        <v>-223.1999999999955</v>
      </c>
      <c r="AG111" s="160">
        <f t="shared" si="70"/>
        <v>0.85120000000000295</v>
      </c>
      <c r="AH111" s="615"/>
      <c r="AJ111" s="405">
        <f t="shared" si="88"/>
        <v>7</v>
      </c>
      <c r="AK111" s="406">
        <f t="shared" ref="AK111:AK120" si="89">IF(AJ111&gt;4,AJ111,"")</f>
        <v>7</v>
      </c>
    </row>
    <row r="112" spans="1:37" ht="19.2" customHeight="1">
      <c r="A112" s="634"/>
      <c r="B112" s="430" t="s">
        <v>166</v>
      </c>
      <c r="C112" s="213"/>
      <c r="D112" s="214" t="s">
        <v>134</v>
      </c>
      <c r="E112" s="114"/>
      <c r="F112" s="73">
        <v>55.56</v>
      </c>
      <c r="G112" s="85">
        <v>944</v>
      </c>
      <c r="H112" s="75">
        <f t="shared" si="85"/>
        <v>52448.639999999999</v>
      </c>
      <c r="I112" s="443"/>
      <c r="J112" s="76">
        <v>16</v>
      </c>
      <c r="K112" s="74">
        <v>1440</v>
      </c>
      <c r="L112" s="77">
        <v>90</v>
      </c>
      <c r="M112" s="428">
        <v>16</v>
      </c>
      <c r="N112" s="74">
        <f t="shared" si="86"/>
        <v>1381.4634146341459</v>
      </c>
      <c r="O112" s="77">
        <f t="shared" si="87"/>
        <v>86.34146341463412</v>
      </c>
      <c r="P112" s="78">
        <f t="shared" si="82"/>
        <v>0</v>
      </c>
      <c r="Q112" s="79">
        <f t="shared" si="83"/>
        <v>-3.65853658536588</v>
      </c>
      <c r="R112" s="434">
        <f t="shared" si="84"/>
        <v>0.95934959349593463</v>
      </c>
      <c r="S112" s="622"/>
      <c r="T112" s="265">
        <v>0.70833333333333337</v>
      </c>
      <c r="U112" s="265">
        <v>0.7368055555555556</v>
      </c>
      <c r="V112" s="266">
        <v>5</v>
      </c>
      <c r="W112" s="427">
        <f t="shared" si="80"/>
        <v>41.000000000000014</v>
      </c>
      <c r="X112" s="253"/>
      <c r="Y112" s="253"/>
      <c r="Z112" s="84"/>
      <c r="AA112" s="84"/>
      <c r="AB112" s="616"/>
      <c r="AC112" s="616"/>
      <c r="AD112" s="443"/>
      <c r="AE112" s="443"/>
      <c r="AF112" s="78">
        <f t="shared" si="69"/>
        <v>-58.53658536585408</v>
      </c>
      <c r="AG112" s="160">
        <f t="shared" si="70"/>
        <v>0.95934959349593463</v>
      </c>
      <c r="AH112" s="615"/>
      <c r="AJ112" s="405">
        <f t="shared" si="88"/>
        <v>5</v>
      </c>
      <c r="AK112" s="406">
        <f t="shared" si="89"/>
        <v>5</v>
      </c>
    </row>
    <row r="113" spans="1:37" s="255" customFormat="1" ht="19.2" customHeight="1">
      <c r="A113" s="634"/>
      <c r="B113" s="430" t="s">
        <v>166</v>
      </c>
      <c r="C113" s="213"/>
      <c r="D113" s="214" t="s">
        <v>135</v>
      </c>
      <c r="E113" s="114"/>
      <c r="F113" s="73">
        <v>58.17</v>
      </c>
      <c r="G113" s="85">
        <v>887</v>
      </c>
      <c r="H113" s="75">
        <f t="shared" si="85"/>
        <v>51596.79</v>
      </c>
      <c r="I113" s="443"/>
      <c r="J113" s="76">
        <v>14</v>
      </c>
      <c r="K113" s="74">
        <v>1440</v>
      </c>
      <c r="L113" s="77">
        <v>102.85714285714286</v>
      </c>
      <c r="M113" s="433">
        <v>14</v>
      </c>
      <c r="N113" s="74">
        <f t="shared" si="86"/>
        <v>1400.5263157894726</v>
      </c>
      <c r="O113" s="77">
        <f t="shared" si="87"/>
        <v>100.03759398496233</v>
      </c>
      <c r="P113" s="78">
        <f t="shared" si="82"/>
        <v>0</v>
      </c>
      <c r="Q113" s="79">
        <f t="shared" si="83"/>
        <v>-2.8195488721805333</v>
      </c>
      <c r="R113" s="434">
        <f t="shared" si="84"/>
        <v>0.97258771929824483</v>
      </c>
      <c r="S113" s="622"/>
      <c r="T113" s="265">
        <v>0.74097222222222225</v>
      </c>
      <c r="U113" s="265">
        <v>0.76736111111111116</v>
      </c>
      <c r="V113" s="266">
        <v>6</v>
      </c>
      <c r="W113" s="427">
        <f t="shared" si="80"/>
        <v>38.000000000000028</v>
      </c>
      <c r="X113" s="253"/>
      <c r="Y113" s="253"/>
      <c r="Z113" s="254"/>
      <c r="AA113" s="254"/>
      <c r="AB113" s="616"/>
      <c r="AC113" s="616"/>
      <c r="AD113" s="258"/>
      <c r="AE113" s="258"/>
      <c r="AF113" s="78">
        <f t="shared" si="69"/>
        <v>-39.473684210527381</v>
      </c>
      <c r="AG113" s="160">
        <f t="shared" si="70"/>
        <v>0.97258771929824483</v>
      </c>
      <c r="AH113" s="615"/>
      <c r="AJ113" s="405">
        <f t="shared" si="88"/>
        <v>6</v>
      </c>
      <c r="AK113" s="406">
        <f t="shared" si="89"/>
        <v>6</v>
      </c>
    </row>
    <row r="114" spans="1:37" s="255" customFormat="1" ht="19.2" customHeight="1">
      <c r="A114" s="634"/>
      <c r="B114" s="430" t="s">
        <v>166</v>
      </c>
      <c r="C114" s="213"/>
      <c r="D114" s="113" t="s">
        <v>136</v>
      </c>
      <c r="E114" s="72"/>
      <c r="F114" s="73">
        <v>54.09</v>
      </c>
      <c r="G114" s="74">
        <v>606</v>
      </c>
      <c r="H114" s="75">
        <f t="shared" si="85"/>
        <v>32778.54</v>
      </c>
      <c r="I114" s="443"/>
      <c r="J114" s="76">
        <v>14</v>
      </c>
      <c r="K114" s="74">
        <v>1440</v>
      </c>
      <c r="L114" s="77">
        <v>102.85714285714286</v>
      </c>
      <c r="M114" s="433">
        <v>14</v>
      </c>
      <c r="N114" s="74">
        <f t="shared" si="86"/>
        <v>1398.4615384615347</v>
      </c>
      <c r="O114" s="77">
        <f t="shared" si="87"/>
        <v>99.890109890109628</v>
      </c>
      <c r="P114" s="78">
        <f t="shared" si="82"/>
        <v>0</v>
      </c>
      <c r="Q114" s="79">
        <f t="shared" si="83"/>
        <v>-2.9670329670332336</v>
      </c>
      <c r="R114" s="434">
        <f t="shared" si="84"/>
        <v>0.97115384615384359</v>
      </c>
      <c r="S114" s="622"/>
      <c r="T114" s="265">
        <v>0.77152777777777781</v>
      </c>
      <c r="U114" s="265">
        <v>0.78958333333333341</v>
      </c>
      <c r="V114" s="266">
        <v>6</v>
      </c>
      <c r="W114" s="427">
        <f t="shared" si="80"/>
        <v>26.000000000000068</v>
      </c>
      <c r="X114" s="253"/>
      <c r="Y114" s="253"/>
      <c r="Z114" s="254"/>
      <c r="AA114" s="254"/>
      <c r="AB114" s="616"/>
      <c r="AC114" s="616"/>
      <c r="AD114" s="258"/>
      <c r="AE114" s="258"/>
      <c r="AF114" s="78">
        <f t="shared" si="69"/>
        <v>-41.538461538465299</v>
      </c>
      <c r="AG114" s="160">
        <f t="shared" si="70"/>
        <v>0.97115384615384359</v>
      </c>
      <c r="AH114" s="615"/>
      <c r="AJ114" s="405">
        <f t="shared" si="88"/>
        <v>6</v>
      </c>
      <c r="AK114" s="406">
        <f t="shared" si="89"/>
        <v>6</v>
      </c>
    </row>
    <row r="115" spans="1:37" s="255" customFormat="1" ht="19.2" customHeight="1">
      <c r="A115" s="634"/>
      <c r="B115" s="430" t="s">
        <v>166</v>
      </c>
      <c r="C115" s="213"/>
      <c r="D115" s="113" t="s">
        <v>156</v>
      </c>
      <c r="E115" s="114"/>
      <c r="F115" s="73">
        <v>51.06</v>
      </c>
      <c r="G115" s="268">
        <v>1182</v>
      </c>
      <c r="H115" s="75">
        <f t="shared" si="85"/>
        <v>60352.920000000006</v>
      </c>
      <c r="I115" s="443"/>
      <c r="J115" s="76">
        <v>16</v>
      </c>
      <c r="K115" s="74">
        <v>1500</v>
      </c>
      <c r="L115" s="77">
        <v>93.75</v>
      </c>
      <c r="M115" s="433">
        <v>16</v>
      </c>
      <c r="N115" s="74">
        <f t="shared" si="86"/>
        <v>1390.5882352941182</v>
      </c>
      <c r="O115" s="77">
        <f t="shared" si="87"/>
        <v>86.911764705882391</v>
      </c>
      <c r="P115" s="78">
        <f t="shared" si="82"/>
        <v>0</v>
      </c>
      <c r="Q115" s="79">
        <f t="shared" si="83"/>
        <v>-6.8382352941176094</v>
      </c>
      <c r="R115" s="434">
        <f t="shared" si="84"/>
        <v>0.92705882352941216</v>
      </c>
      <c r="S115" s="622"/>
      <c r="T115" s="265">
        <v>0.79444444444444451</v>
      </c>
      <c r="U115" s="265">
        <v>0.82986111111111116</v>
      </c>
      <c r="V115" s="266">
        <v>7</v>
      </c>
      <c r="W115" s="427">
        <f t="shared" si="80"/>
        <v>50.999999999999979</v>
      </c>
      <c r="X115" s="253"/>
      <c r="Y115" s="253"/>
      <c r="Z115" s="254"/>
      <c r="AA115" s="254"/>
      <c r="AB115" s="616"/>
      <c r="AC115" s="616"/>
      <c r="AD115" s="258"/>
      <c r="AE115" s="258"/>
      <c r="AF115" s="78">
        <f t="shared" si="69"/>
        <v>-109.41176470588175</v>
      </c>
      <c r="AG115" s="160">
        <f t="shared" si="70"/>
        <v>0.92705882352941216</v>
      </c>
      <c r="AH115" s="615"/>
      <c r="AJ115" s="405">
        <f t="shared" si="88"/>
        <v>7</v>
      </c>
      <c r="AK115" s="406">
        <f t="shared" si="89"/>
        <v>7</v>
      </c>
    </row>
    <row r="116" spans="1:37" s="255" customFormat="1" ht="19.2" customHeight="1">
      <c r="A116" s="634"/>
      <c r="B116" s="430" t="s">
        <v>166</v>
      </c>
      <c r="C116" s="86"/>
      <c r="D116" s="113" t="s">
        <v>196</v>
      </c>
      <c r="E116" s="114"/>
      <c r="F116" s="73">
        <v>57.3</v>
      </c>
      <c r="G116" s="268">
        <v>210.9</v>
      </c>
      <c r="H116" s="75">
        <f t="shared" si="85"/>
        <v>12084.57</v>
      </c>
      <c r="I116" s="443"/>
      <c r="J116" s="76">
        <v>19</v>
      </c>
      <c r="K116" s="74">
        <v>1440</v>
      </c>
      <c r="L116" s="77">
        <v>75.78947368421052</v>
      </c>
      <c r="M116" s="433">
        <v>19</v>
      </c>
      <c r="N116" s="74">
        <f t="shared" si="86"/>
        <v>1265.4000000000044</v>
      </c>
      <c r="O116" s="77">
        <f t="shared" si="87"/>
        <v>66.600000000000236</v>
      </c>
      <c r="P116" s="78">
        <f t="shared" si="82"/>
        <v>0</v>
      </c>
      <c r="Q116" s="79">
        <f t="shared" si="83"/>
        <v>-9.1894736842102844</v>
      </c>
      <c r="R116" s="434">
        <f t="shared" si="84"/>
        <v>0.87875000000000314</v>
      </c>
      <c r="S116" s="622"/>
      <c r="T116" s="265">
        <v>0.84513888888888888</v>
      </c>
      <c r="U116" s="265">
        <v>0.8520833333333333</v>
      </c>
      <c r="V116" s="266">
        <v>22</v>
      </c>
      <c r="W116" s="427">
        <f t="shared" si="80"/>
        <v>9.9999999999999645</v>
      </c>
      <c r="X116" s="253">
        <v>0.83472222222222225</v>
      </c>
      <c r="Y116" s="253">
        <v>0.84444444444444444</v>
      </c>
      <c r="Z116" s="254"/>
      <c r="AA116" s="254"/>
      <c r="AB116" s="616"/>
      <c r="AC116" s="616"/>
      <c r="AD116" s="258"/>
      <c r="AE116" s="258"/>
      <c r="AF116" s="78">
        <f t="shared" si="69"/>
        <v>-174.59999999999559</v>
      </c>
      <c r="AG116" s="160">
        <f t="shared" si="70"/>
        <v>0.87875000000000303</v>
      </c>
      <c r="AH116" s="615"/>
      <c r="AJ116" s="405">
        <f t="shared" si="88"/>
        <v>6.9999999999999751</v>
      </c>
      <c r="AK116" s="406">
        <f t="shared" si="89"/>
        <v>6.9999999999999751</v>
      </c>
    </row>
    <row r="117" spans="1:37" s="255" customFormat="1" ht="19.2" customHeight="1">
      <c r="A117" s="634"/>
      <c r="B117" s="430" t="s">
        <v>166</v>
      </c>
      <c r="C117" s="86"/>
      <c r="D117" s="113" t="s">
        <v>150</v>
      </c>
      <c r="E117" s="114"/>
      <c r="F117" s="73">
        <v>50.67</v>
      </c>
      <c r="G117" s="268">
        <v>811</v>
      </c>
      <c r="H117" s="75">
        <f t="shared" si="85"/>
        <v>41093.370000000003</v>
      </c>
      <c r="I117" s="443"/>
      <c r="J117" s="76">
        <v>17</v>
      </c>
      <c r="K117" s="74">
        <v>1440</v>
      </c>
      <c r="L117" s="77">
        <v>84.705882352941174</v>
      </c>
      <c r="M117" s="433">
        <v>17</v>
      </c>
      <c r="N117" s="74">
        <f t="shared" si="86"/>
        <v>1351.6666666666656</v>
      </c>
      <c r="O117" s="77">
        <f t="shared" si="87"/>
        <v>79.509803921568562</v>
      </c>
      <c r="P117" s="78">
        <f t="shared" si="82"/>
        <v>0</v>
      </c>
      <c r="Q117" s="79">
        <f t="shared" si="83"/>
        <v>-5.1960784313726123</v>
      </c>
      <c r="R117" s="434">
        <f t="shared" si="84"/>
        <v>0.93865740740740666</v>
      </c>
      <c r="S117" s="622"/>
      <c r="T117" s="265">
        <v>0.8569444444444444</v>
      </c>
      <c r="U117" s="265">
        <v>0.88194444444444442</v>
      </c>
      <c r="V117" s="266">
        <v>7</v>
      </c>
      <c r="W117" s="427">
        <f t="shared" si="80"/>
        <v>36.000000000000028</v>
      </c>
      <c r="X117" s="253"/>
      <c r="Y117" s="253"/>
      <c r="Z117" s="254"/>
      <c r="AA117" s="254"/>
      <c r="AB117" s="616"/>
      <c r="AC117" s="616"/>
      <c r="AD117" s="258"/>
      <c r="AE117" s="258"/>
      <c r="AF117" s="78">
        <f t="shared" si="69"/>
        <v>-88.333333333334394</v>
      </c>
      <c r="AG117" s="160">
        <f t="shared" si="70"/>
        <v>0.93865740740740666</v>
      </c>
      <c r="AH117" s="615"/>
      <c r="AJ117" s="405">
        <f t="shared" si="88"/>
        <v>7</v>
      </c>
      <c r="AK117" s="406">
        <f t="shared" si="89"/>
        <v>7</v>
      </c>
    </row>
    <row r="118" spans="1:37" s="255" customFormat="1" ht="19.2" customHeight="1">
      <c r="A118" s="634"/>
      <c r="B118" s="430" t="s">
        <v>166</v>
      </c>
      <c r="C118" s="200"/>
      <c r="D118" s="113" t="s">
        <v>151</v>
      </c>
      <c r="E118" s="72"/>
      <c r="F118" s="73">
        <v>50.49</v>
      </c>
      <c r="G118" s="74">
        <v>1118</v>
      </c>
      <c r="H118" s="75">
        <f t="shared" si="85"/>
        <v>56447.82</v>
      </c>
      <c r="I118" s="443"/>
      <c r="J118" s="76">
        <v>14</v>
      </c>
      <c r="K118" s="74">
        <v>1440</v>
      </c>
      <c r="L118" s="77">
        <v>102.85714285714286</v>
      </c>
      <c r="M118" s="433">
        <v>14</v>
      </c>
      <c r="N118" s="74">
        <f t="shared" si="86"/>
        <v>1341.6000000000004</v>
      </c>
      <c r="O118" s="77">
        <f t="shared" si="87"/>
        <v>95.82857142857145</v>
      </c>
      <c r="P118" s="78">
        <f t="shared" si="82"/>
        <v>0</v>
      </c>
      <c r="Q118" s="79">
        <f t="shared" si="83"/>
        <v>-7.0285714285714107</v>
      </c>
      <c r="R118" s="434">
        <f t="shared" si="84"/>
        <v>0.93166666666666687</v>
      </c>
      <c r="S118" s="622"/>
      <c r="T118" s="265">
        <v>0.88611111111111107</v>
      </c>
      <c r="U118" s="265">
        <v>0.92083333333333328</v>
      </c>
      <c r="V118" s="266">
        <v>6</v>
      </c>
      <c r="W118" s="427">
        <f t="shared" si="80"/>
        <v>49.999999999999986</v>
      </c>
      <c r="X118" s="253"/>
      <c r="Y118" s="253"/>
      <c r="Z118" s="254"/>
      <c r="AA118" s="254"/>
      <c r="AB118" s="616"/>
      <c r="AC118" s="616"/>
      <c r="AD118" s="258"/>
      <c r="AE118" s="258"/>
      <c r="AF118" s="78">
        <f t="shared" si="69"/>
        <v>-98.399999999999636</v>
      </c>
      <c r="AG118" s="160">
        <f t="shared" si="70"/>
        <v>0.93166666666666687</v>
      </c>
      <c r="AH118" s="615"/>
      <c r="AJ118" s="405">
        <f t="shared" si="88"/>
        <v>6</v>
      </c>
      <c r="AK118" s="406">
        <f t="shared" si="89"/>
        <v>6</v>
      </c>
    </row>
    <row r="119" spans="1:37" s="255" customFormat="1" ht="19.2" customHeight="1">
      <c r="A119" s="634"/>
      <c r="B119" s="430">
        <v>0</v>
      </c>
      <c r="C119" s="260"/>
      <c r="D119" s="113"/>
      <c r="E119" s="114"/>
      <c r="F119" s="73" t="s">
        <v>161</v>
      </c>
      <c r="G119" s="268"/>
      <c r="H119" s="75">
        <f t="shared" si="85"/>
        <v>0</v>
      </c>
      <c r="I119" s="443"/>
      <c r="J119" s="76"/>
      <c r="K119" s="74"/>
      <c r="L119" s="77"/>
      <c r="M119" s="433"/>
      <c r="N119" s="74"/>
      <c r="O119" s="77"/>
      <c r="P119" s="78"/>
      <c r="Q119" s="79"/>
      <c r="R119" s="434"/>
      <c r="S119" s="622"/>
      <c r="T119" s="265"/>
      <c r="U119" s="265"/>
      <c r="V119" s="266"/>
      <c r="W119" s="427">
        <f t="shared" si="80"/>
        <v>0</v>
      </c>
      <c r="X119" s="253"/>
      <c r="Y119" s="253"/>
      <c r="Z119" s="254"/>
      <c r="AA119" s="254"/>
      <c r="AB119" s="616"/>
      <c r="AC119" s="616"/>
      <c r="AD119" s="258"/>
      <c r="AE119" s="258"/>
      <c r="AF119" s="78">
        <f t="shared" si="69"/>
        <v>0</v>
      </c>
      <c r="AG119" s="160" t="e">
        <f t="shared" si="70"/>
        <v>#DIV/0!</v>
      </c>
      <c r="AH119" s="615"/>
      <c r="AJ119" s="405" t="str">
        <f t="shared" si="88"/>
        <v/>
      </c>
      <c r="AK119" s="406" t="str">
        <f t="shared" si="89"/>
        <v/>
      </c>
    </row>
    <row r="120" spans="1:37" s="255" customFormat="1" ht="19.2" customHeight="1">
      <c r="A120" s="634"/>
      <c r="B120" s="430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443"/>
      <c r="J120" s="216"/>
      <c r="K120" s="270"/>
      <c r="L120" s="77"/>
      <c r="M120" s="433"/>
      <c r="N120" s="217"/>
      <c r="O120" s="262"/>
      <c r="P120" s="197"/>
      <c r="Q120" s="79"/>
      <c r="R120" s="434"/>
      <c r="S120" s="622"/>
      <c r="T120" s="265"/>
      <c r="U120" s="265"/>
      <c r="V120" s="266"/>
      <c r="W120" s="427">
        <f t="shared" si="80"/>
        <v>0</v>
      </c>
      <c r="X120" s="253"/>
      <c r="Y120" s="253"/>
      <c r="Z120" s="254"/>
      <c r="AA120" s="254"/>
      <c r="AB120" s="616"/>
      <c r="AC120" s="616"/>
      <c r="AD120" s="258"/>
      <c r="AE120" s="258"/>
      <c r="AF120" s="78">
        <f t="shared" si="69"/>
        <v>0</v>
      </c>
      <c r="AG120" s="160" t="e">
        <f t="shared" si="70"/>
        <v>#DIV/0!</v>
      </c>
      <c r="AH120" s="615"/>
      <c r="AJ120" s="405" t="str">
        <f t="shared" si="88"/>
        <v/>
      </c>
      <c r="AK120" s="406" t="str">
        <f t="shared" si="89"/>
        <v/>
      </c>
    </row>
    <row r="121" spans="1:37" ht="19.2" customHeight="1">
      <c r="A121" s="635"/>
      <c r="B121" s="156">
        <v>0</v>
      </c>
      <c r="C121" s="132" t="s">
        <v>295</v>
      </c>
      <c r="D121" s="271" t="s">
        <v>219</v>
      </c>
      <c r="E121" s="272"/>
      <c r="F121" s="205"/>
      <c r="G121" s="273"/>
      <c r="H121" s="274"/>
      <c r="I121" s="275"/>
      <c r="J121" s="238">
        <v>15.6</v>
      </c>
      <c r="K121" s="238">
        <v>1509</v>
      </c>
      <c r="L121" s="239">
        <v>101.22641999383487</v>
      </c>
      <c r="M121" s="238">
        <f>AVERAGE(M109:M120)</f>
        <v>15.6</v>
      </c>
      <c r="N121" s="238">
        <f t="shared" ref="N121:O121" si="90">AVERAGE(N109:N120)</f>
        <v>1394.5834999674776</v>
      </c>
      <c r="O121" s="239">
        <f t="shared" si="90"/>
        <v>93.728959501307529</v>
      </c>
      <c r="P121" s="78">
        <f t="shared" ref="P121:P130" si="91">M121-J121</f>
        <v>0</v>
      </c>
      <c r="Q121" s="79">
        <f t="shared" ref="Q121:Q130" si="92">O121-L121</f>
        <v>-7.4974604925273383</v>
      </c>
      <c r="R121" s="209">
        <f t="shared" ref="R121:R130" si="93">O121/L121</f>
        <v>0.92593375827196134</v>
      </c>
      <c r="S121" s="630"/>
      <c r="T121" s="198"/>
      <c r="U121" s="198"/>
      <c r="V121" s="74"/>
      <c r="W121" s="427">
        <f t="shared" si="80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616"/>
      <c r="AC121" s="616"/>
      <c r="AD121" s="139">
        <f>SUM(AD109:AD120)</f>
        <v>0</v>
      </c>
      <c r="AE121" s="139">
        <f>SUM(AE109:AE120)</f>
        <v>1</v>
      </c>
      <c r="AF121" s="78">
        <f>N121-K121</f>
        <v>-114.41650003252244</v>
      </c>
      <c r="AG121" s="160">
        <f>N121/K121</f>
        <v>0.92417726969349079</v>
      </c>
      <c r="AH121" s="615"/>
    </row>
    <row r="122" spans="1:37" ht="19.2" customHeight="1">
      <c r="A122" s="637" t="s">
        <v>296</v>
      </c>
      <c r="B122" s="168" t="s">
        <v>167</v>
      </c>
      <c r="C122" s="200"/>
      <c r="D122" s="214" t="s">
        <v>138</v>
      </c>
      <c r="E122" s="72"/>
      <c r="F122" s="73">
        <v>59.54</v>
      </c>
      <c r="G122" s="74">
        <v>991</v>
      </c>
      <c r="H122" s="75">
        <f t="shared" ref="H122:H132" si="94">F122*G122</f>
        <v>59004.14</v>
      </c>
      <c r="I122" s="430"/>
      <c r="J122" s="76">
        <v>18</v>
      </c>
      <c r="K122" s="74">
        <v>1385</v>
      </c>
      <c r="L122" s="77">
        <v>76.944444444444443</v>
      </c>
      <c r="M122" s="428">
        <v>18</v>
      </c>
      <c r="N122" s="212">
        <f t="shared" ref="N122:N130" si="95">G122/W122*60</f>
        <v>1292.608695652174</v>
      </c>
      <c r="O122" s="276">
        <f t="shared" ref="O122:O130" si="96">N122/M122</f>
        <v>71.811594202898561</v>
      </c>
      <c r="P122" s="140">
        <f t="shared" si="91"/>
        <v>0</v>
      </c>
      <c r="Q122" s="220">
        <f t="shared" si="92"/>
        <v>-5.1328502415458814</v>
      </c>
      <c r="R122" s="141">
        <f t="shared" si="93"/>
        <v>0.93329147700517989</v>
      </c>
      <c r="S122" s="631">
        <f>R134</f>
        <v>0.96566900376800635</v>
      </c>
      <c r="T122" s="198">
        <v>0.5</v>
      </c>
      <c r="U122" s="198">
        <v>0.53194444444444444</v>
      </c>
      <c r="V122" s="266">
        <v>5</v>
      </c>
      <c r="W122" s="427">
        <f t="shared" si="80"/>
        <v>46</v>
      </c>
      <c r="X122" s="83"/>
      <c r="Y122" s="83"/>
      <c r="Z122" s="84"/>
      <c r="AA122" s="84"/>
      <c r="AB122" s="616"/>
      <c r="AC122" s="616"/>
      <c r="AD122" s="443"/>
      <c r="AE122" s="443"/>
      <c r="AF122" s="78">
        <f t="shared" si="69"/>
        <v>-92.391304347826008</v>
      </c>
      <c r="AG122" s="434">
        <f t="shared" si="70"/>
        <v>0.93329147700517978</v>
      </c>
      <c r="AH122" s="630">
        <f>AG134</f>
        <v>0.9651087715604475</v>
      </c>
      <c r="AJ122" s="62" t="str">
        <f>A122</f>
        <v>綜合二組
(ET-55)</v>
      </c>
      <c r="AK122" s="404">
        <f>AVERAGE(AK123:AK133)</f>
        <v>6.2500000000000142</v>
      </c>
    </row>
    <row r="123" spans="1:37" ht="19.2" customHeight="1">
      <c r="A123" s="637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1264</v>
      </c>
      <c r="H123" s="75">
        <f t="shared" si="94"/>
        <v>74158.880000000005</v>
      </c>
      <c r="I123" s="443"/>
      <c r="J123" s="76">
        <v>19</v>
      </c>
      <c r="K123" s="74">
        <v>1440</v>
      </c>
      <c r="L123" s="77">
        <v>75.78947368421052</v>
      </c>
      <c r="M123" s="433">
        <v>19</v>
      </c>
      <c r="N123" s="85">
        <f t="shared" si="95"/>
        <v>1330.5263157894747</v>
      </c>
      <c r="O123" s="118">
        <f t="shared" si="96"/>
        <v>70.027700831024987</v>
      </c>
      <c r="P123" s="84">
        <f t="shared" si="91"/>
        <v>0</v>
      </c>
      <c r="Q123" s="119">
        <f t="shared" si="92"/>
        <v>-5.7617728531855334</v>
      </c>
      <c r="R123" s="437">
        <f t="shared" si="93"/>
        <v>0.92397660818713534</v>
      </c>
      <c r="S123" s="631"/>
      <c r="T123" s="198">
        <v>0.53680555555555554</v>
      </c>
      <c r="U123" s="198">
        <v>0.57638888888888884</v>
      </c>
      <c r="V123" s="266">
        <v>7</v>
      </c>
      <c r="W123" s="427">
        <f t="shared" si="80"/>
        <v>56.999999999999957</v>
      </c>
      <c r="X123" s="83"/>
      <c r="Y123" s="83"/>
      <c r="Z123" s="84"/>
      <c r="AA123" s="84"/>
      <c r="AB123" s="616"/>
      <c r="AC123" s="616"/>
      <c r="AD123" s="443"/>
      <c r="AE123" s="443"/>
      <c r="AF123" s="78">
        <f t="shared" si="69"/>
        <v>-109.47368421052533</v>
      </c>
      <c r="AG123" s="434">
        <f t="shared" si="70"/>
        <v>0.92397660818713523</v>
      </c>
      <c r="AH123" s="631"/>
      <c r="AJ123" s="405">
        <f t="shared" ref="AJ123:AJ133" si="97">IF((IF(V123&lt;10,V123,(X123-U122)*1440))=0,"",IF(V123&lt;10,V123,(X123-U122)*1440))</f>
        <v>7</v>
      </c>
      <c r="AK123" s="406">
        <f>IF(AJ123&gt;4,AJ123,"")</f>
        <v>7</v>
      </c>
    </row>
    <row r="124" spans="1:37" ht="19.2" customHeight="1">
      <c r="A124" s="637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1504</v>
      </c>
      <c r="H124" s="75">
        <f t="shared" si="94"/>
        <v>89518.080000000002</v>
      </c>
      <c r="I124" s="277"/>
      <c r="J124" s="76">
        <v>21</v>
      </c>
      <c r="K124" s="74">
        <v>1385</v>
      </c>
      <c r="L124" s="77">
        <v>65.952380952380949</v>
      </c>
      <c r="M124" s="428">
        <v>21</v>
      </c>
      <c r="N124" s="212">
        <f t="shared" si="95"/>
        <v>1289.1428571428557</v>
      </c>
      <c r="O124" s="276">
        <f t="shared" si="96"/>
        <v>61.387755102040749</v>
      </c>
      <c r="P124" s="140">
        <f t="shared" si="91"/>
        <v>0</v>
      </c>
      <c r="Q124" s="220">
        <f t="shared" si="92"/>
        <v>-4.5646258503401995</v>
      </c>
      <c r="R124" s="141">
        <f t="shared" si="93"/>
        <v>0.93078906652913773</v>
      </c>
      <c r="S124" s="638"/>
      <c r="T124" s="198">
        <v>0.59166666666666656</v>
      </c>
      <c r="U124" s="198">
        <v>0.64027777777777772</v>
      </c>
      <c r="V124" s="266">
        <v>22</v>
      </c>
      <c r="W124" s="427">
        <f t="shared" si="80"/>
        <v>70.000000000000071</v>
      </c>
      <c r="X124" s="227">
        <v>0.5805555555555556</v>
      </c>
      <c r="Y124" s="227">
        <v>0.59027777777777779</v>
      </c>
      <c r="Z124" s="84"/>
      <c r="AA124" s="84"/>
      <c r="AB124" s="616"/>
      <c r="AC124" s="616"/>
      <c r="AD124" s="443"/>
      <c r="AE124" s="443"/>
      <c r="AF124" s="140">
        <f t="shared" si="69"/>
        <v>-95.857142857144254</v>
      </c>
      <c r="AG124" s="141">
        <f t="shared" si="70"/>
        <v>0.93078906652913773</v>
      </c>
      <c r="AH124" s="631"/>
      <c r="AJ124" s="405">
        <f t="shared" si="97"/>
        <v>6.0000000000001386</v>
      </c>
      <c r="AK124" s="406">
        <f t="shared" ref="AK124:AK133" si="98">IF(AJ124&gt;4,AJ124,"")</f>
        <v>6.0000000000001386</v>
      </c>
    </row>
    <row r="125" spans="1:37" ht="19.2" customHeight="1">
      <c r="A125" s="637"/>
      <c r="B125" s="168" t="s">
        <v>166</v>
      </c>
      <c r="C125" s="127"/>
      <c r="D125" s="71" t="s">
        <v>190</v>
      </c>
      <c r="E125" s="72"/>
      <c r="F125" s="73">
        <v>47.6</v>
      </c>
      <c r="G125" s="74">
        <v>2027</v>
      </c>
      <c r="H125" s="75">
        <f t="shared" si="94"/>
        <v>96485.2</v>
      </c>
      <c r="I125" s="430"/>
      <c r="J125" s="76">
        <v>21</v>
      </c>
      <c r="K125" s="74">
        <v>1440</v>
      </c>
      <c r="L125" s="77">
        <v>68.571428571428569</v>
      </c>
      <c r="M125" s="428">
        <v>21</v>
      </c>
      <c r="N125" s="212">
        <f t="shared" si="95"/>
        <v>1430.8235294117644</v>
      </c>
      <c r="O125" s="276">
        <f t="shared" si="96"/>
        <v>68.13445378151259</v>
      </c>
      <c r="P125" s="140">
        <f t="shared" si="91"/>
        <v>0</v>
      </c>
      <c r="Q125" s="220">
        <f t="shared" si="92"/>
        <v>-0.43697478991597904</v>
      </c>
      <c r="R125" s="141">
        <f t="shared" si="93"/>
        <v>0.99362745098039196</v>
      </c>
      <c r="S125" s="638"/>
      <c r="T125" s="198">
        <v>0.70833333333333337</v>
      </c>
      <c r="U125" s="198">
        <v>0.76736111111111116</v>
      </c>
      <c r="V125" s="266">
        <v>5</v>
      </c>
      <c r="W125" s="427">
        <f t="shared" si="80"/>
        <v>85.000000000000014</v>
      </c>
      <c r="X125" s="93"/>
      <c r="Y125" s="93"/>
      <c r="Z125" s="84"/>
      <c r="AA125" s="84"/>
      <c r="AB125" s="616"/>
      <c r="AC125" s="616"/>
      <c r="AD125" s="443"/>
      <c r="AE125" s="443"/>
      <c r="AF125" s="78">
        <f t="shared" si="69"/>
        <v>-9.1764705882355884</v>
      </c>
      <c r="AG125" s="434">
        <f t="shared" si="70"/>
        <v>0.99362745098039196</v>
      </c>
      <c r="AH125" s="632"/>
      <c r="AJ125" s="405">
        <f t="shared" si="97"/>
        <v>5</v>
      </c>
      <c r="AK125" s="406">
        <f t="shared" si="98"/>
        <v>5</v>
      </c>
    </row>
    <row r="126" spans="1:37" ht="19.2" customHeight="1">
      <c r="A126" s="637"/>
      <c r="B126" s="168" t="s">
        <v>166</v>
      </c>
      <c r="C126" s="443"/>
      <c r="D126" s="278" t="s">
        <v>141</v>
      </c>
      <c r="E126" s="215"/>
      <c r="F126" s="73">
        <v>56.79</v>
      </c>
      <c r="G126" s="85">
        <v>1116</v>
      </c>
      <c r="H126" s="75">
        <f t="shared" si="94"/>
        <v>63377.64</v>
      </c>
      <c r="I126" s="443"/>
      <c r="J126" s="76">
        <v>18</v>
      </c>
      <c r="K126" s="74">
        <v>1636</v>
      </c>
      <c r="L126" s="77">
        <v>90.888888888888886</v>
      </c>
      <c r="M126" s="433">
        <v>18</v>
      </c>
      <c r="N126" s="85">
        <f t="shared" si="95"/>
        <v>1594.2857142857138</v>
      </c>
      <c r="O126" s="118">
        <f t="shared" si="96"/>
        <v>88.571428571428541</v>
      </c>
      <c r="P126" s="84">
        <f t="shared" si="91"/>
        <v>0</v>
      </c>
      <c r="Q126" s="119">
        <f t="shared" si="92"/>
        <v>-2.3174603174603448</v>
      </c>
      <c r="R126" s="437">
        <f t="shared" si="93"/>
        <v>0.97450227034579084</v>
      </c>
      <c r="S126" s="638"/>
      <c r="T126" s="198">
        <v>0.77222222222222225</v>
      </c>
      <c r="U126" s="198">
        <v>0.80138888888888893</v>
      </c>
      <c r="V126" s="266">
        <v>7</v>
      </c>
      <c r="W126" s="427">
        <f t="shared" si="80"/>
        <v>42.000000000000014</v>
      </c>
      <c r="X126" s="93"/>
      <c r="Y126" s="93"/>
      <c r="Z126" s="84"/>
      <c r="AA126" s="84"/>
      <c r="AB126" s="616"/>
      <c r="AC126" s="616"/>
      <c r="AD126" s="443"/>
      <c r="AE126" s="443"/>
      <c r="AF126" s="140">
        <f t="shared" si="69"/>
        <v>-41.714285714286234</v>
      </c>
      <c r="AG126" s="141">
        <f t="shared" si="70"/>
        <v>0.97450227034579084</v>
      </c>
      <c r="AH126" s="632"/>
      <c r="AJ126" s="405">
        <f t="shared" si="97"/>
        <v>7</v>
      </c>
      <c r="AK126" s="406">
        <f t="shared" si="98"/>
        <v>7</v>
      </c>
    </row>
    <row r="127" spans="1:37" ht="19.2" customHeight="1">
      <c r="A127" s="637"/>
      <c r="B127" s="168" t="s">
        <v>166</v>
      </c>
      <c r="C127" s="260"/>
      <c r="D127" s="279" t="s">
        <v>142</v>
      </c>
      <c r="E127" s="114"/>
      <c r="F127" s="73">
        <v>56.87</v>
      </c>
      <c r="G127" s="246">
        <v>948</v>
      </c>
      <c r="H127" s="75">
        <f t="shared" si="94"/>
        <v>53912.759999999995</v>
      </c>
      <c r="I127" s="258"/>
      <c r="J127" s="76">
        <v>18</v>
      </c>
      <c r="K127" s="74">
        <v>1636</v>
      </c>
      <c r="L127" s="77">
        <v>90.888888888888886</v>
      </c>
      <c r="M127" s="428">
        <v>18</v>
      </c>
      <c r="N127" s="85">
        <f t="shared" si="95"/>
        <v>1625.1428571428555</v>
      </c>
      <c r="O127" s="118">
        <f t="shared" si="96"/>
        <v>90.285714285714192</v>
      </c>
      <c r="P127" s="84">
        <f t="shared" si="91"/>
        <v>0</v>
      </c>
      <c r="Q127" s="119">
        <f t="shared" si="92"/>
        <v>-0.6031746031746934</v>
      </c>
      <c r="R127" s="437">
        <f t="shared" si="93"/>
        <v>0.9933636046105474</v>
      </c>
      <c r="S127" s="638"/>
      <c r="T127" s="198">
        <v>0.80555555555555558</v>
      </c>
      <c r="U127" s="198">
        <v>0.82986111111111116</v>
      </c>
      <c r="V127" s="430">
        <v>6</v>
      </c>
      <c r="W127" s="427">
        <f t="shared" si="80"/>
        <v>35.000000000000036</v>
      </c>
      <c r="X127" s="93"/>
      <c r="Y127" s="93"/>
      <c r="Z127" s="84"/>
      <c r="AA127" s="84"/>
      <c r="AB127" s="616"/>
      <c r="AC127" s="616"/>
      <c r="AD127" s="443"/>
      <c r="AE127" s="443"/>
      <c r="AF127" s="140">
        <f t="shared" si="69"/>
        <v>-10.857142857144481</v>
      </c>
      <c r="AG127" s="141">
        <f t="shared" si="70"/>
        <v>0.9933636046105474</v>
      </c>
      <c r="AH127" s="632"/>
      <c r="AJ127" s="405">
        <f t="shared" si="97"/>
        <v>6</v>
      </c>
      <c r="AK127" s="406">
        <f t="shared" si="98"/>
        <v>6</v>
      </c>
    </row>
    <row r="128" spans="1:37" ht="19.2" customHeight="1">
      <c r="A128" s="637"/>
      <c r="B128" s="168" t="s">
        <v>166</v>
      </c>
      <c r="C128" s="190"/>
      <c r="D128" s="88" t="s">
        <v>132</v>
      </c>
      <c r="E128" s="114"/>
      <c r="F128" s="73">
        <v>58.17</v>
      </c>
      <c r="G128" s="85">
        <v>806</v>
      </c>
      <c r="H128" s="75">
        <f t="shared" si="94"/>
        <v>46885.020000000004</v>
      </c>
      <c r="I128" s="443"/>
      <c r="J128" s="76">
        <v>16</v>
      </c>
      <c r="K128" s="74">
        <v>1636</v>
      </c>
      <c r="L128" s="77">
        <v>102.25</v>
      </c>
      <c r="M128" s="129">
        <v>16</v>
      </c>
      <c r="N128" s="212">
        <f t="shared" si="95"/>
        <v>1611.999999999997</v>
      </c>
      <c r="O128" s="276">
        <f t="shared" si="96"/>
        <v>100.74999999999982</v>
      </c>
      <c r="P128" s="140">
        <f t="shared" si="91"/>
        <v>0</v>
      </c>
      <c r="Q128" s="220">
        <f t="shared" si="92"/>
        <v>-1.5000000000001847</v>
      </c>
      <c r="R128" s="141">
        <f t="shared" si="93"/>
        <v>0.98533007334963141</v>
      </c>
      <c r="S128" s="638"/>
      <c r="T128" s="198">
        <v>0.84513888888888888</v>
      </c>
      <c r="U128" s="198">
        <v>0.86597222222222225</v>
      </c>
      <c r="V128" s="430">
        <v>22</v>
      </c>
      <c r="W128" s="427">
        <f t="shared" si="80"/>
        <v>30.000000000000053</v>
      </c>
      <c r="X128" s="93">
        <v>0.83472222222222225</v>
      </c>
      <c r="Y128" s="93">
        <v>0.84444444444444444</v>
      </c>
      <c r="Z128" s="84"/>
      <c r="AA128" s="84"/>
      <c r="AB128" s="616"/>
      <c r="AC128" s="616"/>
      <c r="AD128" s="443"/>
      <c r="AE128" s="443"/>
      <c r="AF128" s="78">
        <f t="shared" si="69"/>
        <v>-24.000000000002956</v>
      </c>
      <c r="AG128" s="434">
        <f t="shared" si="70"/>
        <v>0.98533007334963141</v>
      </c>
      <c r="AH128" s="632"/>
      <c r="AJ128" s="405">
        <f t="shared" si="97"/>
        <v>6.9999999999999751</v>
      </c>
      <c r="AK128" s="406">
        <f t="shared" si="98"/>
        <v>6.9999999999999751</v>
      </c>
    </row>
    <row r="129" spans="1:37" ht="19.2" customHeight="1">
      <c r="A129" s="637"/>
      <c r="B129" s="168" t="s">
        <v>166</v>
      </c>
      <c r="C129" s="190"/>
      <c r="D129" s="88" t="s">
        <v>144</v>
      </c>
      <c r="E129" s="90"/>
      <c r="F129" s="73">
        <v>57.3</v>
      </c>
      <c r="G129" s="85">
        <v>726</v>
      </c>
      <c r="H129" s="75">
        <f t="shared" si="94"/>
        <v>41599.799999999996</v>
      </c>
      <c r="I129" s="443"/>
      <c r="J129" s="76">
        <v>19</v>
      </c>
      <c r="K129" s="74">
        <v>1440</v>
      </c>
      <c r="L129" s="77">
        <v>75.78947368421052</v>
      </c>
      <c r="M129" s="129">
        <v>19</v>
      </c>
      <c r="N129" s="85">
        <f t="shared" si="95"/>
        <v>1405.1612903225785</v>
      </c>
      <c r="O129" s="118">
        <f t="shared" si="96"/>
        <v>73.955857385398872</v>
      </c>
      <c r="P129" s="84">
        <f t="shared" si="91"/>
        <v>0</v>
      </c>
      <c r="Q129" s="119">
        <f t="shared" si="92"/>
        <v>-1.8336162988116484</v>
      </c>
      <c r="R129" s="437">
        <f t="shared" si="93"/>
        <v>0.9758064516129018</v>
      </c>
      <c r="S129" s="638"/>
      <c r="T129" s="198">
        <v>0.87013888888888891</v>
      </c>
      <c r="U129" s="198">
        <v>0.89166666666666672</v>
      </c>
      <c r="V129" s="430">
        <v>6</v>
      </c>
      <c r="W129" s="427">
        <f t="shared" si="80"/>
        <v>31.00000000000005</v>
      </c>
      <c r="X129" s="93"/>
      <c r="Y129" s="93"/>
      <c r="Z129" s="84"/>
      <c r="AA129" s="84"/>
      <c r="AB129" s="616"/>
      <c r="AC129" s="616"/>
      <c r="AD129" s="443"/>
      <c r="AE129" s="443"/>
      <c r="AF129" s="140">
        <f t="shared" si="69"/>
        <v>-34.838709677421548</v>
      </c>
      <c r="AG129" s="141">
        <f t="shared" si="70"/>
        <v>0.97580645161290169</v>
      </c>
      <c r="AH129" s="632"/>
      <c r="AJ129" s="405">
        <f t="shared" si="97"/>
        <v>6</v>
      </c>
      <c r="AK129" s="406">
        <f t="shared" si="98"/>
        <v>6</v>
      </c>
    </row>
    <row r="130" spans="1:37" ht="19.2" customHeight="1">
      <c r="A130" s="637"/>
      <c r="B130" s="236" t="s">
        <v>166</v>
      </c>
      <c r="C130" s="190"/>
      <c r="D130" s="88" t="s">
        <v>143</v>
      </c>
      <c r="E130" s="90"/>
      <c r="F130" s="73">
        <v>50.67</v>
      </c>
      <c r="G130" s="85">
        <v>1182</v>
      </c>
      <c r="H130" s="75">
        <f t="shared" si="94"/>
        <v>59891.94</v>
      </c>
      <c r="I130" s="443"/>
      <c r="J130" s="76">
        <v>18</v>
      </c>
      <c r="K130" s="74">
        <v>1500</v>
      </c>
      <c r="L130" s="77">
        <v>83.333333333333329</v>
      </c>
      <c r="M130" s="433">
        <v>18</v>
      </c>
      <c r="N130" s="85">
        <f t="shared" si="95"/>
        <v>1447.3469387755106</v>
      </c>
      <c r="O130" s="118">
        <f t="shared" si="96"/>
        <v>80.408163265306143</v>
      </c>
      <c r="P130" s="84">
        <f t="shared" si="91"/>
        <v>0</v>
      </c>
      <c r="Q130" s="119">
        <f t="shared" si="92"/>
        <v>-2.9251700680271853</v>
      </c>
      <c r="R130" s="437">
        <f t="shared" si="93"/>
        <v>0.96489795918367383</v>
      </c>
      <c r="S130" s="638"/>
      <c r="T130" s="198">
        <v>0.89583333333333337</v>
      </c>
      <c r="U130" s="198">
        <v>0.92986111111111114</v>
      </c>
      <c r="V130" s="430">
        <v>6</v>
      </c>
      <c r="W130" s="427">
        <f t="shared" si="80"/>
        <v>48.999999999999986</v>
      </c>
      <c r="X130" s="93"/>
      <c r="Y130" s="93"/>
      <c r="Z130" s="84"/>
      <c r="AA130" s="84"/>
      <c r="AB130" s="616"/>
      <c r="AC130" s="616"/>
      <c r="AD130" s="443"/>
      <c r="AE130" s="443"/>
      <c r="AF130" s="140">
        <f t="shared" si="69"/>
        <v>-52.65306122448942</v>
      </c>
      <c r="AG130" s="141">
        <f t="shared" si="70"/>
        <v>0.96489795918367371</v>
      </c>
      <c r="AH130" s="632"/>
      <c r="AJ130" s="405">
        <f t="shared" si="97"/>
        <v>6</v>
      </c>
      <c r="AK130" s="406">
        <f t="shared" si="98"/>
        <v>6</v>
      </c>
    </row>
    <row r="131" spans="1:37" ht="19.2" customHeight="1">
      <c r="A131" s="637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4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638"/>
      <c r="T131" s="198"/>
      <c r="U131" s="198"/>
      <c r="V131" s="430"/>
      <c r="W131" s="427">
        <f t="shared" si="80"/>
        <v>0</v>
      </c>
      <c r="X131" s="93"/>
      <c r="Y131" s="93"/>
      <c r="Z131" s="84"/>
      <c r="AA131" s="84"/>
      <c r="AB131" s="616"/>
      <c r="AC131" s="616"/>
      <c r="AD131" s="443"/>
      <c r="AE131" s="443"/>
      <c r="AF131" s="78">
        <f t="shared" si="69"/>
        <v>0</v>
      </c>
      <c r="AG131" s="434" t="e">
        <f t="shared" si="70"/>
        <v>#DIV/0!</v>
      </c>
      <c r="AH131" s="632"/>
      <c r="AJ131" s="405" t="str">
        <f t="shared" si="97"/>
        <v/>
      </c>
      <c r="AK131" s="406" t="str">
        <f t="shared" si="98"/>
        <v/>
      </c>
    </row>
    <row r="132" spans="1:37" ht="19.2" customHeight="1">
      <c r="A132" s="637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4"/>
        <v>0</v>
      </c>
      <c r="I132" s="443"/>
      <c r="J132" s="129"/>
      <c r="K132" s="85"/>
      <c r="L132" s="118"/>
      <c r="M132" s="433"/>
      <c r="N132" s="85"/>
      <c r="O132" s="118"/>
      <c r="P132" s="84"/>
      <c r="Q132" s="119"/>
      <c r="R132" s="437"/>
      <c r="S132" s="638"/>
      <c r="T132" s="198"/>
      <c r="U132" s="198"/>
      <c r="V132" s="430"/>
      <c r="W132" s="427">
        <f t="shared" si="80"/>
        <v>0</v>
      </c>
      <c r="X132" s="93"/>
      <c r="Y132" s="93"/>
      <c r="Z132" s="84"/>
      <c r="AA132" s="84"/>
      <c r="AB132" s="616"/>
      <c r="AC132" s="616"/>
      <c r="AD132" s="443"/>
      <c r="AE132" s="443"/>
      <c r="AF132" s="104"/>
      <c r="AG132" s="435"/>
      <c r="AH132" s="632"/>
      <c r="AJ132" s="405" t="str">
        <f t="shared" si="97"/>
        <v/>
      </c>
      <c r="AK132" s="406" t="str">
        <f t="shared" si="98"/>
        <v/>
      </c>
    </row>
    <row r="133" spans="1:37" ht="19.2" customHeight="1">
      <c r="A133" s="637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443"/>
      <c r="J133" s="129"/>
      <c r="K133" s="85"/>
      <c r="L133" s="118"/>
      <c r="M133" s="433"/>
      <c r="N133" s="85"/>
      <c r="O133" s="118"/>
      <c r="P133" s="84"/>
      <c r="Q133" s="119"/>
      <c r="R133" s="437"/>
      <c r="S133" s="638"/>
      <c r="T133" s="198"/>
      <c r="U133" s="198"/>
      <c r="V133" s="430"/>
      <c r="W133" s="282">
        <f t="shared" si="80"/>
        <v>0</v>
      </c>
      <c r="X133" s="93"/>
      <c r="Y133" s="93"/>
      <c r="Z133" s="84"/>
      <c r="AA133" s="84"/>
      <c r="AB133" s="616"/>
      <c r="AC133" s="616"/>
      <c r="AD133" s="443"/>
      <c r="AE133" s="443"/>
      <c r="AF133" s="104"/>
      <c r="AG133" s="435"/>
      <c r="AH133" s="632"/>
      <c r="AJ133" s="405" t="str">
        <f t="shared" si="97"/>
        <v/>
      </c>
      <c r="AK133" s="406" t="str">
        <f t="shared" si="98"/>
        <v/>
      </c>
    </row>
    <row r="134" spans="1:37" ht="19.2" customHeight="1">
      <c r="A134" s="637"/>
      <c r="B134" s="203">
        <v>0</v>
      </c>
      <c r="C134" s="132" t="s">
        <v>297</v>
      </c>
      <c r="D134" s="612" t="s">
        <v>219</v>
      </c>
      <c r="E134" s="612"/>
      <c r="F134" s="222"/>
      <c r="G134" s="103"/>
      <c r="H134" s="134"/>
      <c r="I134" s="283"/>
      <c r="J134" s="284">
        <v>18.666666666666668</v>
      </c>
      <c r="K134" s="284">
        <v>1499.7777777777778</v>
      </c>
      <c r="L134" s="285">
        <v>81.156479160865132</v>
      </c>
      <c r="M134" s="284">
        <f t="shared" ref="M134:O134" si="99">AVERAGE(M122:M133)</f>
        <v>18.666666666666668</v>
      </c>
      <c r="N134" s="284">
        <f t="shared" si="99"/>
        <v>1447.448688724769</v>
      </c>
      <c r="O134" s="285">
        <f t="shared" si="99"/>
        <v>78.370296380591597</v>
      </c>
      <c r="P134" s="81">
        <f t="shared" ref="P134:P142" si="100">M134-J134</f>
        <v>0</v>
      </c>
      <c r="Q134" s="178">
        <f t="shared" ref="Q134:Q142" si="101">O134-L134</f>
        <v>-2.7861827802735348</v>
      </c>
      <c r="R134" s="286">
        <f t="shared" ref="R134:R142" si="102">O134/L134</f>
        <v>0.96566900376800635</v>
      </c>
      <c r="S134" s="631"/>
      <c r="T134" s="198"/>
      <c r="U134" s="198"/>
      <c r="V134" s="430"/>
      <c r="W134" s="430"/>
      <c r="X134" s="83"/>
      <c r="Y134" s="83"/>
      <c r="Z134" s="138">
        <f>SUM(Z122:Z133)</f>
        <v>0</v>
      </c>
      <c r="AA134" s="138">
        <f>SUM(AA122:AA133)</f>
        <v>0</v>
      </c>
      <c r="AB134" s="616"/>
      <c r="AC134" s="616"/>
      <c r="AD134" s="139">
        <f>SUM(AD122:AD133)</f>
        <v>0</v>
      </c>
      <c r="AE134" s="139">
        <f>SUM(AE122:AE133)</f>
        <v>0</v>
      </c>
      <c r="AF134" s="78">
        <f t="shared" si="69"/>
        <v>-52.329089053008829</v>
      </c>
      <c r="AG134" s="434">
        <f t="shared" si="70"/>
        <v>0.9651087715604475</v>
      </c>
      <c r="AH134" s="632"/>
    </row>
    <row r="135" spans="1:37" ht="19.2" customHeight="1">
      <c r="A135" s="618" t="s">
        <v>298</v>
      </c>
      <c r="B135" s="430" t="s">
        <v>166</v>
      </c>
      <c r="C135" s="443"/>
      <c r="D135" s="113" t="s">
        <v>120</v>
      </c>
      <c r="E135" s="114"/>
      <c r="F135" s="73">
        <v>54.09</v>
      </c>
      <c r="G135" s="85">
        <v>1352.8000000000002</v>
      </c>
      <c r="H135" s="287">
        <f t="shared" ref="H135:H146" si="103">F135*G135</f>
        <v>73172.952000000019</v>
      </c>
      <c r="I135" s="443"/>
      <c r="J135" s="76">
        <v>16</v>
      </c>
      <c r="K135" s="85">
        <v>1500</v>
      </c>
      <c r="L135" s="118">
        <v>93.75</v>
      </c>
      <c r="M135" s="267">
        <v>17</v>
      </c>
      <c r="N135" s="85">
        <f t="shared" ref="N135:N142" si="104">G135/W135*60</f>
        <v>1288.3809523809537</v>
      </c>
      <c r="O135" s="149">
        <f t="shared" ref="O135:O142" si="105">N135/M135</f>
        <v>75.787114845938447</v>
      </c>
      <c r="P135" s="84">
        <f t="shared" si="100"/>
        <v>1</v>
      </c>
      <c r="Q135" s="119">
        <f t="shared" si="101"/>
        <v>-17.962885154061553</v>
      </c>
      <c r="R135" s="437">
        <f t="shared" si="102"/>
        <v>0.80839589169001014</v>
      </c>
      <c r="S135" s="622">
        <f>R147</f>
        <v>0.89054146342646823</v>
      </c>
      <c r="T135" s="288">
        <v>0.5</v>
      </c>
      <c r="U135" s="198">
        <v>0.54374999999999996</v>
      </c>
      <c r="V135" s="153">
        <v>5</v>
      </c>
      <c r="W135" s="289">
        <f t="shared" ref="W135:W147" si="106">(U135-T135)*24*60</f>
        <v>62.999999999999936</v>
      </c>
      <c r="X135" s="83"/>
      <c r="Y135" s="83"/>
      <c r="Z135" s="84"/>
      <c r="AA135" s="84"/>
      <c r="AB135" s="616"/>
      <c r="AC135" s="616"/>
      <c r="AD135" s="443"/>
      <c r="AE135" s="443"/>
      <c r="AF135" s="150">
        <f t="shared" si="69"/>
        <v>-211.61904761904634</v>
      </c>
      <c r="AG135" s="155">
        <f t="shared" si="70"/>
        <v>0.85892063492063575</v>
      </c>
      <c r="AH135" s="615">
        <f>AG147</f>
        <v>0.9011394015348011</v>
      </c>
      <c r="AJ135" s="62" t="str">
        <f>A135</f>
        <v>綜合三組
(ET-55)</v>
      </c>
      <c r="AK135" s="404">
        <f>AVERAGE(AK136:AK146)</f>
        <v>7.0000000000000551</v>
      </c>
    </row>
    <row r="136" spans="1:37" ht="19.2" customHeight="1">
      <c r="A136" s="619"/>
      <c r="B136" s="430" t="s">
        <v>166</v>
      </c>
      <c r="C136" s="443"/>
      <c r="D136" s="113" t="s">
        <v>145</v>
      </c>
      <c r="E136" s="114"/>
      <c r="F136" s="73">
        <v>50.67</v>
      </c>
      <c r="G136" s="85">
        <v>982</v>
      </c>
      <c r="H136" s="116">
        <f t="shared" si="103"/>
        <v>49757.94</v>
      </c>
      <c r="I136" s="443"/>
      <c r="J136" s="76">
        <v>18</v>
      </c>
      <c r="K136" s="85">
        <v>1500</v>
      </c>
      <c r="L136" s="118">
        <v>83.333333333333329</v>
      </c>
      <c r="M136" s="433">
        <v>18</v>
      </c>
      <c r="N136" s="85">
        <f t="shared" si="104"/>
        <v>1309.3333333333335</v>
      </c>
      <c r="O136" s="118">
        <f t="shared" si="105"/>
        <v>72.740740740740748</v>
      </c>
      <c r="P136" s="84">
        <f t="shared" si="100"/>
        <v>0</v>
      </c>
      <c r="Q136" s="119">
        <f t="shared" si="101"/>
        <v>-10.592592592592581</v>
      </c>
      <c r="R136" s="437">
        <f t="shared" si="102"/>
        <v>0.87288888888888905</v>
      </c>
      <c r="S136" s="622"/>
      <c r="T136" s="288">
        <v>0.54930555555555549</v>
      </c>
      <c r="U136" s="198">
        <v>0.58055555555555549</v>
      </c>
      <c r="V136" s="153">
        <v>8</v>
      </c>
      <c r="W136" s="289">
        <f t="shared" si="106"/>
        <v>45</v>
      </c>
      <c r="X136" s="83"/>
      <c r="Y136" s="83"/>
      <c r="Z136" s="84"/>
      <c r="AA136" s="84"/>
      <c r="AB136" s="616"/>
      <c r="AC136" s="616"/>
      <c r="AD136" s="443"/>
      <c r="AE136" s="443"/>
      <c r="AF136" s="78">
        <f t="shared" si="69"/>
        <v>-190.66666666666652</v>
      </c>
      <c r="AG136" s="160">
        <f t="shared" si="70"/>
        <v>0.87288888888888894</v>
      </c>
      <c r="AH136" s="615"/>
      <c r="AJ136" s="405">
        <f t="shared" ref="AJ136:AJ146" si="107">IF((IF(V136&lt;10,V136,(X136-U135)*1440))=0,"",IF(V136&lt;10,V136,(X136-U135)*1440))</f>
        <v>8</v>
      </c>
      <c r="AK136" s="406">
        <f>IF(AJ136&gt;4,AJ136,"")</f>
        <v>8</v>
      </c>
    </row>
    <row r="137" spans="1:37" ht="19.2" customHeight="1">
      <c r="A137" s="619"/>
      <c r="B137" s="430" t="s">
        <v>166</v>
      </c>
      <c r="C137" s="443"/>
      <c r="D137" s="113" t="s">
        <v>146</v>
      </c>
      <c r="E137" s="114"/>
      <c r="F137" s="73">
        <v>53.27</v>
      </c>
      <c r="G137" s="246">
        <v>984</v>
      </c>
      <c r="H137" s="116">
        <f t="shared" si="103"/>
        <v>52417.68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04"/>
        <v>1283.4782608695652</v>
      </c>
      <c r="O137" s="149">
        <f t="shared" si="105"/>
        <v>80.217391304347828</v>
      </c>
      <c r="P137" s="84">
        <f t="shared" si="100"/>
        <v>0</v>
      </c>
      <c r="Q137" s="119">
        <f t="shared" si="101"/>
        <v>-13.532608695652172</v>
      </c>
      <c r="R137" s="437">
        <f t="shared" si="102"/>
        <v>0.85565217391304349</v>
      </c>
      <c r="S137" s="622"/>
      <c r="T137" s="198">
        <v>0.59652777777777777</v>
      </c>
      <c r="U137" s="198">
        <v>0.62847222222222221</v>
      </c>
      <c r="V137" s="290">
        <v>23</v>
      </c>
      <c r="W137" s="289">
        <f t="shared" si="106"/>
        <v>46</v>
      </c>
      <c r="X137" s="83">
        <v>0.58472222222222225</v>
      </c>
      <c r="Y137" s="83">
        <v>0.59583333333333333</v>
      </c>
      <c r="Z137" s="84"/>
      <c r="AA137" s="84"/>
      <c r="AB137" s="616"/>
      <c r="AC137" s="616"/>
      <c r="AD137" s="443"/>
      <c r="AE137" s="443"/>
      <c r="AF137" s="78">
        <f t="shared" si="69"/>
        <v>-216.52173913043475</v>
      </c>
      <c r="AG137" s="160">
        <f t="shared" si="70"/>
        <v>0.85565217391304349</v>
      </c>
      <c r="AH137" s="615"/>
      <c r="AJ137" s="405">
        <f t="shared" si="107"/>
        <v>6.0000000000001386</v>
      </c>
      <c r="AK137" s="406">
        <f t="shared" ref="AK137:AK146" si="108">IF(AJ137&gt;4,AJ137,"")</f>
        <v>6.0000000000001386</v>
      </c>
    </row>
    <row r="138" spans="1:37" ht="19.2" customHeight="1">
      <c r="A138" s="619"/>
      <c r="B138" s="430" t="s">
        <v>166</v>
      </c>
      <c r="C138" s="260"/>
      <c r="D138" s="113" t="s">
        <v>147</v>
      </c>
      <c r="E138" s="114"/>
      <c r="F138" s="73">
        <v>57.734999999999999</v>
      </c>
      <c r="G138" s="85">
        <v>1443</v>
      </c>
      <c r="H138" s="116">
        <f t="shared" si="103"/>
        <v>83311.604999999996</v>
      </c>
      <c r="I138" s="443"/>
      <c r="J138" s="129">
        <v>16</v>
      </c>
      <c r="K138" s="85">
        <v>1565</v>
      </c>
      <c r="L138" s="118">
        <v>97.8125</v>
      </c>
      <c r="M138" s="267">
        <v>16</v>
      </c>
      <c r="N138" s="85">
        <f t="shared" si="104"/>
        <v>1273.2352941176455</v>
      </c>
      <c r="O138" s="118">
        <f t="shared" si="105"/>
        <v>79.577205882352843</v>
      </c>
      <c r="P138" s="84">
        <f t="shared" si="100"/>
        <v>0</v>
      </c>
      <c r="Q138" s="119">
        <f t="shared" si="101"/>
        <v>-18.235294117647157</v>
      </c>
      <c r="R138" s="437">
        <f t="shared" si="102"/>
        <v>0.81356887803044442</v>
      </c>
      <c r="S138" s="622"/>
      <c r="T138" s="198">
        <v>0.6333333333333333</v>
      </c>
      <c r="U138" s="198">
        <v>0.68055555555555558</v>
      </c>
      <c r="V138" s="290">
        <v>7</v>
      </c>
      <c r="W138" s="289">
        <f t="shared" si="106"/>
        <v>68.000000000000085</v>
      </c>
      <c r="X138" s="83"/>
      <c r="Y138" s="83"/>
      <c r="Z138" s="84"/>
      <c r="AA138" s="84"/>
      <c r="AB138" s="616"/>
      <c r="AC138" s="616"/>
      <c r="AD138" s="443"/>
      <c r="AE138" s="443"/>
      <c r="AF138" s="78">
        <f t="shared" si="69"/>
        <v>-291.76470588235452</v>
      </c>
      <c r="AG138" s="160">
        <f t="shared" si="70"/>
        <v>0.81356887803044442</v>
      </c>
      <c r="AH138" s="615"/>
      <c r="AJ138" s="405">
        <f t="shared" si="107"/>
        <v>7</v>
      </c>
      <c r="AK138" s="406">
        <f t="shared" si="108"/>
        <v>7</v>
      </c>
    </row>
    <row r="139" spans="1:37" ht="19.2" customHeight="1">
      <c r="A139" s="619"/>
      <c r="B139" s="430" t="s">
        <v>166</v>
      </c>
      <c r="C139" s="440"/>
      <c r="D139" s="71" t="s">
        <v>148</v>
      </c>
      <c r="E139" s="72"/>
      <c r="F139" s="73">
        <v>50.98</v>
      </c>
      <c r="G139" s="85">
        <v>1328</v>
      </c>
      <c r="H139" s="116">
        <f t="shared" si="103"/>
        <v>67701.440000000002</v>
      </c>
      <c r="I139" s="443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04"/>
        <v>1373.7931034482767</v>
      </c>
      <c r="O139" s="149">
        <f t="shared" si="105"/>
        <v>68.689655172413836</v>
      </c>
      <c r="P139" s="84">
        <f t="shared" si="100"/>
        <v>0</v>
      </c>
      <c r="Q139" s="119">
        <f t="shared" si="101"/>
        <v>-3.3103448275861638</v>
      </c>
      <c r="R139" s="437">
        <f t="shared" si="102"/>
        <v>0.95402298850574774</v>
      </c>
      <c r="S139" s="622"/>
      <c r="T139" s="198">
        <v>0.72083333333333333</v>
      </c>
      <c r="U139" s="198">
        <v>0.76111111111111107</v>
      </c>
      <c r="V139" s="291">
        <v>5</v>
      </c>
      <c r="W139" s="289">
        <f t="shared" si="106"/>
        <v>57.999999999999957</v>
      </c>
      <c r="X139" s="83"/>
      <c r="Y139" s="83"/>
      <c r="Z139" s="84"/>
      <c r="AA139" s="84"/>
      <c r="AB139" s="616"/>
      <c r="AC139" s="616"/>
      <c r="AD139" s="443"/>
      <c r="AE139" s="443"/>
      <c r="AF139" s="78">
        <f t="shared" si="69"/>
        <v>-66.206896551723275</v>
      </c>
      <c r="AG139" s="160">
        <f t="shared" si="70"/>
        <v>0.95402298850574774</v>
      </c>
      <c r="AH139" s="615"/>
      <c r="AJ139" s="405">
        <f t="shared" si="107"/>
        <v>5</v>
      </c>
      <c r="AK139" s="406">
        <f t="shared" si="108"/>
        <v>5</v>
      </c>
    </row>
    <row r="140" spans="1:37" ht="19.2" customHeight="1">
      <c r="A140" s="620"/>
      <c r="B140" s="430" t="s">
        <v>166</v>
      </c>
      <c r="C140" s="440"/>
      <c r="D140" s="292" t="s">
        <v>149</v>
      </c>
      <c r="E140" s="114"/>
      <c r="F140" s="73">
        <v>50.92</v>
      </c>
      <c r="G140" s="85">
        <v>1427</v>
      </c>
      <c r="H140" s="116">
        <f t="shared" si="103"/>
        <v>72662.84</v>
      </c>
      <c r="I140" s="443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04"/>
        <v>1403.6065573770506</v>
      </c>
      <c r="O140" s="149">
        <f t="shared" si="105"/>
        <v>73.874029335634248</v>
      </c>
      <c r="P140" s="84">
        <f t="shared" si="100"/>
        <v>0</v>
      </c>
      <c r="Q140" s="119">
        <f t="shared" si="101"/>
        <v>-1.9154443485762727</v>
      </c>
      <c r="R140" s="437">
        <f t="shared" si="102"/>
        <v>0.97472677595628532</v>
      </c>
      <c r="S140" s="623"/>
      <c r="T140" s="232">
        <v>0.76666666666666661</v>
      </c>
      <c r="U140" s="293">
        <v>0.80902777777777768</v>
      </c>
      <c r="V140" s="294">
        <v>8</v>
      </c>
      <c r="W140" s="289">
        <f t="shared" si="106"/>
        <v>60.999999999999943</v>
      </c>
      <c r="X140" s="83"/>
      <c r="Y140" s="83"/>
      <c r="Z140" s="84"/>
      <c r="AA140" s="84"/>
      <c r="AB140" s="616"/>
      <c r="AC140" s="616"/>
      <c r="AD140" s="443"/>
      <c r="AE140" s="443"/>
      <c r="AF140" s="78">
        <f t="shared" si="69"/>
        <v>-36.393442622949351</v>
      </c>
      <c r="AG140" s="160">
        <f t="shared" si="70"/>
        <v>0.97472677595628521</v>
      </c>
      <c r="AH140" s="615"/>
      <c r="AJ140" s="405">
        <f t="shared" si="107"/>
        <v>8</v>
      </c>
      <c r="AK140" s="406">
        <f t="shared" si="108"/>
        <v>8</v>
      </c>
    </row>
    <row r="141" spans="1:37" ht="19.2" customHeight="1">
      <c r="A141" s="620"/>
      <c r="B141" s="430" t="s">
        <v>166</v>
      </c>
      <c r="C141" s="440"/>
      <c r="D141" s="71" t="s">
        <v>155</v>
      </c>
      <c r="E141" s="295"/>
      <c r="F141" s="73">
        <v>54.09</v>
      </c>
      <c r="G141" s="85">
        <v>942</v>
      </c>
      <c r="H141" s="116">
        <f t="shared" si="103"/>
        <v>50952.780000000006</v>
      </c>
      <c r="I141" s="443"/>
      <c r="J141" s="76">
        <v>19</v>
      </c>
      <c r="K141" s="74">
        <v>1440</v>
      </c>
      <c r="L141" s="77">
        <v>75.78947368421052</v>
      </c>
      <c r="M141" s="267">
        <v>19</v>
      </c>
      <c r="N141" s="85">
        <f t="shared" si="104"/>
        <v>1345.7142857142851</v>
      </c>
      <c r="O141" s="118">
        <f t="shared" si="105"/>
        <v>70.827067669172905</v>
      </c>
      <c r="P141" s="84">
        <f t="shared" si="100"/>
        <v>0</v>
      </c>
      <c r="Q141" s="119">
        <f t="shared" si="101"/>
        <v>-4.9624060150376152</v>
      </c>
      <c r="R141" s="437">
        <f t="shared" si="102"/>
        <v>0.9345238095238092</v>
      </c>
      <c r="S141" s="623"/>
      <c r="T141" s="232">
        <v>0.8243055555555554</v>
      </c>
      <c r="U141" s="293">
        <v>0.85347222222222208</v>
      </c>
      <c r="V141" s="86">
        <v>22</v>
      </c>
      <c r="W141" s="289">
        <f t="shared" si="106"/>
        <v>42.000000000000014</v>
      </c>
      <c r="X141" s="83">
        <v>0.81388888888888899</v>
      </c>
      <c r="Y141" s="83">
        <v>0.82361111111111107</v>
      </c>
      <c r="Z141" s="84"/>
      <c r="AA141" s="84"/>
      <c r="AB141" s="616"/>
      <c r="AC141" s="616"/>
      <c r="AD141" s="443"/>
      <c r="AE141" s="443"/>
      <c r="AF141" s="78">
        <f t="shared" si="69"/>
        <v>-94.285714285714903</v>
      </c>
      <c r="AG141" s="160">
        <f t="shared" si="70"/>
        <v>0.93452380952380909</v>
      </c>
      <c r="AH141" s="615"/>
      <c r="AJ141" s="405">
        <f t="shared" si="107"/>
        <v>7.0000000000002949</v>
      </c>
      <c r="AK141" s="406">
        <f t="shared" si="108"/>
        <v>7.0000000000002949</v>
      </c>
    </row>
    <row r="142" spans="1:37" ht="19.2" customHeight="1">
      <c r="A142" s="620"/>
      <c r="B142" s="430" t="s">
        <v>166</v>
      </c>
      <c r="C142" s="440"/>
      <c r="D142" s="71" t="s">
        <v>193</v>
      </c>
      <c r="E142" s="295"/>
      <c r="F142" s="73">
        <v>50.67</v>
      </c>
      <c r="G142" s="85">
        <v>1337</v>
      </c>
      <c r="H142" s="116">
        <f t="shared" si="103"/>
        <v>67745.790000000008</v>
      </c>
      <c r="I142" s="443"/>
      <c r="J142" s="76">
        <v>17</v>
      </c>
      <c r="K142" s="74">
        <v>1500</v>
      </c>
      <c r="L142" s="77">
        <v>88.235294117647058</v>
      </c>
      <c r="M142" s="267">
        <v>17</v>
      </c>
      <c r="N142" s="85">
        <f t="shared" si="104"/>
        <v>1432.5000000000011</v>
      </c>
      <c r="O142" s="149">
        <f t="shared" si="105"/>
        <v>84.264705882353013</v>
      </c>
      <c r="P142" s="84">
        <f t="shared" si="100"/>
        <v>0</v>
      </c>
      <c r="Q142" s="119">
        <f t="shared" si="101"/>
        <v>-3.9705882352940449</v>
      </c>
      <c r="R142" s="437">
        <f t="shared" si="102"/>
        <v>0.95500000000000085</v>
      </c>
      <c r="S142" s="623"/>
      <c r="T142" s="232">
        <v>0.85833333333333317</v>
      </c>
      <c r="U142" s="293">
        <v>0.89722222222222203</v>
      </c>
      <c r="V142" s="86">
        <v>7</v>
      </c>
      <c r="W142" s="289">
        <f t="shared" si="106"/>
        <v>55.999999999999957</v>
      </c>
      <c r="X142" s="83"/>
      <c r="Y142" s="83"/>
      <c r="Z142" s="84"/>
      <c r="AA142" s="84"/>
      <c r="AB142" s="616"/>
      <c r="AC142" s="616"/>
      <c r="AD142" s="443"/>
      <c r="AE142" s="443"/>
      <c r="AF142" s="78">
        <f t="shared" si="69"/>
        <v>-67.499999999998863</v>
      </c>
      <c r="AG142" s="160">
        <f t="shared" si="70"/>
        <v>0.95500000000000074</v>
      </c>
      <c r="AH142" s="615"/>
      <c r="AJ142" s="405">
        <f t="shared" si="107"/>
        <v>7</v>
      </c>
      <c r="AK142" s="406">
        <f t="shared" si="108"/>
        <v>7</v>
      </c>
    </row>
    <row r="143" spans="1:37" ht="19.2" customHeight="1">
      <c r="A143" s="620"/>
      <c r="B143" s="430" t="s">
        <v>166</v>
      </c>
      <c r="C143" s="296"/>
      <c r="D143" s="113" t="s">
        <v>137</v>
      </c>
      <c r="E143" s="114"/>
      <c r="F143" s="73">
        <v>56.43</v>
      </c>
      <c r="G143" s="85">
        <v>794</v>
      </c>
      <c r="H143" s="116">
        <f t="shared" si="103"/>
        <v>44805.42</v>
      </c>
      <c r="I143" s="443"/>
      <c r="J143" s="76"/>
      <c r="K143" s="74"/>
      <c r="L143" s="77"/>
      <c r="M143" s="267">
        <v>17</v>
      </c>
      <c r="N143" s="85"/>
      <c r="O143" s="118"/>
      <c r="P143" s="84"/>
      <c r="Q143" s="119"/>
      <c r="R143" s="437"/>
      <c r="S143" s="623"/>
      <c r="T143" s="232">
        <v>0.90277777777777757</v>
      </c>
      <c r="U143" s="293">
        <v>0.92569444444444426</v>
      </c>
      <c r="V143" s="86">
        <v>8</v>
      </c>
      <c r="W143" s="289">
        <f t="shared" si="106"/>
        <v>33.000000000000043</v>
      </c>
      <c r="X143" s="83"/>
      <c r="Y143" s="83"/>
      <c r="Z143" s="84"/>
      <c r="AA143" s="84"/>
      <c r="AB143" s="616"/>
      <c r="AC143" s="616"/>
      <c r="AD143" s="443"/>
      <c r="AE143" s="443"/>
      <c r="AF143" s="78">
        <f t="shared" si="69"/>
        <v>0</v>
      </c>
      <c r="AG143" s="160" t="e">
        <f t="shared" si="70"/>
        <v>#DIV/0!</v>
      </c>
      <c r="AH143" s="615"/>
      <c r="AJ143" s="405">
        <f t="shared" si="107"/>
        <v>8</v>
      </c>
      <c r="AK143" s="406">
        <f t="shared" si="108"/>
        <v>8</v>
      </c>
    </row>
    <row r="144" spans="1:37" ht="19.2" customHeight="1">
      <c r="A144" s="620"/>
      <c r="B144" s="430">
        <v>0</v>
      </c>
      <c r="C144" s="440"/>
      <c r="D144" s="71"/>
      <c r="E144" s="295"/>
      <c r="F144" s="73" t="s">
        <v>161</v>
      </c>
      <c r="G144" s="85"/>
      <c r="H144" s="116">
        <f t="shared" si="103"/>
        <v>0</v>
      </c>
      <c r="I144" s="443"/>
      <c r="J144" s="129"/>
      <c r="K144" s="85"/>
      <c r="L144" s="118"/>
      <c r="M144" s="433"/>
      <c r="N144" s="85"/>
      <c r="O144" s="149"/>
      <c r="P144" s="84"/>
      <c r="Q144" s="119"/>
      <c r="R144" s="437"/>
      <c r="S144" s="623"/>
      <c r="T144" s="232"/>
      <c r="U144" s="293"/>
      <c r="V144" s="86"/>
      <c r="W144" s="289">
        <f t="shared" si="106"/>
        <v>0</v>
      </c>
      <c r="X144" s="83"/>
      <c r="Y144" s="83"/>
      <c r="Z144" s="84"/>
      <c r="AA144" s="84"/>
      <c r="AB144" s="616"/>
      <c r="AC144" s="616"/>
      <c r="AD144" s="443"/>
      <c r="AE144" s="443"/>
      <c r="AF144" s="78">
        <f t="shared" si="69"/>
        <v>0</v>
      </c>
      <c r="AG144" s="160" t="e">
        <f t="shared" si="70"/>
        <v>#DIV/0!</v>
      </c>
      <c r="AH144" s="615"/>
      <c r="AJ144" s="405" t="str">
        <f t="shared" si="107"/>
        <v/>
      </c>
      <c r="AK144" s="406" t="str">
        <f t="shared" si="108"/>
        <v/>
      </c>
    </row>
    <row r="145" spans="1:37" ht="19.2" customHeight="1">
      <c r="A145" s="620"/>
      <c r="B145" s="430">
        <v>0</v>
      </c>
      <c r="C145" s="440"/>
      <c r="D145" s="71"/>
      <c r="E145" s="295"/>
      <c r="F145" s="73" t="s">
        <v>161</v>
      </c>
      <c r="G145" s="85"/>
      <c r="H145" s="116">
        <f t="shared" si="103"/>
        <v>0</v>
      </c>
      <c r="I145" s="443"/>
      <c r="J145" s="129"/>
      <c r="K145" s="85"/>
      <c r="L145" s="118"/>
      <c r="M145" s="433"/>
      <c r="N145" s="85"/>
      <c r="O145" s="118"/>
      <c r="P145" s="84"/>
      <c r="Q145" s="119"/>
      <c r="R145" s="437"/>
      <c r="S145" s="623"/>
      <c r="T145" s="232"/>
      <c r="U145" s="293"/>
      <c r="V145" s="86"/>
      <c r="W145" s="289">
        <f t="shared" si="106"/>
        <v>0</v>
      </c>
      <c r="X145" s="83"/>
      <c r="Y145" s="83"/>
      <c r="Z145" s="84"/>
      <c r="AA145" s="84"/>
      <c r="AB145" s="616"/>
      <c r="AC145" s="616"/>
      <c r="AD145" s="443"/>
      <c r="AE145" s="443"/>
      <c r="AF145" s="78">
        <f t="shared" si="69"/>
        <v>0</v>
      </c>
      <c r="AG145" s="160" t="e">
        <f t="shared" si="70"/>
        <v>#DIV/0!</v>
      </c>
      <c r="AH145" s="615"/>
      <c r="AJ145" s="405" t="str">
        <f t="shared" si="107"/>
        <v/>
      </c>
      <c r="AK145" s="406" t="str">
        <f t="shared" si="108"/>
        <v/>
      </c>
    </row>
    <row r="146" spans="1:37" ht="19.2" customHeight="1">
      <c r="A146" s="620"/>
      <c r="B146" s="432">
        <v>0</v>
      </c>
      <c r="C146" s="296"/>
      <c r="D146" s="297"/>
      <c r="E146" s="295"/>
      <c r="F146" s="73" t="s">
        <v>161</v>
      </c>
      <c r="G146" s="85"/>
      <c r="H146" s="116">
        <f t="shared" si="103"/>
        <v>0</v>
      </c>
      <c r="I146" s="443"/>
      <c r="J146" s="129"/>
      <c r="K146" s="85"/>
      <c r="L146" s="118"/>
      <c r="M146" s="433"/>
      <c r="N146" s="85"/>
      <c r="O146" s="118"/>
      <c r="P146" s="84"/>
      <c r="Q146" s="119"/>
      <c r="R146" s="437"/>
      <c r="S146" s="623"/>
      <c r="T146" s="232"/>
      <c r="U146" s="293"/>
      <c r="V146" s="86"/>
      <c r="W146" s="289">
        <f t="shared" si="106"/>
        <v>0</v>
      </c>
      <c r="X146" s="83"/>
      <c r="Y146" s="83"/>
      <c r="Z146" s="84"/>
      <c r="AA146" s="84"/>
      <c r="AB146" s="616"/>
      <c r="AC146" s="616"/>
      <c r="AD146" s="443"/>
      <c r="AE146" s="443"/>
      <c r="AF146" s="84"/>
      <c r="AG146" s="437"/>
      <c r="AH146" s="615"/>
      <c r="AJ146" s="405" t="str">
        <f t="shared" si="107"/>
        <v/>
      </c>
      <c r="AK146" s="406" t="str">
        <f t="shared" si="108"/>
        <v/>
      </c>
    </row>
    <row r="147" spans="1:37" ht="19.2" customHeight="1">
      <c r="A147" s="621"/>
      <c r="B147" s="298">
        <v>0</v>
      </c>
      <c r="C147" s="132" t="s">
        <v>299</v>
      </c>
      <c r="D147" s="612" t="s">
        <v>219</v>
      </c>
      <c r="E147" s="612"/>
      <c r="F147" s="299"/>
      <c r="G147" s="103"/>
      <c r="H147" s="134"/>
      <c r="I147" s="135"/>
      <c r="J147" s="103">
        <v>17.625</v>
      </c>
      <c r="K147" s="103">
        <v>1485.625</v>
      </c>
      <c r="L147" s="136">
        <v>85.057509352425186</v>
      </c>
      <c r="M147" s="284">
        <f t="shared" ref="M147:O147" si="109">AVERAGE(M135:M146)</f>
        <v>17.666666666666668</v>
      </c>
      <c r="N147" s="284">
        <f t="shared" si="109"/>
        <v>1338.7552234051388</v>
      </c>
      <c r="O147" s="285">
        <f t="shared" si="109"/>
        <v>75.747238854119232</v>
      </c>
      <c r="P147" s="81">
        <f t="shared" ref="P147:P150" si="110">M147-J147</f>
        <v>4.1666666666667851E-2</v>
      </c>
      <c r="Q147" s="178">
        <f t="shared" ref="Q147:Q150" si="111">O147-L147</f>
        <v>-9.3102704983059539</v>
      </c>
      <c r="R147" s="300">
        <f t="shared" ref="R147:R150" si="112">O147/L147</f>
        <v>0.89054146342646823</v>
      </c>
      <c r="S147" s="624"/>
      <c r="T147" s="232"/>
      <c r="U147" s="232"/>
      <c r="V147" s="86"/>
      <c r="W147" s="427">
        <f t="shared" si="106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616"/>
      <c r="AC147" s="616"/>
      <c r="AD147" s="139">
        <f>SUM(AD135:AD146)</f>
        <v>0</v>
      </c>
      <c r="AE147" s="139">
        <f>SUM(AE135:AE146)</f>
        <v>0</v>
      </c>
      <c r="AF147" s="240">
        <f t="shared" si="69"/>
        <v>-146.86977659486115</v>
      </c>
      <c r="AG147" s="301">
        <f t="shared" si="70"/>
        <v>0.9011394015348011</v>
      </c>
      <c r="AH147" s="615"/>
    </row>
    <row r="148" spans="1:37" ht="19.2" customHeight="1">
      <c r="A148" s="627" t="s">
        <v>300</v>
      </c>
      <c r="B148" s="443" t="s">
        <v>163</v>
      </c>
      <c r="C148" s="156"/>
      <c r="D148" s="211" t="s">
        <v>152</v>
      </c>
      <c r="E148" s="72"/>
      <c r="F148" s="174">
        <v>55.51</v>
      </c>
      <c r="G148" s="85">
        <v>85</v>
      </c>
      <c r="H148" s="116">
        <f t="shared" ref="H148:H172" si="113">F148*G148</f>
        <v>4718.3499999999995</v>
      </c>
      <c r="I148" s="302"/>
      <c r="J148" s="129">
        <v>8</v>
      </c>
      <c r="K148" s="85">
        <v>1500</v>
      </c>
      <c r="L148" s="118">
        <v>187.5</v>
      </c>
      <c r="M148" s="129">
        <v>6</v>
      </c>
      <c r="N148" s="74">
        <f t="shared" ref="N148:N150" si="114">G148/W148*60</f>
        <v>1275.0000000000045</v>
      </c>
      <c r="O148" s="77">
        <f t="shared" ref="O148:O150" si="115">N148/M148</f>
        <v>212.50000000000077</v>
      </c>
      <c r="P148" s="78">
        <f t="shared" si="110"/>
        <v>-2</v>
      </c>
      <c r="Q148" s="79">
        <f t="shared" si="111"/>
        <v>25.000000000000767</v>
      </c>
      <c r="R148" s="434">
        <f t="shared" si="112"/>
        <v>1.1333333333333375</v>
      </c>
      <c r="S148" s="628">
        <f>R160</f>
        <v>1.0091138844158192</v>
      </c>
      <c r="T148" s="288">
        <v>0.70833333333333337</v>
      </c>
      <c r="U148" s="198">
        <v>0.71111111111111114</v>
      </c>
      <c r="V148" s="430">
        <v>5</v>
      </c>
      <c r="W148" s="427">
        <f>(U148-T148)*24*60</f>
        <v>3.9999999999999858</v>
      </c>
      <c r="X148" s="83"/>
      <c r="Y148" s="83"/>
      <c r="Z148" s="84"/>
      <c r="AA148" s="84"/>
      <c r="AB148" s="616"/>
      <c r="AC148" s="616"/>
      <c r="AD148" s="443"/>
      <c r="AE148" s="443"/>
      <c r="AF148" s="78">
        <f t="shared" si="69"/>
        <v>-224.99999999999545</v>
      </c>
      <c r="AG148" s="160">
        <f t="shared" si="70"/>
        <v>0.85000000000000309</v>
      </c>
      <c r="AH148" s="615">
        <f>AG160</f>
        <v>0.84510403260403455</v>
      </c>
    </row>
    <row r="149" spans="1:37" ht="19.2" customHeight="1">
      <c r="A149" s="627"/>
      <c r="B149" s="443" t="s">
        <v>165</v>
      </c>
      <c r="C149" s="258"/>
      <c r="D149" s="292" t="s">
        <v>153</v>
      </c>
      <c r="E149" s="90"/>
      <c r="F149" s="174">
        <v>28.57</v>
      </c>
      <c r="G149" s="85">
        <v>1413</v>
      </c>
      <c r="H149" s="116">
        <f t="shared" si="113"/>
        <v>40369.410000000003</v>
      </c>
      <c r="I149" s="302"/>
      <c r="J149" s="129">
        <v>8</v>
      </c>
      <c r="K149" s="85">
        <v>1500</v>
      </c>
      <c r="L149" s="118">
        <v>187.5</v>
      </c>
      <c r="M149" s="129">
        <v>8</v>
      </c>
      <c r="N149" s="74">
        <f t="shared" si="114"/>
        <v>1513.9285714285725</v>
      </c>
      <c r="O149" s="77">
        <f t="shared" si="115"/>
        <v>189.24107142857156</v>
      </c>
      <c r="P149" s="78">
        <f t="shared" si="110"/>
        <v>0</v>
      </c>
      <c r="Q149" s="79">
        <f t="shared" si="111"/>
        <v>1.7410714285715585</v>
      </c>
      <c r="R149" s="434">
        <f t="shared" si="112"/>
        <v>1.009285714285715</v>
      </c>
      <c r="S149" s="629"/>
      <c r="T149" s="288">
        <v>0.71527777777777779</v>
      </c>
      <c r="U149" s="198">
        <v>0.75416666666666665</v>
      </c>
      <c r="V149" s="430">
        <v>6</v>
      </c>
      <c r="W149" s="427">
        <f t="shared" ref="W149:W159" si="116">(U149-T149)*24*60</f>
        <v>55.999999999999957</v>
      </c>
      <c r="X149" s="83"/>
      <c r="Y149" s="83"/>
      <c r="Z149" s="84"/>
      <c r="AA149" s="84"/>
      <c r="AB149" s="616"/>
      <c r="AC149" s="616"/>
      <c r="AD149" s="443"/>
      <c r="AE149" s="443"/>
      <c r="AF149" s="78">
        <f t="shared" si="69"/>
        <v>13.928571428572468</v>
      </c>
      <c r="AG149" s="160">
        <f t="shared" si="70"/>
        <v>1.009285714285715</v>
      </c>
      <c r="AH149" s="617"/>
    </row>
    <row r="150" spans="1:37" ht="19.2" customHeight="1">
      <c r="A150" s="627"/>
      <c r="B150" s="443" t="s">
        <v>166</v>
      </c>
      <c r="C150" s="258"/>
      <c r="D150" s="214" t="s">
        <v>154</v>
      </c>
      <c r="E150" s="90"/>
      <c r="F150" s="174">
        <v>54.5</v>
      </c>
      <c r="G150" s="85">
        <v>289</v>
      </c>
      <c r="H150" s="116">
        <f t="shared" si="113"/>
        <v>15750.5</v>
      </c>
      <c r="I150" s="302"/>
      <c r="J150" s="129">
        <v>21</v>
      </c>
      <c r="K150" s="85">
        <v>1440</v>
      </c>
      <c r="L150" s="118">
        <v>68.571428571428569</v>
      </c>
      <c r="M150" s="129">
        <v>21</v>
      </c>
      <c r="N150" s="74">
        <f t="shared" si="114"/>
        <v>963.3333333333369</v>
      </c>
      <c r="O150" s="77">
        <f t="shared" si="115"/>
        <v>45.873015873016044</v>
      </c>
      <c r="P150" s="78">
        <f t="shared" si="110"/>
        <v>0</v>
      </c>
      <c r="Q150" s="79">
        <f t="shared" si="111"/>
        <v>-22.698412698412525</v>
      </c>
      <c r="R150" s="434">
        <f t="shared" si="112"/>
        <v>0.66898148148148395</v>
      </c>
      <c r="S150" s="629"/>
      <c r="T150" s="288">
        <v>0.75902777777777775</v>
      </c>
      <c r="U150" s="198">
        <v>0.7715277777777777</v>
      </c>
      <c r="V150" s="430">
        <v>7</v>
      </c>
      <c r="W150" s="427">
        <f t="shared" si="116"/>
        <v>17.999999999999936</v>
      </c>
      <c r="X150" s="253"/>
      <c r="Y150" s="253"/>
      <c r="Z150" s="254"/>
      <c r="AA150" s="254"/>
      <c r="AB150" s="616"/>
      <c r="AC150" s="616"/>
      <c r="AD150" s="443"/>
      <c r="AE150" s="443"/>
      <c r="AF150" s="78">
        <f t="shared" si="69"/>
        <v>-476.6666666666631</v>
      </c>
      <c r="AG150" s="160">
        <f t="shared" si="70"/>
        <v>0.66898148148148395</v>
      </c>
      <c r="AH150" s="617"/>
    </row>
    <row r="151" spans="1:37" s="255" customFormat="1" ht="19.2" customHeight="1">
      <c r="A151" s="627"/>
      <c r="B151" s="443">
        <v>0</v>
      </c>
      <c r="C151" s="258"/>
      <c r="D151" s="88"/>
      <c r="E151" s="90"/>
      <c r="F151" s="174" t="s">
        <v>161</v>
      </c>
      <c r="G151" s="85"/>
      <c r="H151" s="116">
        <f t="shared" si="113"/>
        <v>0</v>
      </c>
      <c r="I151" s="302"/>
      <c r="J151" s="129"/>
      <c r="K151" s="85"/>
      <c r="L151" s="118"/>
      <c r="M151" s="129"/>
      <c r="N151" s="74"/>
      <c r="O151" s="77"/>
      <c r="P151" s="78"/>
      <c r="Q151" s="79"/>
      <c r="R151" s="434"/>
      <c r="S151" s="629"/>
      <c r="T151" s="288"/>
      <c r="U151" s="198"/>
      <c r="V151" s="430"/>
      <c r="W151" s="427">
        <f t="shared" si="116"/>
        <v>0</v>
      </c>
      <c r="X151" s="253"/>
      <c r="Y151" s="253"/>
      <c r="Z151" s="254"/>
      <c r="AA151" s="254"/>
      <c r="AB151" s="616"/>
      <c r="AC151" s="616"/>
      <c r="AD151" s="258"/>
      <c r="AE151" s="258"/>
      <c r="AF151" s="78">
        <f t="shared" si="69"/>
        <v>0</v>
      </c>
      <c r="AG151" s="160" t="e">
        <f t="shared" si="70"/>
        <v>#DIV/0!</v>
      </c>
      <c r="AH151" s="617"/>
    </row>
    <row r="152" spans="1:37" s="255" customFormat="1" ht="19.2" customHeight="1">
      <c r="A152" s="627"/>
      <c r="B152" s="443">
        <v>0</v>
      </c>
      <c r="C152" s="258"/>
      <c r="D152" s="88"/>
      <c r="E152" s="90"/>
      <c r="F152" s="174" t="s">
        <v>161</v>
      </c>
      <c r="G152" s="85"/>
      <c r="H152" s="116">
        <f t="shared" si="113"/>
        <v>0</v>
      </c>
      <c r="I152" s="302"/>
      <c r="J152" s="129"/>
      <c r="K152" s="85"/>
      <c r="L152" s="118"/>
      <c r="M152" s="129"/>
      <c r="N152" s="74"/>
      <c r="O152" s="77"/>
      <c r="P152" s="78"/>
      <c r="Q152" s="79"/>
      <c r="R152" s="434"/>
      <c r="S152" s="629"/>
      <c r="T152" s="303"/>
      <c r="U152" s="232"/>
      <c r="V152" s="431"/>
      <c r="W152" s="427">
        <f t="shared" si="116"/>
        <v>0</v>
      </c>
      <c r="X152" s="256"/>
      <c r="Y152" s="256"/>
      <c r="Z152" s="254"/>
      <c r="AA152" s="254"/>
      <c r="AB152" s="616"/>
      <c r="AC152" s="616"/>
      <c r="AD152" s="258"/>
      <c r="AE152" s="258"/>
      <c r="AF152" s="78">
        <f t="shared" si="69"/>
        <v>0</v>
      </c>
      <c r="AG152" s="160" t="e">
        <f t="shared" si="70"/>
        <v>#DIV/0!</v>
      </c>
      <c r="AH152" s="617"/>
    </row>
    <row r="153" spans="1:37" s="255" customFormat="1" ht="19.2" customHeight="1">
      <c r="A153" s="627"/>
      <c r="B153" s="443">
        <v>0</v>
      </c>
      <c r="C153" s="258"/>
      <c r="D153" s="292"/>
      <c r="E153" s="90"/>
      <c r="F153" s="174" t="s">
        <v>161</v>
      </c>
      <c r="G153" s="85"/>
      <c r="H153" s="116">
        <f t="shared" si="113"/>
        <v>0</v>
      </c>
      <c r="I153" s="302"/>
      <c r="J153" s="129"/>
      <c r="K153" s="85"/>
      <c r="L153" s="118"/>
      <c r="M153" s="129"/>
      <c r="N153" s="74"/>
      <c r="O153" s="77"/>
      <c r="P153" s="78"/>
      <c r="Q153" s="79"/>
      <c r="R153" s="434"/>
      <c r="S153" s="629"/>
      <c r="T153" s="303"/>
      <c r="U153" s="232"/>
      <c r="V153" s="431"/>
      <c r="W153" s="427">
        <f t="shared" si="116"/>
        <v>0</v>
      </c>
      <c r="X153" s="256"/>
      <c r="Y153" s="256"/>
      <c r="Z153" s="254"/>
      <c r="AA153" s="254"/>
      <c r="AB153" s="616"/>
      <c r="AC153" s="616"/>
      <c r="AD153" s="258"/>
      <c r="AE153" s="258"/>
      <c r="AF153" s="78">
        <f t="shared" si="69"/>
        <v>0</v>
      </c>
      <c r="AG153" s="160" t="e">
        <f t="shared" si="70"/>
        <v>#DIV/0!</v>
      </c>
      <c r="AH153" s="617"/>
    </row>
    <row r="154" spans="1:37" s="255" customFormat="1" ht="19.2" customHeight="1">
      <c r="A154" s="627"/>
      <c r="B154" s="443">
        <v>0</v>
      </c>
      <c r="C154" s="258"/>
      <c r="D154" s="292"/>
      <c r="E154" s="90"/>
      <c r="F154" s="174" t="s">
        <v>161</v>
      </c>
      <c r="G154" s="85"/>
      <c r="H154" s="116">
        <f t="shared" si="113"/>
        <v>0</v>
      </c>
      <c r="I154" s="302"/>
      <c r="J154" s="129"/>
      <c r="K154" s="85"/>
      <c r="L154" s="118"/>
      <c r="M154" s="129"/>
      <c r="N154" s="74"/>
      <c r="O154" s="77"/>
      <c r="P154" s="78"/>
      <c r="Q154" s="79"/>
      <c r="R154" s="434"/>
      <c r="S154" s="629"/>
      <c r="T154" s="303"/>
      <c r="U154" s="232"/>
      <c r="V154" s="431"/>
      <c r="W154" s="427">
        <f t="shared" si="116"/>
        <v>0</v>
      </c>
      <c r="X154" s="256"/>
      <c r="Y154" s="256"/>
      <c r="Z154" s="254"/>
      <c r="AA154" s="254"/>
      <c r="AB154" s="616"/>
      <c r="AC154" s="616"/>
      <c r="AD154" s="258"/>
      <c r="AE154" s="258"/>
      <c r="AF154" s="78">
        <f t="shared" si="69"/>
        <v>0</v>
      </c>
      <c r="AG154" s="160" t="e">
        <f t="shared" si="70"/>
        <v>#DIV/0!</v>
      </c>
      <c r="AH154" s="617"/>
    </row>
    <row r="155" spans="1:37" s="255" customFormat="1" ht="19.2" customHeight="1">
      <c r="A155" s="627"/>
      <c r="B155" s="443">
        <v>0</v>
      </c>
      <c r="C155" s="258"/>
      <c r="D155" s="292"/>
      <c r="E155" s="90"/>
      <c r="F155" s="174" t="s">
        <v>161</v>
      </c>
      <c r="G155" s="85"/>
      <c r="H155" s="116">
        <f t="shared" si="113"/>
        <v>0</v>
      </c>
      <c r="I155" s="302"/>
      <c r="J155" s="129"/>
      <c r="K155" s="85"/>
      <c r="L155" s="118"/>
      <c r="M155" s="129"/>
      <c r="N155" s="74"/>
      <c r="O155" s="77"/>
      <c r="P155" s="78"/>
      <c r="Q155" s="79"/>
      <c r="R155" s="434"/>
      <c r="S155" s="629"/>
      <c r="T155" s="303"/>
      <c r="U155" s="232"/>
      <c r="V155" s="431"/>
      <c r="W155" s="427">
        <f t="shared" si="116"/>
        <v>0</v>
      </c>
      <c r="X155" s="256"/>
      <c r="Y155" s="256"/>
      <c r="Z155" s="254"/>
      <c r="AA155" s="254"/>
      <c r="AB155" s="616"/>
      <c r="AC155" s="616"/>
      <c r="AD155" s="258"/>
      <c r="AE155" s="258"/>
      <c r="AF155" s="78">
        <f t="shared" si="69"/>
        <v>0</v>
      </c>
      <c r="AG155" s="160" t="e">
        <f t="shared" si="70"/>
        <v>#DIV/0!</v>
      </c>
      <c r="AH155" s="617"/>
    </row>
    <row r="156" spans="1:37" s="255" customFormat="1" ht="19.2" customHeight="1">
      <c r="A156" s="627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3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434"/>
      <c r="S156" s="629"/>
      <c r="T156" s="303"/>
      <c r="U156" s="232"/>
      <c r="V156" s="431"/>
      <c r="W156" s="304">
        <f t="shared" si="116"/>
        <v>0</v>
      </c>
      <c r="X156" s="256"/>
      <c r="Y156" s="256"/>
      <c r="Z156" s="254"/>
      <c r="AA156" s="254"/>
      <c r="AB156" s="616"/>
      <c r="AC156" s="616"/>
      <c r="AD156" s="258"/>
      <c r="AE156" s="258"/>
      <c r="AF156" s="305"/>
      <c r="AG156" s="169"/>
      <c r="AH156" s="617"/>
    </row>
    <row r="157" spans="1:37" s="255" customFormat="1" ht="19.2" customHeight="1">
      <c r="A157" s="627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3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629"/>
      <c r="T157" s="303"/>
      <c r="U157" s="232"/>
      <c r="V157" s="431"/>
      <c r="W157" s="304">
        <f t="shared" si="116"/>
        <v>0</v>
      </c>
      <c r="X157" s="256"/>
      <c r="Y157" s="256"/>
      <c r="Z157" s="254"/>
      <c r="AA157" s="254"/>
      <c r="AB157" s="616"/>
      <c r="AC157" s="616"/>
      <c r="AD157" s="258"/>
      <c r="AE157" s="258"/>
      <c r="AF157" s="305"/>
      <c r="AG157" s="169"/>
      <c r="AH157" s="617"/>
    </row>
    <row r="158" spans="1:37" s="255" customFormat="1" ht="19.2" customHeight="1">
      <c r="A158" s="627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3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629"/>
      <c r="T158" s="303"/>
      <c r="U158" s="232"/>
      <c r="V158" s="431"/>
      <c r="W158" s="304">
        <f t="shared" si="116"/>
        <v>0</v>
      </c>
      <c r="X158" s="256"/>
      <c r="Y158" s="256"/>
      <c r="Z158" s="254"/>
      <c r="AA158" s="254"/>
      <c r="AB158" s="616"/>
      <c r="AC158" s="616"/>
      <c r="AD158" s="258"/>
      <c r="AE158" s="258"/>
      <c r="AF158" s="305"/>
      <c r="AG158" s="169"/>
      <c r="AH158" s="617"/>
    </row>
    <row r="159" spans="1:37" s="255" customFormat="1" ht="19.2" customHeight="1">
      <c r="A159" s="627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3"/>
        <v>0</v>
      </c>
      <c r="I159" s="302"/>
      <c r="J159" s="306"/>
      <c r="K159" s="217"/>
      <c r="L159" s="308"/>
      <c r="M159" s="433"/>
      <c r="N159" s="217"/>
      <c r="O159" s="262"/>
      <c r="P159" s="307"/>
      <c r="Q159" s="105"/>
      <c r="R159" s="169"/>
      <c r="S159" s="629"/>
      <c r="T159" s="303"/>
      <c r="U159" s="232"/>
      <c r="V159" s="431"/>
      <c r="W159" s="309">
        <f t="shared" si="116"/>
        <v>0</v>
      </c>
      <c r="X159" s="256"/>
      <c r="Y159" s="256"/>
      <c r="Z159" s="254"/>
      <c r="AA159" s="254"/>
      <c r="AB159" s="616"/>
      <c r="AC159" s="616"/>
      <c r="AD159" s="258"/>
      <c r="AE159" s="258"/>
      <c r="AF159" s="305"/>
      <c r="AG159" s="169"/>
      <c r="AH159" s="617"/>
    </row>
    <row r="160" spans="1:37" ht="19.2" customHeight="1">
      <c r="A160" s="627"/>
      <c r="B160" s="310">
        <v>0</v>
      </c>
      <c r="C160" s="191" t="s">
        <v>305</v>
      </c>
      <c r="D160" s="625" t="s">
        <v>306</v>
      </c>
      <c r="E160" s="626"/>
      <c r="F160" s="98"/>
      <c r="G160" s="238"/>
      <c r="H160" s="237"/>
      <c r="I160" s="101"/>
      <c r="J160" s="311">
        <v>12.333333333333334</v>
      </c>
      <c r="K160" s="311">
        <v>1480</v>
      </c>
      <c r="L160" s="312">
        <v>147.85714285714286</v>
      </c>
      <c r="M160" s="311">
        <f t="shared" ref="M160:O160" si="117">AVERAGE(M148:M159)</f>
        <v>11.666666666666666</v>
      </c>
      <c r="N160" s="311">
        <f t="shared" si="117"/>
        <v>1250.7539682539712</v>
      </c>
      <c r="O160" s="312">
        <f t="shared" si="117"/>
        <v>149.20469576719611</v>
      </c>
      <c r="P160" s="104">
        <f t="shared" ref="P160:P166" si="118">M160-J160</f>
        <v>-0.66666666666666785</v>
      </c>
      <c r="Q160" s="105">
        <f t="shared" ref="Q160:Q166" si="119">O160-L160</f>
        <v>1.3475529100532526</v>
      </c>
      <c r="R160" s="313">
        <f>O160/L160</f>
        <v>1.0091138844158192</v>
      </c>
      <c r="S160" s="629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616"/>
      <c r="AC160" s="616"/>
      <c r="AD160" s="110">
        <f>SUM(AD148:AD159)</f>
        <v>0</v>
      </c>
      <c r="AE160" s="110">
        <f>SUM(AE148:AE159)</f>
        <v>0</v>
      </c>
      <c r="AF160" s="104">
        <f t="shared" si="69"/>
        <v>-229.24603174602885</v>
      </c>
      <c r="AG160" s="169">
        <f t="shared" si="70"/>
        <v>0.84510403260403455</v>
      </c>
      <c r="AH160" s="617"/>
    </row>
    <row r="161" spans="1:34" ht="19.2" customHeight="1">
      <c r="A161" s="614" t="s">
        <v>307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1662</v>
      </c>
      <c r="H161" s="116">
        <f t="shared" ref="H161:H170" si="120">F161*G161</f>
        <v>50076.06</v>
      </c>
      <c r="I161" s="443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6" si="121">G161/W161*60</f>
        <v>1108</v>
      </c>
      <c r="O161" s="118">
        <f t="shared" ref="O161:O166" si="122">N161/M161</f>
        <v>61.555555555555557</v>
      </c>
      <c r="P161" s="84">
        <f t="shared" si="118"/>
        <v>0</v>
      </c>
      <c r="Q161" s="119">
        <f t="shared" si="119"/>
        <v>-5.1111111111111143</v>
      </c>
      <c r="R161" s="437">
        <f t="shared" ref="R161:R166" si="123">O161/L161</f>
        <v>0.92333333333333334</v>
      </c>
      <c r="S161" s="615">
        <f>R173</f>
        <v>0.92474409656645173</v>
      </c>
      <c r="T161" s="80">
        <v>0.16666666666666666</v>
      </c>
      <c r="U161" s="80">
        <v>0.22916666666666666</v>
      </c>
      <c r="V161" s="443">
        <v>5</v>
      </c>
      <c r="W161" s="120">
        <f t="shared" ref="W161:W172" si="124">(U161-T161)*24*60</f>
        <v>90</v>
      </c>
      <c r="X161" s="126"/>
      <c r="Y161" s="126"/>
      <c r="Z161" s="84"/>
      <c r="AA161" s="84"/>
      <c r="AB161" s="616"/>
      <c r="AC161" s="616"/>
      <c r="AD161" s="443">
        <v>1</v>
      </c>
      <c r="AE161" s="443"/>
      <c r="AF161" s="84">
        <f t="shared" si="69"/>
        <v>-92</v>
      </c>
      <c r="AG161" s="437">
        <f t="shared" si="70"/>
        <v>0.92333333333333334</v>
      </c>
      <c r="AH161" s="615">
        <f>AG173</f>
        <v>0.92692454872159991</v>
      </c>
    </row>
    <row r="162" spans="1:34" ht="19.2" customHeight="1">
      <c r="A162" s="614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2283</v>
      </c>
      <c r="H162" s="116">
        <f t="shared" si="120"/>
        <v>78147.09</v>
      </c>
      <c r="I162" s="443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1"/>
        <v>2174.2857142857147</v>
      </c>
      <c r="O162" s="118">
        <f t="shared" si="122"/>
        <v>167.25274725274727</v>
      </c>
      <c r="P162" s="84">
        <f t="shared" si="118"/>
        <v>0</v>
      </c>
      <c r="Q162" s="119">
        <f t="shared" si="119"/>
        <v>-5.8241758241757964</v>
      </c>
      <c r="R162" s="437">
        <f t="shared" si="123"/>
        <v>0.96634920634920651</v>
      </c>
      <c r="S162" s="615"/>
      <c r="T162" s="80">
        <v>0.24444444444444444</v>
      </c>
      <c r="U162" s="80">
        <v>0.28819444444444442</v>
      </c>
      <c r="V162" s="443">
        <v>22</v>
      </c>
      <c r="W162" s="120">
        <f t="shared" si="124"/>
        <v>62.999999999999979</v>
      </c>
      <c r="X162" s="126">
        <v>0.23333333333333331</v>
      </c>
      <c r="Y162" s="126">
        <v>0.24305555555555555</v>
      </c>
      <c r="Z162" s="84"/>
      <c r="AA162" s="84"/>
      <c r="AB162" s="616"/>
      <c r="AC162" s="616"/>
      <c r="AD162" s="443"/>
      <c r="AE162" s="443"/>
      <c r="AF162" s="84">
        <f t="shared" si="69"/>
        <v>-75.714285714285325</v>
      </c>
      <c r="AG162" s="437">
        <f t="shared" si="70"/>
        <v>0.96634920634920651</v>
      </c>
      <c r="AH162" s="615"/>
    </row>
    <row r="163" spans="1:34" ht="19.2" customHeight="1">
      <c r="A163" s="614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2732</v>
      </c>
      <c r="H163" s="116">
        <f t="shared" si="120"/>
        <v>93516.359999999986</v>
      </c>
      <c r="I163" s="443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1"/>
        <v>2156.8421052631588</v>
      </c>
      <c r="O163" s="118">
        <f t="shared" si="122"/>
        <v>196.07655502392353</v>
      </c>
      <c r="P163" s="84">
        <f t="shared" si="118"/>
        <v>0</v>
      </c>
      <c r="Q163" s="119">
        <f t="shared" si="119"/>
        <v>-8.4688995215310001</v>
      </c>
      <c r="R163" s="437">
        <f t="shared" si="123"/>
        <v>0.95859649122807067</v>
      </c>
      <c r="S163" s="615"/>
      <c r="T163" s="80">
        <v>0.29305555555555551</v>
      </c>
      <c r="U163" s="80">
        <v>0.34583333333333327</v>
      </c>
      <c r="V163" s="443">
        <v>7</v>
      </c>
      <c r="W163" s="120">
        <f t="shared" si="124"/>
        <v>75.999999999999972</v>
      </c>
      <c r="X163" s="126"/>
      <c r="Y163" s="126"/>
      <c r="Z163" s="84"/>
      <c r="AA163" s="84"/>
      <c r="AB163" s="616"/>
      <c r="AC163" s="616"/>
      <c r="AD163" s="443"/>
      <c r="AE163" s="443"/>
      <c r="AF163" s="84">
        <f t="shared" si="69"/>
        <v>-93.157894736841172</v>
      </c>
      <c r="AG163" s="437">
        <f t="shared" si="70"/>
        <v>0.95859649122807056</v>
      </c>
      <c r="AH163" s="615"/>
    </row>
    <row r="164" spans="1:34" ht="19.2" customHeight="1">
      <c r="A164" s="614"/>
      <c r="B164" s="156" t="s">
        <v>189</v>
      </c>
      <c r="C164" s="156"/>
      <c r="D164" s="316" t="s">
        <v>169</v>
      </c>
      <c r="E164" s="316"/>
      <c r="F164" s="170">
        <v>25.64</v>
      </c>
      <c r="G164" s="85">
        <v>982</v>
      </c>
      <c r="H164" s="116">
        <f t="shared" si="120"/>
        <v>25178.48</v>
      </c>
      <c r="I164" s="443"/>
      <c r="J164" s="129">
        <v>10</v>
      </c>
      <c r="K164" s="85">
        <v>1500</v>
      </c>
      <c r="L164" s="118">
        <v>150</v>
      </c>
      <c r="M164" s="129">
        <v>10</v>
      </c>
      <c r="N164" s="85">
        <f t="shared" si="121"/>
        <v>1472.9999999999993</v>
      </c>
      <c r="O164" s="118">
        <f t="shared" si="122"/>
        <v>147.29999999999993</v>
      </c>
      <c r="P164" s="84">
        <f t="shared" si="118"/>
        <v>0</v>
      </c>
      <c r="Q164" s="119">
        <f t="shared" si="119"/>
        <v>-2.7000000000000739</v>
      </c>
      <c r="R164" s="437">
        <f t="shared" si="123"/>
        <v>0.98199999999999954</v>
      </c>
      <c r="S164" s="615"/>
      <c r="T164" s="80">
        <v>0.36111111111111105</v>
      </c>
      <c r="U164" s="80">
        <v>0.38888888888888884</v>
      </c>
      <c r="V164" s="443">
        <v>22</v>
      </c>
      <c r="W164" s="120">
        <f t="shared" si="124"/>
        <v>40.000000000000014</v>
      </c>
      <c r="X164" s="126">
        <v>0.35000000000000003</v>
      </c>
      <c r="Y164" s="126">
        <v>0.35972222222222222</v>
      </c>
      <c r="Z164" s="84"/>
      <c r="AA164" s="84"/>
      <c r="AB164" s="616"/>
      <c r="AC164" s="616"/>
      <c r="AD164" s="443"/>
      <c r="AE164" s="443"/>
      <c r="AF164" s="84">
        <f>N164-K164</f>
        <v>-27.000000000000682</v>
      </c>
      <c r="AG164" s="437">
        <f>N164/K164</f>
        <v>0.98199999999999954</v>
      </c>
      <c r="AH164" s="615"/>
    </row>
    <row r="165" spans="1:34" ht="19.2" customHeight="1">
      <c r="A165" s="614"/>
      <c r="B165" s="156" t="s">
        <v>165</v>
      </c>
      <c r="C165" s="112"/>
      <c r="D165" s="113" t="s">
        <v>160</v>
      </c>
      <c r="E165" s="114"/>
      <c r="F165" s="130">
        <v>36.409999999999997</v>
      </c>
      <c r="G165" s="85">
        <v>1910.4</v>
      </c>
      <c r="H165" s="116">
        <f t="shared" si="120"/>
        <v>69557.66399999999</v>
      </c>
      <c r="I165" s="443"/>
      <c r="J165" s="129">
        <v>10</v>
      </c>
      <c r="K165" s="85">
        <v>2769</v>
      </c>
      <c r="L165" s="118">
        <v>276.89999999999998</v>
      </c>
      <c r="M165" s="129">
        <v>10</v>
      </c>
      <c r="N165" s="85">
        <f t="shared" si="121"/>
        <v>2438.8085106382987</v>
      </c>
      <c r="O165" s="118">
        <f t="shared" si="122"/>
        <v>243.88085106382988</v>
      </c>
      <c r="P165" s="84">
        <f t="shared" si="118"/>
        <v>0</v>
      </c>
      <c r="Q165" s="119">
        <f t="shared" si="119"/>
        <v>-33.019148936170097</v>
      </c>
      <c r="R165" s="437">
        <f t="shared" si="123"/>
        <v>0.88075424725110107</v>
      </c>
      <c r="S165" s="615"/>
      <c r="T165" s="80">
        <v>0.39374999999999993</v>
      </c>
      <c r="U165" s="80">
        <v>0.42638888888888882</v>
      </c>
      <c r="V165" s="443">
        <v>7</v>
      </c>
      <c r="W165" s="120">
        <f t="shared" si="124"/>
        <v>46.999999999999993</v>
      </c>
      <c r="X165" s="126"/>
      <c r="Y165" s="126"/>
      <c r="Z165" s="84"/>
      <c r="AA165" s="84"/>
      <c r="AB165" s="616"/>
      <c r="AC165" s="616"/>
      <c r="AD165" s="443"/>
      <c r="AE165" s="443"/>
      <c r="AF165" s="84">
        <f>N165-K165</f>
        <v>-330.19148936170131</v>
      </c>
      <c r="AG165" s="437">
        <f>N165/K165</f>
        <v>0.88075424725110096</v>
      </c>
      <c r="AH165" s="615"/>
    </row>
    <row r="166" spans="1:34" ht="19.2" customHeight="1">
      <c r="A166" s="614"/>
      <c r="B166" s="156" t="s">
        <v>165</v>
      </c>
      <c r="C166" s="156"/>
      <c r="D166" s="113" t="s">
        <v>160</v>
      </c>
      <c r="E166" s="114"/>
      <c r="F166" s="170">
        <v>36.409999999999997</v>
      </c>
      <c r="G166" s="85">
        <v>2865.6</v>
      </c>
      <c r="H166" s="116">
        <f t="shared" si="120"/>
        <v>104336.49599999998</v>
      </c>
      <c r="I166" s="443"/>
      <c r="J166" s="129">
        <v>10</v>
      </c>
      <c r="K166" s="85">
        <v>2769</v>
      </c>
      <c r="L166" s="118">
        <v>276.89999999999998</v>
      </c>
      <c r="M166" s="129">
        <v>10</v>
      </c>
      <c r="N166" s="85">
        <f t="shared" si="121"/>
        <v>2456.228571428569</v>
      </c>
      <c r="O166" s="118">
        <f t="shared" si="122"/>
        <v>245.6228571428569</v>
      </c>
      <c r="P166" s="84">
        <f t="shared" si="118"/>
        <v>0</v>
      </c>
      <c r="Q166" s="119">
        <f t="shared" si="119"/>
        <v>-31.277142857143076</v>
      </c>
      <c r="R166" s="437">
        <f t="shared" si="123"/>
        <v>0.88704534901717924</v>
      </c>
      <c r="S166" s="615"/>
      <c r="T166" s="80">
        <v>0.46666666666666656</v>
      </c>
      <c r="U166" s="80">
        <v>0.51527777777777772</v>
      </c>
      <c r="V166" s="443">
        <v>5</v>
      </c>
      <c r="W166" s="120">
        <f t="shared" si="124"/>
        <v>70.000000000000071</v>
      </c>
      <c r="X166" s="126"/>
      <c r="Y166" s="126"/>
      <c r="Z166" s="84"/>
      <c r="AA166" s="84"/>
      <c r="AB166" s="616"/>
      <c r="AC166" s="616"/>
      <c r="AD166" s="443"/>
      <c r="AE166" s="443"/>
      <c r="AF166" s="84">
        <f>N166-K166</f>
        <v>-312.77142857143099</v>
      </c>
      <c r="AG166" s="437">
        <f>N166/K166</f>
        <v>0.88704534901717913</v>
      </c>
      <c r="AH166" s="615"/>
    </row>
    <row r="167" spans="1:34" ht="19.2" customHeight="1">
      <c r="A167" s="614"/>
      <c r="B167" s="156">
        <v>0</v>
      </c>
      <c r="C167" s="156"/>
      <c r="D167" s="292"/>
      <c r="E167" s="90"/>
      <c r="F167" s="170" t="s">
        <v>161</v>
      </c>
      <c r="G167" s="85"/>
      <c r="H167" s="116">
        <f t="shared" si="120"/>
        <v>0</v>
      </c>
      <c r="I167" s="443"/>
      <c r="J167" s="129"/>
      <c r="K167" s="85"/>
      <c r="L167" s="118"/>
      <c r="M167" s="129"/>
      <c r="N167" s="85"/>
      <c r="O167" s="118"/>
      <c r="P167" s="84"/>
      <c r="Q167" s="119"/>
      <c r="R167" s="437"/>
      <c r="S167" s="615"/>
      <c r="T167" s="80"/>
      <c r="U167" s="80"/>
      <c r="V167" s="443"/>
      <c r="W167" s="120">
        <f t="shared" si="124"/>
        <v>0</v>
      </c>
      <c r="X167" s="126"/>
      <c r="Y167" s="126"/>
      <c r="Z167" s="84"/>
      <c r="AA167" s="84"/>
      <c r="AB167" s="616"/>
      <c r="AC167" s="616"/>
      <c r="AD167" s="443"/>
      <c r="AE167" s="443"/>
      <c r="AF167" s="84">
        <f t="shared" si="69"/>
        <v>0</v>
      </c>
      <c r="AG167" s="437" t="e">
        <f t="shared" si="70"/>
        <v>#DIV/0!</v>
      </c>
      <c r="AH167" s="615"/>
    </row>
    <row r="168" spans="1:34" ht="19.2" customHeight="1">
      <c r="A168" s="614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0"/>
        <v>0</v>
      </c>
      <c r="I168" s="443"/>
      <c r="J168" s="129"/>
      <c r="K168" s="85"/>
      <c r="L168" s="118"/>
      <c r="M168" s="129"/>
      <c r="N168" s="85"/>
      <c r="O168" s="118"/>
      <c r="P168" s="84"/>
      <c r="Q168" s="119"/>
      <c r="R168" s="437"/>
      <c r="S168" s="615"/>
      <c r="T168" s="80"/>
      <c r="U168" s="80"/>
      <c r="V168" s="443"/>
      <c r="W168" s="120">
        <f t="shared" si="124"/>
        <v>0</v>
      </c>
      <c r="X168" s="126"/>
      <c r="Y168" s="126"/>
      <c r="Z168" s="84"/>
      <c r="AA168" s="84"/>
      <c r="AB168" s="616"/>
      <c r="AC168" s="616"/>
      <c r="AD168" s="443"/>
      <c r="AE168" s="443"/>
      <c r="AF168" s="84">
        <f t="shared" si="69"/>
        <v>0</v>
      </c>
      <c r="AG168" s="437" t="e">
        <f t="shared" si="70"/>
        <v>#DIV/0!</v>
      </c>
      <c r="AH168" s="615"/>
    </row>
    <row r="169" spans="1:34" ht="19.2" customHeight="1">
      <c r="A169" s="614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0"/>
        <v>0</v>
      </c>
      <c r="I169" s="443"/>
      <c r="J169" s="129"/>
      <c r="K169" s="85"/>
      <c r="L169" s="118"/>
      <c r="M169" s="129"/>
      <c r="N169" s="85"/>
      <c r="O169" s="118"/>
      <c r="P169" s="84"/>
      <c r="Q169" s="119"/>
      <c r="R169" s="437"/>
      <c r="S169" s="615"/>
      <c r="T169" s="80"/>
      <c r="U169" s="80"/>
      <c r="V169" s="443"/>
      <c r="W169" s="120">
        <f t="shared" si="124"/>
        <v>0</v>
      </c>
      <c r="X169" s="126"/>
      <c r="Y169" s="126"/>
      <c r="Z169" s="84"/>
      <c r="AA169" s="84"/>
      <c r="AB169" s="616"/>
      <c r="AC169" s="616"/>
      <c r="AD169" s="443"/>
      <c r="AE169" s="443"/>
      <c r="AF169" s="84">
        <f t="shared" si="69"/>
        <v>0</v>
      </c>
      <c r="AG169" s="437" t="e">
        <f t="shared" si="70"/>
        <v>#DIV/0!</v>
      </c>
      <c r="AH169" s="615"/>
    </row>
    <row r="170" spans="1:34" ht="19.2" customHeight="1">
      <c r="A170" s="614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0"/>
        <v>0</v>
      </c>
      <c r="I170" s="443"/>
      <c r="J170" s="129"/>
      <c r="K170" s="85"/>
      <c r="L170" s="118"/>
      <c r="M170" s="129"/>
      <c r="N170" s="85"/>
      <c r="O170" s="118"/>
      <c r="P170" s="84"/>
      <c r="Q170" s="119"/>
      <c r="R170" s="437"/>
      <c r="S170" s="615"/>
      <c r="T170" s="80"/>
      <c r="U170" s="80"/>
      <c r="V170" s="443"/>
      <c r="W170" s="120">
        <f t="shared" si="124"/>
        <v>0</v>
      </c>
      <c r="X170" s="126"/>
      <c r="Y170" s="126"/>
      <c r="Z170" s="84"/>
      <c r="AA170" s="84"/>
      <c r="AB170" s="616"/>
      <c r="AC170" s="616"/>
      <c r="AD170" s="443"/>
      <c r="AE170" s="443"/>
      <c r="AF170" s="84">
        <f t="shared" si="69"/>
        <v>0</v>
      </c>
      <c r="AG170" s="437" t="e">
        <f t="shared" si="70"/>
        <v>#DIV/0!</v>
      </c>
      <c r="AH170" s="615"/>
    </row>
    <row r="171" spans="1:34" ht="19.2" customHeight="1">
      <c r="A171" s="614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3"/>
        <v>0</v>
      </c>
      <c r="I171" s="443"/>
      <c r="J171" s="129"/>
      <c r="K171" s="85"/>
      <c r="L171" s="118"/>
      <c r="M171" s="129"/>
      <c r="N171" s="85"/>
      <c r="O171" s="118"/>
      <c r="P171" s="84"/>
      <c r="Q171" s="119"/>
      <c r="R171" s="437"/>
      <c r="S171" s="615"/>
      <c r="T171" s="80"/>
      <c r="U171" s="80"/>
      <c r="V171" s="443"/>
      <c r="W171" s="120">
        <f t="shared" si="124"/>
        <v>0</v>
      </c>
      <c r="X171" s="126"/>
      <c r="Y171" s="126"/>
      <c r="Z171" s="84"/>
      <c r="AA171" s="84"/>
      <c r="AB171" s="616"/>
      <c r="AC171" s="616"/>
      <c r="AD171" s="443"/>
      <c r="AE171" s="443"/>
      <c r="AF171" s="84"/>
      <c r="AG171" s="437"/>
      <c r="AH171" s="615"/>
    </row>
    <row r="172" spans="1:34" ht="19.2" customHeight="1">
      <c r="A172" s="614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3"/>
        <v>0</v>
      </c>
      <c r="I172" s="443"/>
      <c r="J172" s="129"/>
      <c r="K172" s="85"/>
      <c r="L172" s="118"/>
      <c r="M172" s="129"/>
      <c r="N172" s="85"/>
      <c r="O172" s="118"/>
      <c r="P172" s="84"/>
      <c r="Q172" s="119"/>
      <c r="R172" s="437"/>
      <c r="S172" s="615"/>
      <c r="T172" s="80"/>
      <c r="U172" s="80"/>
      <c r="V172" s="443"/>
      <c r="W172" s="120">
        <f t="shared" si="124"/>
        <v>0</v>
      </c>
      <c r="X172" s="126"/>
      <c r="Y172" s="126"/>
      <c r="Z172" s="84"/>
      <c r="AA172" s="84"/>
      <c r="AB172" s="616"/>
      <c r="AC172" s="616"/>
      <c r="AD172" s="443"/>
      <c r="AE172" s="443"/>
      <c r="AF172" s="84"/>
      <c r="AG172" s="437"/>
      <c r="AH172" s="615"/>
    </row>
    <row r="173" spans="1:34" ht="19.2" customHeight="1">
      <c r="A173" s="614"/>
      <c r="B173" s="156">
        <v>0</v>
      </c>
      <c r="C173" s="132" t="s">
        <v>303</v>
      </c>
      <c r="D173" s="612" t="s">
        <v>219</v>
      </c>
      <c r="E173" s="612"/>
      <c r="F173" s="133"/>
      <c r="G173" s="103"/>
      <c r="H173" s="134"/>
      <c r="I173" s="135"/>
      <c r="J173" s="103">
        <v>12</v>
      </c>
      <c r="K173" s="103">
        <v>2123</v>
      </c>
      <c r="L173" s="136">
        <v>191.348174048174</v>
      </c>
      <c r="M173" s="103">
        <f t="shared" ref="M173:O173" si="125">AVERAGE(M161:M172)</f>
        <v>12</v>
      </c>
      <c r="N173" s="103">
        <f t="shared" si="125"/>
        <v>1967.8608169359566</v>
      </c>
      <c r="O173" s="136">
        <f t="shared" si="125"/>
        <v>176.94809433981882</v>
      </c>
      <c r="P173" s="84">
        <f>M173-J173</f>
        <v>0</v>
      </c>
      <c r="Q173" s="119">
        <f>O173-L173</f>
        <v>-14.400079708355179</v>
      </c>
      <c r="R173" s="137">
        <f>O173/L173</f>
        <v>0.92474409656645173</v>
      </c>
      <c r="S173" s="615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613"/>
      <c r="AC173" s="613"/>
      <c r="AD173" s="139">
        <f>SUM(AD161:AD172)</f>
        <v>1</v>
      </c>
      <c r="AE173" s="139">
        <f>SUM(AE161:AE172)</f>
        <v>0</v>
      </c>
      <c r="AF173" s="84">
        <f t="shared" si="69"/>
        <v>-155.13918306404344</v>
      </c>
      <c r="AG173" s="437">
        <f t="shared" si="70"/>
        <v>0.92692454872159991</v>
      </c>
      <c r="AH173" s="615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M1:O2"/>
    <mergeCell ref="P1:S2"/>
    <mergeCell ref="T1:Y2"/>
    <mergeCell ref="AB1:AC2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83" priority="4" operator="greaterThan">
      <formula>0</formula>
    </cfRule>
  </conditionalFormatting>
  <conditionalFormatting sqref="Q5:Q173">
    <cfRule type="cellIs" dxfId="82" priority="7" operator="lessThan">
      <formula>0</formula>
    </cfRule>
  </conditionalFormatting>
  <conditionalFormatting sqref="R5:R173">
    <cfRule type="cellIs" dxfId="81" priority="5" operator="greaterThan">
      <formula>1</formula>
    </cfRule>
    <cfRule type="cellIs" dxfId="80" priority="6" operator="lessThan">
      <formula>0.8</formula>
    </cfRule>
  </conditionalFormatting>
  <conditionalFormatting sqref="S5:S11">
    <cfRule type="cellIs" dxfId="79" priority="20" operator="lessThan">
      <formula>0.8</formula>
    </cfRule>
  </conditionalFormatting>
  <conditionalFormatting sqref="S21:S29 AH21:AH29">
    <cfRule type="cellIs" dxfId="78" priority="13" operator="lessThan">
      <formula>0.8</formula>
    </cfRule>
  </conditionalFormatting>
  <conditionalFormatting sqref="S43:S72">
    <cfRule type="cellIs" dxfId="77" priority="10" operator="lessThan">
      <formula>0.8</formula>
    </cfRule>
  </conditionalFormatting>
  <conditionalFormatting sqref="S82:S91 AH82:AH91">
    <cfRule type="cellIs" dxfId="76" priority="12" operator="lessThan">
      <formula>0.8</formula>
    </cfRule>
  </conditionalFormatting>
  <conditionalFormatting sqref="S95:S104">
    <cfRule type="cellIs" dxfId="75" priority="8" operator="lessThan">
      <formula>0.8</formula>
    </cfRule>
  </conditionalFormatting>
  <conditionalFormatting sqref="S108:S109">
    <cfRule type="cellIs" dxfId="74" priority="9" operator="lessThan">
      <formula>0.8</formula>
    </cfRule>
  </conditionalFormatting>
  <conditionalFormatting sqref="S122:S135 AH135">
    <cfRule type="cellIs" dxfId="73" priority="21" operator="lessThan">
      <formula>0.8</formula>
    </cfRule>
  </conditionalFormatting>
  <conditionalFormatting sqref="S137 AH137">
    <cfRule type="cellIs" dxfId="72" priority="17" operator="lessThan">
      <formula>0.8</formula>
    </cfRule>
  </conditionalFormatting>
  <conditionalFormatting sqref="S139:S146 AH139:AH146">
    <cfRule type="cellIs" dxfId="71" priority="11" operator="lessThan">
      <formula>0.8</formula>
    </cfRule>
  </conditionalFormatting>
  <conditionalFormatting sqref="S148:S150">
    <cfRule type="cellIs" dxfId="70" priority="14" operator="lessThan">
      <formula>0.8</formula>
    </cfRule>
  </conditionalFormatting>
  <conditionalFormatting sqref="S161">
    <cfRule type="cellIs" dxfId="69" priority="25" operator="lessThan">
      <formula>0.8</formula>
    </cfRule>
  </conditionalFormatting>
  <conditionalFormatting sqref="AF5:AF173">
    <cfRule type="cellIs" dxfId="68" priority="3" operator="lessThan">
      <formula>0</formula>
    </cfRule>
  </conditionalFormatting>
  <conditionalFormatting sqref="AG5:AG173">
    <cfRule type="cellIs" dxfId="67" priority="1" operator="greaterThan">
      <formula>1</formula>
    </cfRule>
    <cfRule type="cellIs" dxfId="66" priority="2" operator="lessThan">
      <formula>0.8</formula>
    </cfRule>
  </conditionalFormatting>
  <conditionalFormatting sqref="AH5:AH9 S17:S18 AH17:AH18 AH57 AH95">
    <cfRule type="cellIs" dxfId="65" priority="26" operator="lessThan">
      <formula>0.8</formula>
    </cfRule>
  </conditionalFormatting>
  <conditionalFormatting sqref="AH31 S31:S32">
    <cfRule type="cellIs" dxfId="64" priority="22" operator="lessThan">
      <formula>0.8</formula>
    </cfRule>
  </conditionalFormatting>
  <conditionalFormatting sqref="AH70:AH72">
    <cfRule type="cellIs" dxfId="63" priority="19" operator="lessThan">
      <formula>0.8</formula>
    </cfRule>
  </conditionalFormatting>
  <conditionalFormatting sqref="AH97:AH98">
    <cfRule type="cellIs" dxfId="62" priority="18" operator="lessThan">
      <formula>0.8</formula>
    </cfRule>
  </conditionalFormatting>
  <conditionalFormatting sqref="AH100:AH107">
    <cfRule type="cellIs" dxfId="61" priority="16" operator="lessThan">
      <formula>0.8</formula>
    </cfRule>
  </conditionalFormatting>
  <conditionalFormatting sqref="AH109">
    <cfRule type="cellIs" dxfId="60" priority="24" operator="lessThan">
      <formula>0.8</formula>
    </cfRule>
  </conditionalFormatting>
  <conditionalFormatting sqref="AH148">
    <cfRule type="cellIs" dxfId="59" priority="23" operator="lessThan">
      <formula>0.8</formula>
    </cfRule>
  </conditionalFormatting>
  <conditionalFormatting sqref="AH150">
    <cfRule type="cellIs" dxfId="58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topLeftCell="A18" zoomScale="40" zoomScaleNormal="40" workbookViewId="0">
      <selection activeCell="P9" sqref="P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544" t="s">
        <v>0</v>
      </c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6"/>
      <c r="N1" s="1"/>
      <c r="O1" s="1"/>
    </row>
    <row r="2" spans="2:17" ht="27.75" customHeight="1">
      <c r="B2" s="544"/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6"/>
      <c r="N2" s="1"/>
      <c r="O2" s="1"/>
    </row>
    <row r="3" spans="2:17" ht="46.5" customHeight="1">
      <c r="B3" s="537" t="s">
        <v>1</v>
      </c>
      <c r="C3" s="498"/>
      <c r="D3" s="547" t="s">
        <v>490</v>
      </c>
      <c r="E3" s="548"/>
      <c r="F3" s="537" t="s">
        <v>2</v>
      </c>
      <c r="G3" s="498"/>
      <c r="H3" s="549">
        <v>244503.59999999998</v>
      </c>
      <c r="I3" s="550"/>
      <c r="J3" s="537" t="s">
        <v>3</v>
      </c>
      <c r="K3" s="498"/>
      <c r="L3" s="542">
        <v>7457965.9786685156</v>
      </c>
      <c r="M3" s="543"/>
      <c r="N3" s="27"/>
      <c r="O3" s="27"/>
      <c r="P3" s="27"/>
      <c r="Q3" s="27"/>
    </row>
    <row r="4" spans="2:17" ht="24" customHeight="1">
      <c r="B4" s="537" t="s">
        <v>37</v>
      </c>
      <c r="C4" s="498"/>
      <c r="D4" s="529" t="s">
        <v>37</v>
      </c>
      <c r="E4" s="530"/>
      <c r="F4" s="540" t="s">
        <v>38</v>
      </c>
      <c r="G4" s="541"/>
      <c r="H4" s="540" t="s">
        <v>39</v>
      </c>
      <c r="I4" s="541"/>
      <c r="J4" s="540" t="s">
        <v>40</v>
      </c>
      <c r="K4" s="541"/>
      <c r="L4" s="542" t="s">
        <v>41</v>
      </c>
      <c r="M4" s="543"/>
      <c r="N4" s="523" t="s">
        <v>4</v>
      </c>
      <c r="O4" s="524"/>
      <c r="P4" s="524" t="s">
        <v>5</v>
      </c>
      <c r="Q4" s="524"/>
    </row>
    <row r="5" spans="2:17" ht="24" customHeight="1">
      <c r="B5" s="525" t="s">
        <v>35</v>
      </c>
      <c r="C5" s="504"/>
      <c r="D5" s="529" t="s">
        <v>42</v>
      </c>
      <c r="E5" s="530"/>
      <c r="F5" s="529" t="s">
        <v>6</v>
      </c>
      <c r="G5" s="530"/>
      <c r="H5" s="531" t="s">
        <v>7</v>
      </c>
      <c r="I5" s="532"/>
      <c r="J5" s="533" t="s">
        <v>8</v>
      </c>
      <c r="K5" s="534"/>
      <c r="L5" s="535" t="s">
        <v>9</v>
      </c>
      <c r="M5" s="536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526"/>
      <c r="C6" s="527"/>
      <c r="D6" s="537" t="s">
        <v>10</v>
      </c>
      <c r="E6" s="498"/>
      <c r="F6" s="538">
        <f>AVERAGE(D13:O13,P13:Q13,D30:F30,G30:H30,J30:M30)</f>
        <v>438.89889356729918</v>
      </c>
      <c r="G6" s="539"/>
      <c r="H6" s="517">
        <f>AVERAGE(D13:P13,Q13)</f>
        <v>142.04889439565974</v>
      </c>
      <c r="I6" s="518"/>
      <c r="J6" s="517">
        <f>AVERAGE(D30:F30,G30:H30)</f>
        <v>816.68672790624009</v>
      </c>
      <c r="K6" s="518"/>
      <c r="L6" s="519">
        <f>AVERAGE(J30:M30)</f>
        <v>1005.6390977443609</v>
      </c>
      <c r="M6" s="520"/>
      <c r="N6" s="521">
        <v>0</v>
      </c>
      <c r="O6" s="506">
        <v>0</v>
      </c>
      <c r="P6" s="522">
        <v>2</v>
      </c>
      <c r="Q6" s="506">
        <v>3</v>
      </c>
    </row>
    <row r="7" spans="2:17" s="5" customFormat="1" ht="39.6" customHeight="1">
      <c r="B7" s="526"/>
      <c r="C7" s="527"/>
      <c r="D7" s="507" t="s">
        <v>11</v>
      </c>
      <c r="E7" s="508"/>
      <c r="F7" s="509">
        <f>AVERAGE(D14:O14,P14:Q14,D31:F31,J31:M31,G31:H31)</f>
        <v>387.05872546898735</v>
      </c>
      <c r="G7" s="510"/>
      <c r="H7" s="511">
        <f>AVERAGE(D14:P14,Q14)</f>
        <v>128.77219826825291</v>
      </c>
      <c r="I7" s="512"/>
      <c r="J7" s="511">
        <f>AVERAGE(D31:F31,G31:H31)</f>
        <v>755.59157627193201</v>
      </c>
      <c r="K7" s="512"/>
      <c r="L7" s="513">
        <f>AVERAGE(J31:M31)</f>
        <v>830.3955071678771</v>
      </c>
      <c r="M7" s="514"/>
      <c r="N7" s="521"/>
      <c r="O7" s="506"/>
      <c r="P7" s="522"/>
      <c r="Q7" s="506"/>
    </row>
    <row r="8" spans="2:17" s="5" customFormat="1" ht="39.6" customHeight="1">
      <c r="B8" s="528"/>
      <c r="C8" s="505"/>
      <c r="D8" s="507" t="s">
        <v>12</v>
      </c>
      <c r="E8" s="508"/>
      <c r="F8" s="515">
        <f>AVERAGE(D15:O15,P15:Q15,D32:F32,G32:H32,J32:M32)</f>
        <v>0.88980994033931859</v>
      </c>
      <c r="G8" s="516"/>
      <c r="H8" s="515">
        <f>AVERAGE(D15:O15,P15:Q15)</f>
        <v>0.90297361503860152</v>
      </c>
      <c r="I8" s="516"/>
      <c r="J8" s="515">
        <f>AVERAGE(D32:F32,G32:H32)</f>
        <v>0.90470067835376078</v>
      </c>
      <c r="K8" s="516"/>
      <c r="L8" s="515">
        <f>AVERAGE(J32:M32)</f>
        <v>0.82512365637377572</v>
      </c>
      <c r="M8" s="516"/>
      <c r="N8" s="521"/>
      <c r="O8" s="506"/>
      <c r="P8" s="522"/>
      <c r="Q8" s="506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494" t="s">
        <v>43</v>
      </c>
      <c r="C10" s="500"/>
      <c r="D10" s="501" t="s">
        <v>44</v>
      </c>
      <c r="E10" s="502"/>
      <c r="F10" s="502"/>
      <c r="G10" s="502"/>
      <c r="H10" s="502"/>
      <c r="I10" s="502"/>
      <c r="J10" s="502"/>
      <c r="K10" s="502"/>
      <c r="L10" s="502"/>
      <c r="M10" s="502"/>
      <c r="N10" s="502"/>
      <c r="O10" s="502"/>
      <c r="P10" s="502"/>
      <c r="Q10" s="503"/>
    </row>
    <row r="11" spans="2:17" ht="17.25" customHeight="1">
      <c r="B11" s="485" t="s">
        <v>45</v>
      </c>
      <c r="C11" s="504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487"/>
      <c r="C12" s="505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489" t="s">
        <v>35</v>
      </c>
      <c r="C13" s="13" t="s">
        <v>59</v>
      </c>
      <c r="D13" s="18">
        <v>145.19860036119712</v>
      </c>
      <c r="E13" s="18">
        <v>124.55678104575163</v>
      </c>
      <c r="F13" s="18">
        <v>140.54871871048343</v>
      </c>
      <c r="G13" s="18">
        <v>314.46258503401361</v>
      </c>
      <c r="H13" s="18">
        <v>232.14285714285714</v>
      </c>
      <c r="I13" s="18">
        <v>83.968524251805988</v>
      </c>
      <c r="J13" s="18">
        <v>94.282894736842096</v>
      </c>
      <c r="K13" s="18">
        <v>78.028250773993804</v>
      </c>
      <c r="L13" s="18">
        <v>120.3481108352432</v>
      </c>
      <c r="M13" s="18">
        <v>80.884372389306606</v>
      </c>
      <c r="N13" s="18">
        <v>85.057509352425186</v>
      </c>
      <c r="O13" s="18">
        <v>147.85714285714286</v>
      </c>
      <c r="P13" s="18">
        <v>191.348174048174</v>
      </c>
      <c r="Q13" s="20">
        <v>150</v>
      </c>
    </row>
    <row r="14" spans="2:17" ht="39.9" customHeight="1">
      <c r="B14" s="490"/>
      <c r="C14" s="13" t="s">
        <v>60</v>
      </c>
      <c r="D14" s="18">
        <v>127.17676183694053</v>
      </c>
      <c r="E14" s="18">
        <v>103.30448412871334</v>
      </c>
      <c r="F14" s="18">
        <v>126.71895803652491</v>
      </c>
      <c r="G14" s="18">
        <v>280.17029597919526</v>
      </c>
      <c r="H14" s="18">
        <v>224.6934119843888</v>
      </c>
      <c r="I14" s="18">
        <v>75.076127135129312</v>
      </c>
      <c r="J14" s="18">
        <v>79.753602518556193</v>
      </c>
      <c r="K14" s="18">
        <v>69.03759888196079</v>
      </c>
      <c r="L14" s="18">
        <v>112.64476142533884</v>
      </c>
      <c r="M14" s="18">
        <v>77.683832251258622</v>
      </c>
      <c r="N14" s="18">
        <v>75.612956359887207</v>
      </c>
      <c r="O14" s="18">
        <v>142.4814063556457</v>
      </c>
      <c r="P14" s="18">
        <v>176.50051670353113</v>
      </c>
      <c r="Q14" s="8">
        <v>131.95606215847008</v>
      </c>
    </row>
    <row r="15" spans="2:17" ht="39.9" customHeight="1">
      <c r="B15" s="491"/>
      <c r="C15" s="28" t="s">
        <v>61</v>
      </c>
      <c r="D15" s="9">
        <f t="shared" ref="D15:Q15" si="0">D14/D13</f>
        <v>0.87588145836512654</v>
      </c>
      <c r="E15" s="9">
        <f t="shared" si="0"/>
        <v>0.82937663659410088</v>
      </c>
      <c r="F15" s="9">
        <f t="shared" si="0"/>
        <v>0.90160165954663407</v>
      </c>
      <c r="G15" s="9">
        <f t="shared" si="0"/>
        <v>0.8909495415770714</v>
      </c>
      <c r="H15" s="9">
        <f t="shared" si="0"/>
        <v>0.96791008239429022</v>
      </c>
      <c r="I15" s="9">
        <f t="shared" si="0"/>
        <v>0.89409844705606556</v>
      </c>
      <c r="J15" s="9">
        <f t="shared" si="0"/>
        <v>0.84589683782154368</v>
      </c>
      <c r="K15" s="9">
        <f t="shared" si="0"/>
        <v>0.88477696471661094</v>
      </c>
      <c r="L15" s="9">
        <f t="shared" si="0"/>
        <v>0.93599110649563699</v>
      </c>
      <c r="M15" s="9">
        <f t="shared" si="0"/>
        <v>0.9604306735219087</v>
      </c>
      <c r="N15" s="9">
        <f t="shared" si="0"/>
        <v>0.88896273751203259</v>
      </c>
      <c r="O15" s="9">
        <f t="shared" si="0"/>
        <v>0.96364236182562313</v>
      </c>
      <c r="P15" s="30">
        <f t="shared" si="0"/>
        <v>0.92240502205730579</v>
      </c>
      <c r="Q15" s="10">
        <f t="shared" si="0"/>
        <v>0.87970708105646722</v>
      </c>
    </row>
    <row r="16" spans="2:17" ht="22.8" customHeight="1">
      <c r="B16" s="492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0.16666666666666666</v>
      </c>
      <c r="H16" s="11">
        <v>0.16666666666666666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0.5</v>
      </c>
      <c r="O16" s="21">
        <v>0.70833333333333337</v>
      </c>
      <c r="P16" s="11">
        <v>0.16666666666666666</v>
      </c>
      <c r="Q16" s="31">
        <v>0.39930555555555547</v>
      </c>
    </row>
    <row r="17" spans="2:23" ht="22.8" customHeight="1">
      <c r="B17" s="493"/>
      <c r="C17" s="28" t="s">
        <v>36</v>
      </c>
      <c r="D17" s="11">
        <v>0.67569444444444415</v>
      </c>
      <c r="E17" s="11">
        <v>0.53333333333333333</v>
      </c>
      <c r="F17" s="11">
        <v>0.58749999999999991</v>
      </c>
      <c r="G17" s="11">
        <v>0.55416666666666647</v>
      </c>
      <c r="H17" s="11">
        <v>0.58611111111111103</v>
      </c>
      <c r="I17" s="11">
        <v>0.64999999999999991</v>
      </c>
      <c r="J17" s="11">
        <v>0.75208333333333333</v>
      </c>
      <c r="K17" s="11">
        <v>0.74236111111111114</v>
      </c>
      <c r="L17" s="11">
        <v>0.89930555555555547</v>
      </c>
      <c r="M17" s="11">
        <v>0.91736111111111107</v>
      </c>
      <c r="N17" s="11">
        <v>0.95069444444444429</v>
      </c>
      <c r="O17" s="21">
        <v>0.7729166666666667</v>
      </c>
      <c r="P17" s="11">
        <v>0.53402777777777777</v>
      </c>
      <c r="Q17" s="31">
        <v>0.59861111111111098</v>
      </c>
    </row>
    <row r="18" spans="2:23" ht="22.8" customHeight="1">
      <c r="B18" s="496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497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496" t="s">
        <v>16</v>
      </c>
      <c r="C20" s="32" t="s">
        <v>64</v>
      </c>
      <c r="D20" s="33" t="s">
        <v>15</v>
      </c>
      <c r="E20" s="33">
        <v>1</v>
      </c>
      <c r="F20" s="33" t="s">
        <v>15</v>
      </c>
      <c r="G20" s="33" t="s">
        <v>15</v>
      </c>
      <c r="H20" s="33" t="s">
        <v>15</v>
      </c>
      <c r="I20" s="33" t="s">
        <v>15</v>
      </c>
      <c r="J20" s="33" t="s">
        <v>15</v>
      </c>
      <c r="K20" s="33" t="s">
        <v>15</v>
      </c>
      <c r="L20" s="33" t="s">
        <v>15</v>
      </c>
      <c r="M20" s="33" t="s">
        <v>15</v>
      </c>
      <c r="N20" s="33" t="s">
        <v>15</v>
      </c>
      <c r="O20" s="33" t="s">
        <v>15</v>
      </c>
      <c r="P20" s="33">
        <v>1</v>
      </c>
      <c r="Q20" s="34"/>
    </row>
    <row r="21" spans="2:23" ht="22.8" customHeight="1">
      <c r="B21" s="497"/>
      <c r="C21" s="32" t="s">
        <v>66</v>
      </c>
      <c r="D21" s="33" t="s">
        <v>15</v>
      </c>
      <c r="E21" s="33" t="s">
        <v>15</v>
      </c>
      <c r="F21" s="33" t="s">
        <v>15</v>
      </c>
      <c r="G21" s="33" t="s">
        <v>15</v>
      </c>
      <c r="H21" s="33">
        <v>1</v>
      </c>
      <c r="I21" s="33" t="s">
        <v>15</v>
      </c>
      <c r="J21" s="33">
        <v>1</v>
      </c>
      <c r="K21" s="33" t="s">
        <v>15</v>
      </c>
      <c r="L21" s="33">
        <v>1</v>
      </c>
      <c r="M21" s="33" t="s">
        <v>15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475" t="s">
        <v>67</v>
      </c>
      <c r="C22" s="498"/>
      <c r="D22" s="35">
        <v>17.75</v>
      </c>
      <c r="E22" s="35">
        <v>15.375</v>
      </c>
      <c r="F22" s="35">
        <v>14.333333333333334</v>
      </c>
      <c r="G22" s="35">
        <v>6</v>
      </c>
      <c r="H22" s="35">
        <v>6.5</v>
      </c>
      <c r="I22" s="35">
        <v>17.833333333333332</v>
      </c>
      <c r="J22" s="35">
        <v>16.625</v>
      </c>
      <c r="K22" s="35">
        <v>18.5</v>
      </c>
      <c r="L22" s="35">
        <v>14.375</v>
      </c>
      <c r="M22" s="35">
        <v>18.75</v>
      </c>
      <c r="N22" s="35">
        <v>17.666666666666668</v>
      </c>
      <c r="O22" s="35">
        <v>12</v>
      </c>
      <c r="P22" s="35">
        <v>12</v>
      </c>
      <c r="Q22" s="36">
        <v>11.5</v>
      </c>
    </row>
    <row r="23" spans="2:23" ht="22.8" customHeight="1">
      <c r="B23" s="475" t="s">
        <v>68</v>
      </c>
      <c r="C23" s="498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475" t="s">
        <v>69</v>
      </c>
      <c r="C24" s="498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477" t="s">
        <v>70</v>
      </c>
      <c r="C25" s="499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494"/>
      <c r="C27" s="495"/>
      <c r="D27" s="479" t="s">
        <v>71</v>
      </c>
      <c r="E27" s="480"/>
      <c r="F27" s="480"/>
      <c r="G27" s="480"/>
      <c r="H27" s="481"/>
      <c r="I27" s="482" t="s">
        <v>72</v>
      </c>
      <c r="J27" s="483"/>
      <c r="K27" s="483"/>
      <c r="L27" s="483"/>
      <c r="M27" s="484"/>
      <c r="N27" s="27"/>
      <c r="O27" s="27"/>
      <c r="P27" s="27"/>
      <c r="Q27" s="27"/>
    </row>
    <row r="28" spans="2:23" ht="17.25" customHeight="1">
      <c r="B28" s="485" t="s">
        <v>45</v>
      </c>
      <c r="C28" s="486"/>
      <c r="D28" s="37">
        <v>1</v>
      </c>
      <c r="E28" s="444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487"/>
      <c r="C29" s="488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489" t="s">
        <v>35</v>
      </c>
      <c r="C30" s="41" t="s">
        <v>59</v>
      </c>
      <c r="D30" s="19">
        <v>195.1219512195122</v>
      </c>
      <c r="E30" s="447">
        <v>942.85714285714289</v>
      </c>
      <c r="F30" s="18">
        <v>860.86956521739125</v>
      </c>
      <c r="G30" s="18">
        <v>939.13043478260863</v>
      </c>
      <c r="H30" s="446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490"/>
      <c r="C31" s="41" t="s">
        <v>60</v>
      </c>
      <c r="D31" s="43">
        <v>155.71934281842829</v>
      </c>
      <c r="E31" s="7">
        <v>873.23250360750387</v>
      </c>
      <c r="F31" s="7">
        <v>786.4390396640398</v>
      </c>
      <c r="G31" s="7">
        <v>898.82475490195964</v>
      </c>
      <c r="H31" s="446">
        <v>1063.7422403677281</v>
      </c>
      <c r="I31" s="403">
        <v>0</v>
      </c>
      <c r="J31" s="7">
        <v>735.01086956521453</v>
      </c>
      <c r="K31" s="7">
        <v>793.70833333333303</v>
      </c>
      <c r="L31" s="7">
        <v>847.97039512774973</v>
      </c>
      <c r="M31" s="8">
        <v>944.89243064521133</v>
      </c>
      <c r="N31" s="27"/>
      <c r="O31" s="27"/>
      <c r="P31" s="27"/>
      <c r="Q31" s="27"/>
    </row>
    <row r="32" spans="2:23" ht="39.9" customHeight="1">
      <c r="B32" s="491"/>
      <c r="C32" s="445" t="s">
        <v>61</v>
      </c>
      <c r="D32" s="44">
        <f t="shared" ref="D32:M32" si="1">D31/D30</f>
        <v>0.79806163194444502</v>
      </c>
      <c r="E32" s="9">
        <f t="shared" si="1"/>
        <v>0.92615568564432227</v>
      </c>
      <c r="F32" s="9">
        <f t="shared" si="1"/>
        <v>0.91354029859964225</v>
      </c>
      <c r="G32" s="9">
        <f t="shared" si="1"/>
        <v>0.95708191494190153</v>
      </c>
      <c r="H32" s="9">
        <f t="shared" si="1"/>
        <v>0.92866386063849271</v>
      </c>
      <c r="I32" s="43">
        <f t="shared" si="1"/>
        <v>0</v>
      </c>
      <c r="J32" s="9">
        <f t="shared" si="1"/>
        <v>0.77955698287219721</v>
      </c>
      <c r="K32" s="9">
        <f t="shared" si="1"/>
        <v>0.8418118686868683</v>
      </c>
      <c r="L32" s="9">
        <f t="shared" si="1"/>
        <v>0.84797039512774974</v>
      </c>
      <c r="M32" s="10">
        <f t="shared" si="1"/>
        <v>0.83115537880828771</v>
      </c>
      <c r="N32" s="27"/>
      <c r="O32" s="27"/>
      <c r="P32" s="27"/>
      <c r="Q32" s="27"/>
    </row>
    <row r="33" spans="2:17" ht="28.8" customHeight="1">
      <c r="B33" s="492" t="s">
        <v>62</v>
      </c>
      <c r="C33" s="445" t="s">
        <v>63</v>
      </c>
      <c r="D33" s="45">
        <v>0.17013888888888887</v>
      </c>
      <c r="E33" s="11">
        <v>0.17708333333333334</v>
      </c>
      <c r="F33" s="11">
        <v>0.17361111111111113</v>
      </c>
      <c r="G33" s="11">
        <v>3053.9999999999864</v>
      </c>
      <c r="H33" s="31">
        <v>0.17708333333333334</v>
      </c>
      <c r="I33" s="45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493"/>
      <c r="C34" s="445" t="s">
        <v>36</v>
      </c>
      <c r="D34" s="45">
        <v>0.39513888888888882</v>
      </c>
      <c r="E34" s="11">
        <v>0.35902777777777778</v>
      </c>
      <c r="F34" s="11">
        <v>0.2902777777777778</v>
      </c>
      <c r="G34" s="11">
        <v>1118.8235294117633</v>
      </c>
      <c r="H34" s="31">
        <v>0.4152777777777778</v>
      </c>
      <c r="I34" s="22">
        <v>0</v>
      </c>
      <c r="J34" s="11">
        <v>0.79652777777777783</v>
      </c>
      <c r="K34" s="11">
        <v>0.94444444444444453</v>
      </c>
      <c r="L34" s="11">
        <v>0.98541666666666661</v>
      </c>
      <c r="M34" s="12">
        <v>46299.131944444445</v>
      </c>
      <c r="N34" s="27"/>
      <c r="O34" s="27"/>
      <c r="P34" s="27"/>
      <c r="Q34" s="27"/>
    </row>
    <row r="35" spans="2:17" ht="28.8" customHeight="1">
      <c r="B35" s="475" t="s">
        <v>67</v>
      </c>
      <c r="C35" s="476"/>
      <c r="D35" s="46">
        <v>10.25</v>
      </c>
      <c r="E35" s="47">
        <v>3.5</v>
      </c>
      <c r="F35" s="47">
        <v>3.8333333333333335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475" t="s">
        <v>68</v>
      </c>
      <c r="C36" s="476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475" t="s">
        <v>69</v>
      </c>
      <c r="C37" s="476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477" t="s">
        <v>70</v>
      </c>
      <c r="C38" s="478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57" priority="1" operator="lessThan">
      <formula>0.8</formula>
    </cfRule>
  </conditionalFormatting>
  <conditionalFormatting sqref="D15:Q15">
    <cfRule type="cellIs" dxfId="56" priority="3" operator="lessThan">
      <formula>0.8</formula>
    </cfRule>
  </conditionalFormatting>
  <conditionalFormatting sqref="J32:M32">
    <cfRule type="cellIs" dxfId="55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J8" sqref="J8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310</v>
      </c>
      <c r="B1" s="320"/>
      <c r="C1" s="321"/>
      <c r="D1" s="322" t="s">
        <v>311</v>
      </c>
      <c r="E1" s="323">
        <f>SUM(G5:G124)</f>
        <v>103962.2</v>
      </c>
      <c r="F1" s="324" t="s">
        <v>3</v>
      </c>
      <c r="G1" s="325">
        <f>SUM(H5:H124)</f>
        <v>1866299.925714286</v>
      </c>
      <c r="H1" s="326" t="s">
        <v>312</v>
      </c>
      <c r="I1" s="327">
        <f>+J16+J64+J24+J38+J51+J81+J100+J91+J57+J124+J111</f>
        <v>50.683333333333337</v>
      </c>
      <c r="J1" s="592" t="s">
        <v>313</v>
      </c>
      <c r="K1" s="593"/>
      <c r="L1" s="594"/>
      <c r="M1" s="592" t="s">
        <v>314</v>
      </c>
      <c r="N1" s="593"/>
      <c r="O1" s="593"/>
      <c r="P1" s="593"/>
      <c r="Q1" s="593"/>
      <c r="R1" s="594"/>
    </row>
    <row r="2" spans="1:18" ht="26.25" customHeight="1" thickBot="1">
      <c r="A2" s="598" t="s">
        <v>315</v>
      </c>
      <c r="B2" s="599"/>
      <c r="C2" s="329"/>
      <c r="D2" s="450" t="s">
        <v>316</v>
      </c>
      <c r="E2" s="330">
        <f>AVERAGE(L16,L24,L38,L51,L100,L111,L91)</f>
        <v>617.71950661067706</v>
      </c>
      <c r="F2" s="331" t="s">
        <v>80</v>
      </c>
      <c r="G2" s="332">
        <f>G1/E1</f>
        <v>17.951716351849864</v>
      </c>
      <c r="H2" s="333" t="s">
        <v>317</v>
      </c>
      <c r="I2" s="334">
        <f>COUNT(I5:I124)</f>
        <v>0</v>
      </c>
      <c r="J2" s="595"/>
      <c r="K2" s="596"/>
      <c r="L2" s="597"/>
      <c r="M2" s="595"/>
      <c r="N2" s="596"/>
      <c r="O2" s="596"/>
      <c r="P2" s="596"/>
      <c r="Q2" s="596"/>
      <c r="R2" s="597"/>
    </row>
    <row r="3" spans="1:18" ht="23.25" customHeight="1">
      <c r="A3" s="600" t="s">
        <v>318</v>
      </c>
      <c r="B3" s="602" t="s">
        <v>319</v>
      </c>
      <c r="C3" s="452"/>
      <c r="D3" s="603" t="s">
        <v>320</v>
      </c>
      <c r="E3" s="603"/>
      <c r="F3" s="604" t="s">
        <v>83</v>
      </c>
      <c r="G3" s="605" t="s">
        <v>321</v>
      </c>
      <c r="H3" s="606" t="s">
        <v>322</v>
      </c>
      <c r="I3" s="607" t="s">
        <v>323</v>
      </c>
      <c r="J3" s="580" t="s">
        <v>324</v>
      </c>
      <c r="K3" s="582" t="s">
        <v>325</v>
      </c>
      <c r="L3" s="584" t="s">
        <v>316</v>
      </c>
      <c r="M3" s="609" t="s">
        <v>88</v>
      </c>
      <c r="N3" s="609"/>
      <c r="O3" s="580" t="s">
        <v>168</v>
      </c>
      <c r="P3" s="610" t="s">
        <v>326</v>
      </c>
      <c r="Q3" s="580" t="s">
        <v>327</v>
      </c>
      <c r="R3" s="580"/>
    </row>
    <row r="4" spans="1:18" ht="15.75" customHeight="1">
      <c r="A4" s="601"/>
      <c r="B4" s="602"/>
      <c r="C4" s="452"/>
      <c r="D4" s="603"/>
      <c r="E4" s="603"/>
      <c r="F4" s="604"/>
      <c r="G4" s="605"/>
      <c r="H4" s="606"/>
      <c r="I4" s="608"/>
      <c r="J4" s="581"/>
      <c r="K4" s="583"/>
      <c r="L4" s="585"/>
      <c r="M4" s="449" t="s">
        <v>90</v>
      </c>
      <c r="N4" s="449" t="s">
        <v>91</v>
      </c>
      <c r="O4" s="581"/>
      <c r="P4" s="611"/>
      <c r="Q4" s="335" t="s">
        <v>328</v>
      </c>
      <c r="R4" s="335" t="s">
        <v>329</v>
      </c>
    </row>
    <row r="5" spans="1:18">
      <c r="A5" s="586" t="s">
        <v>330</v>
      </c>
      <c r="B5" s="336" t="s">
        <v>189</v>
      </c>
      <c r="C5" s="336"/>
      <c r="D5" s="337" t="s">
        <v>170</v>
      </c>
      <c r="E5" s="338"/>
      <c r="F5" s="339">
        <v>29.85</v>
      </c>
      <c r="G5" s="415">
        <v>257.2</v>
      </c>
      <c r="H5" s="340">
        <f>F5*G5</f>
        <v>7677.42</v>
      </c>
      <c r="I5" s="454"/>
      <c r="J5" s="341">
        <v>10</v>
      </c>
      <c r="K5" s="342">
        <f t="shared" ref="K5:K8" si="0">G5/P5*60</f>
        <v>1714.6666666666727</v>
      </c>
      <c r="L5" s="343">
        <f t="shared" ref="L5:L8" si="1">K5/J5</f>
        <v>171.46666666666727</v>
      </c>
      <c r="M5" s="344">
        <v>0.39930555555555547</v>
      </c>
      <c r="N5" s="344">
        <v>0.40555555555555545</v>
      </c>
      <c r="O5" s="335">
        <v>5</v>
      </c>
      <c r="P5" s="456">
        <f t="shared" ref="P5:P8" si="2">(N5-M5)*24*60</f>
        <v>8.999999999999968</v>
      </c>
      <c r="Q5" s="345"/>
      <c r="R5" s="345"/>
    </row>
    <row r="6" spans="1:18">
      <c r="A6" s="586"/>
      <c r="B6" s="336" t="s">
        <v>189</v>
      </c>
      <c r="C6" s="336"/>
      <c r="D6" s="337" t="s">
        <v>194</v>
      </c>
      <c r="E6" s="338"/>
      <c r="F6" s="339">
        <v>30</v>
      </c>
      <c r="G6" s="415">
        <v>211</v>
      </c>
      <c r="H6" s="340">
        <f t="shared" ref="H6:H15" si="3">F6*G6</f>
        <v>6330</v>
      </c>
      <c r="I6" s="454"/>
      <c r="J6" s="341">
        <v>12</v>
      </c>
      <c r="K6" s="342">
        <f t="shared" si="0"/>
        <v>791.24999999999898</v>
      </c>
      <c r="L6" s="343">
        <f t="shared" si="1"/>
        <v>65.937499999999915</v>
      </c>
      <c r="M6" s="344">
        <v>0.40902777777777766</v>
      </c>
      <c r="N6" s="344">
        <v>0.42013888888888878</v>
      </c>
      <c r="O6" s="335">
        <v>5</v>
      </c>
      <c r="P6" s="456">
        <f t="shared" si="2"/>
        <v>16.000000000000021</v>
      </c>
      <c r="Q6" s="335"/>
      <c r="R6" s="335"/>
    </row>
    <row r="7" spans="1:18">
      <c r="A7" s="586"/>
      <c r="B7" s="336" t="s">
        <v>189</v>
      </c>
      <c r="C7" s="336"/>
      <c r="D7" s="337" t="s">
        <v>171</v>
      </c>
      <c r="E7" s="338"/>
      <c r="F7" s="339">
        <v>29.52</v>
      </c>
      <c r="G7" s="415">
        <v>2205</v>
      </c>
      <c r="H7" s="340">
        <f t="shared" si="3"/>
        <v>65091.6</v>
      </c>
      <c r="I7" s="454"/>
      <c r="J7" s="341">
        <v>12</v>
      </c>
      <c r="K7" s="342">
        <f t="shared" si="0"/>
        <v>1837.5000000000005</v>
      </c>
      <c r="L7" s="343">
        <f t="shared" si="1"/>
        <v>153.12500000000003</v>
      </c>
      <c r="M7" s="344">
        <v>0.42569444444444432</v>
      </c>
      <c r="N7" s="344">
        <v>0.47569444444444431</v>
      </c>
      <c r="O7" s="335">
        <v>5</v>
      </c>
      <c r="P7" s="456">
        <f t="shared" si="2"/>
        <v>71.999999999999986</v>
      </c>
      <c r="Q7" s="345"/>
      <c r="R7" s="345"/>
    </row>
    <row r="8" spans="1:18">
      <c r="A8" s="586"/>
      <c r="B8" s="336" t="s">
        <v>189</v>
      </c>
      <c r="C8" s="336"/>
      <c r="D8" s="337" t="s">
        <v>195</v>
      </c>
      <c r="E8" s="338"/>
      <c r="F8" s="339">
        <v>30.95</v>
      </c>
      <c r="G8" s="415">
        <v>3350</v>
      </c>
      <c r="H8" s="340">
        <f t="shared" si="3"/>
        <v>103682.5</v>
      </c>
      <c r="I8" s="454"/>
      <c r="J8" s="341">
        <v>12</v>
      </c>
      <c r="K8" s="342">
        <f t="shared" si="0"/>
        <v>1647.5409836065569</v>
      </c>
      <c r="L8" s="343">
        <f t="shared" si="1"/>
        <v>137.29508196721306</v>
      </c>
      <c r="M8" s="344">
        <v>0.51388888888888873</v>
      </c>
      <c r="N8" s="344">
        <v>0.59861111111111098</v>
      </c>
      <c r="O8" s="335">
        <v>5</v>
      </c>
      <c r="P8" s="456">
        <f t="shared" si="2"/>
        <v>122.00000000000004</v>
      </c>
      <c r="Q8" s="345"/>
      <c r="R8" s="345"/>
    </row>
    <row r="9" spans="1:18">
      <c r="A9" s="586"/>
      <c r="B9" s="336">
        <v>0</v>
      </c>
      <c r="C9" s="336"/>
      <c r="D9" s="337"/>
      <c r="E9" s="338"/>
      <c r="F9" s="339" t="s">
        <v>161</v>
      </c>
      <c r="G9" s="416"/>
      <c r="H9" s="340"/>
      <c r="I9" s="454"/>
      <c r="J9" s="341"/>
      <c r="K9" s="342"/>
      <c r="L9" s="343"/>
      <c r="M9" s="344"/>
      <c r="N9" s="344"/>
      <c r="O9" s="335"/>
      <c r="P9" s="456"/>
      <c r="Q9" s="345"/>
      <c r="R9" s="345"/>
    </row>
    <row r="10" spans="1:18">
      <c r="A10" s="586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454"/>
      <c r="J10" s="341"/>
      <c r="K10" s="342"/>
      <c r="L10" s="343"/>
      <c r="M10" s="344"/>
      <c r="N10" s="344"/>
      <c r="O10" s="335"/>
      <c r="P10" s="456"/>
      <c r="Q10" s="345"/>
      <c r="R10" s="345"/>
    </row>
    <row r="11" spans="1:18">
      <c r="A11" s="586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454"/>
      <c r="J11" s="341"/>
      <c r="K11" s="342"/>
      <c r="L11" s="343"/>
      <c r="M11" s="344"/>
      <c r="N11" s="344"/>
      <c r="O11" s="335"/>
      <c r="P11" s="456"/>
      <c r="Q11" s="345"/>
      <c r="R11" s="345"/>
    </row>
    <row r="12" spans="1:18">
      <c r="A12" s="587"/>
      <c r="B12" s="336">
        <v>0</v>
      </c>
      <c r="C12" s="453"/>
      <c r="D12" s="337"/>
      <c r="E12" s="338"/>
      <c r="F12" s="339" t="s">
        <v>161</v>
      </c>
      <c r="G12" s="451"/>
      <c r="H12" s="340">
        <f t="shared" si="3"/>
        <v>0</v>
      </c>
      <c r="I12" s="454"/>
      <c r="J12" s="341"/>
      <c r="K12" s="342"/>
      <c r="L12" s="343"/>
      <c r="M12" s="344"/>
      <c r="N12" s="344"/>
      <c r="O12" s="335"/>
      <c r="P12" s="456"/>
      <c r="Q12" s="345"/>
      <c r="R12" s="335"/>
    </row>
    <row r="13" spans="1:18">
      <c r="A13" s="587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454"/>
      <c r="J13" s="341"/>
      <c r="K13" s="342"/>
      <c r="L13" s="343"/>
      <c r="M13" s="344"/>
      <c r="N13" s="344"/>
      <c r="O13" s="335"/>
      <c r="P13" s="456"/>
      <c r="Q13" s="335"/>
      <c r="R13" s="335"/>
    </row>
    <row r="14" spans="1:18">
      <c r="A14" s="587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454"/>
      <c r="J14" s="341"/>
      <c r="K14" s="342"/>
      <c r="L14" s="343"/>
      <c r="M14" s="344"/>
      <c r="N14" s="344"/>
      <c r="O14" s="335"/>
      <c r="P14" s="456"/>
      <c r="Q14" s="335"/>
      <c r="R14" s="335"/>
    </row>
    <row r="15" spans="1:18">
      <c r="A15" s="587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454"/>
      <c r="J15" s="341"/>
      <c r="K15" s="342"/>
      <c r="L15" s="343"/>
      <c r="M15" s="344"/>
      <c r="N15" s="344"/>
      <c r="O15" s="335"/>
      <c r="P15" s="456"/>
      <c r="Q15" s="335"/>
      <c r="R15" s="335"/>
    </row>
    <row r="16" spans="1:18" ht="15.75" customHeight="1">
      <c r="A16" s="588"/>
      <c r="B16" s="336">
        <v>0</v>
      </c>
      <c r="C16" s="349" t="s">
        <v>331</v>
      </c>
      <c r="D16" s="571" t="s">
        <v>332</v>
      </c>
      <c r="E16" s="571"/>
      <c r="F16" s="350"/>
      <c r="G16" s="351"/>
      <c r="H16" s="352"/>
      <c r="I16" s="353"/>
      <c r="J16" s="354">
        <f>AVERAGE(J5:J15)</f>
        <v>11.5</v>
      </c>
      <c r="K16" s="354">
        <f>AVERAGE(K5:K15)</f>
        <v>1497.7394125683072</v>
      </c>
      <c r="L16" s="355">
        <f>AVERAGE(L5:L15)</f>
        <v>131.95606215847008</v>
      </c>
      <c r="M16" s="344"/>
      <c r="N16" s="344"/>
      <c r="O16" s="342"/>
      <c r="P16" s="342"/>
      <c r="Q16" s="343"/>
      <c r="R16" s="343"/>
    </row>
    <row r="17" spans="1:18" ht="15.75" customHeight="1">
      <c r="A17" s="589" t="s">
        <v>333</v>
      </c>
      <c r="B17" s="336">
        <v>0</v>
      </c>
      <c r="C17" s="453"/>
      <c r="D17" s="337" t="s">
        <v>172</v>
      </c>
      <c r="E17" s="337"/>
      <c r="F17" s="339" t="s">
        <v>161</v>
      </c>
      <c r="G17" s="452">
        <v>2205</v>
      </c>
      <c r="H17" s="356">
        <f t="shared" ref="H17:H23" si="4">F17*G17</f>
        <v>0</v>
      </c>
      <c r="I17" s="357"/>
      <c r="J17" s="341">
        <v>10</v>
      </c>
      <c r="K17" s="342">
        <f t="shared" ref="K17:K20" si="5">G17/P17*60</f>
        <v>1633.3333333333337</v>
      </c>
      <c r="L17" s="343">
        <f>K17/J17</f>
        <v>163.33333333333337</v>
      </c>
      <c r="M17" s="344">
        <v>0.17013888888888887</v>
      </c>
      <c r="N17" s="344">
        <v>0.22638888888888886</v>
      </c>
      <c r="O17" s="335">
        <v>5</v>
      </c>
      <c r="P17" s="456">
        <f>(N17-M17)*24*60</f>
        <v>80.999999999999986</v>
      </c>
      <c r="Q17" s="335"/>
      <c r="R17" s="335"/>
    </row>
    <row r="18" spans="1:18" ht="15.75" customHeight="1">
      <c r="A18" s="589"/>
      <c r="B18" s="336">
        <v>0</v>
      </c>
      <c r="C18" s="453"/>
      <c r="D18" s="337" t="s">
        <v>334</v>
      </c>
      <c r="E18" s="337"/>
      <c r="F18" s="339" t="s">
        <v>161</v>
      </c>
      <c r="G18" s="451">
        <v>2572</v>
      </c>
      <c r="H18" s="340">
        <f t="shared" si="4"/>
        <v>0</v>
      </c>
      <c r="I18" s="454"/>
      <c r="J18" s="341">
        <v>10</v>
      </c>
      <c r="K18" s="342">
        <f t="shared" si="5"/>
        <v>1607.5000000000005</v>
      </c>
      <c r="L18" s="343">
        <f t="shared" ref="L18" si="6">K18/J18</f>
        <v>160.75000000000006</v>
      </c>
      <c r="M18" s="344">
        <v>0.22986111111111107</v>
      </c>
      <c r="N18" s="344">
        <v>0.29652777777777772</v>
      </c>
      <c r="O18" s="335">
        <v>5</v>
      </c>
      <c r="P18" s="456">
        <f t="shared" ref="P18:P20" si="7">(N18-M18)*24*60</f>
        <v>95.999999999999972</v>
      </c>
      <c r="Q18" s="345"/>
      <c r="R18" s="345"/>
    </row>
    <row r="19" spans="1:18" ht="15.75" customHeight="1">
      <c r="A19" s="589"/>
      <c r="B19" s="336">
        <v>0</v>
      </c>
      <c r="C19" s="453"/>
      <c r="D19" s="337" t="s">
        <v>335</v>
      </c>
      <c r="E19" s="337"/>
      <c r="F19" s="339" t="s">
        <v>161</v>
      </c>
      <c r="G19" s="451">
        <v>211</v>
      </c>
      <c r="H19" s="340">
        <f t="shared" si="4"/>
        <v>0</v>
      </c>
      <c r="I19" s="454"/>
      <c r="J19" s="341">
        <v>12</v>
      </c>
      <c r="K19" s="342">
        <f t="shared" si="5"/>
        <v>1406.6666666666717</v>
      </c>
      <c r="L19" s="343">
        <f>K19/J19</f>
        <v>117.22222222222264</v>
      </c>
      <c r="M19" s="344">
        <v>0.29999999999999993</v>
      </c>
      <c r="N19" s="344">
        <v>0.30624999999999991</v>
      </c>
      <c r="O19" s="335">
        <v>5</v>
      </c>
      <c r="P19" s="456">
        <f t="shared" si="7"/>
        <v>8.999999999999968</v>
      </c>
      <c r="Q19" s="345"/>
      <c r="R19" s="345"/>
    </row>
    <row r="20" spans="1:18" ht="15.75" customHeight="1">
      <c r="A20" s="590"/>
      <c r="B20" s="336">
        <v>0</v>
      </c>
      <c r="C20" s="453"/>
      <c r="D20" s="337" t="s">
        <v>336</v>
      </c>
      <c r="E20" s="337"/>
      <c r="F20" s="339" t="s">
        <v>161</v>
      </c>
      <c r="G20" s="451">
        <v>3350</v>
      </c>
      <c r="H20" s="340">
        <f t="shared" si="4"/>
        <v>0</v>
      </c>
      <c r="I20" s="454"/>
      <c r="J20" s="341">
        <v>9</v>
      </c>
      <c r="K20" s="342">
        <f t="shared" si="5"/>
        <v>1634.146341463414</v>
      </c>
      <c r="L20" s="343">
        <f t="shared" ref="L20" si="8">K20/J20</f>
        <v>181.57181571815713</v>
      </c>
      <c r="M20" s="344">
        <v>0.30972222222222212</v>
      </c>
      <c r="N20" s="344">
        <v>0.39513888888888882</v>
      </c>
      <c r="O20" s="335">
        <v>5</v>
      </c>
      <c r="P20" s="456">
        <f t="shared" si="7"/>
        <v>123.00000000000004</v>
      </c>
      <c r="Q20" s="345"/>
      <c r="R20" s="345"/>
    </row>
    <row r="21" spans="1:18" ht="15.75" customHeight="1">
      <c r="A21" s="590"/>
      <c r="B21" s="336">
        <v>0</v>
      </c>
      <c r="C21" s="453"/>
      <c r="D21" s="337"/>
      <c r="E21" s="337"/>
      <c r="F21" s="339" t="s">
        <v>161</v>
      </c>
      <c r="G21" s="451"/>
      <c r="H21" s="340"/>
      <c r="I21" s="454"/>
      <c r="J21" s="341"/>
      <c r="K21" s="342"/>
      <c r="L21" s="343"/>
      <c r="M21" s="344"/>
      <c r="N21" s="344"/>
      <c r="O21" s="335"/>
      <c r="P21" s="456"/>
      <c r="Q21" s="345"/>
      <c r="R21" s="345"/>
    </row>
    <row r="22" spans="1:18" ht="15.75" customHeight="1">
      <c r="A22" s="590"/>
      <c r="B22" s="336">
        <v>0</v>
      </c>
      <c r="C22" s="453"/>
      <c r="D22" s="337"/>
      <c r="E22" s="338"/>
      <c r="F22" s="339" t="s">
        <v>161</v>
      </c>
      <c r="G22" s="451"/>
      <c r="H22" s="340">
        <f t="shared" si="4"/>
        <v>0</v>
      </c>
      <c r="I22" s="454"/>
      <c r="J22" s="341"/>
      <c r="K22" s="342"/>
      <c r="L22" s="343"/>
      <c r="M22" s="344"/>
      <c r="N22" s="344"/>
      <c r="O22" s="335"/>
      <c r="P22" s="456"/>
      <c r="Q22" s="335"/>
      <c r="R22" s="335"/>
    </row>
    <row r="23" spans="1:18" ht="15.75" customHeight="1">
      <c r="A23" s="590"/>
      <c r="B23" s="336">
        <v>0</v>
      </c>
      <c r="C23" s="453"/>
      <c r="D23" s="337"/>
      <c r="E23" s="338"/>
      <c r="F23" s="339" t="s">
        <v>161</v>
      </c>
      <c r="G23" s="451"/>
      <c r="H23" s="340">
        <f t="shared" si="4"/>
        <v>0</v>
      </c>
      <c r="I23" s="454"/>
      <c r="J23" s="341"/>
      <c r="K23" s="342"/>
      <c r="L23" s="343"/>
      <c r="M23" s="344"/>
      <c r="N23" s="344"/>
      <c r="O23" s="335"/>
      <c r="P23" s="456"/>
      <c r="Q23" s="335"/>
      <c r="R23" s="335"/>
    </row>
    <row r="24" spans="1:18" ht="17.399999999999999" customHeight="1">
      <c r="A24" s="591"/>
      <c r="B24" s="336">
        <v>0</v>
      </c>
      <c r="C24" s="204" t="s">
        <v>337</v>
      </c>
      <c r="D24" s="571" t="s">
        <v>332</v>
      </c>
      <c r="E24" s="571"/>
      <c r="F24" s="350"/>
      <c r="G24" s="358"/>
      <c r="H24" s="352"/>
      <c r="I24" s="353"/>
      <c r="J24" s="354">
        <f>AVERAGE(J17:J23)</f>
        <v>10.25</v>
      </c>
      <c r="K24" s="354">
        <f>AVERAGE(K17:K23)</f>
        <v>1570.411585365855</v>
      </c>
      <c r="L24" s="355">
        <f>AVERAGE(L17:L23)</f>
        <v>155.71934281842829</v>
      </c>
      <c r="M24" s="344"/>
      <c r="N24" s="344"/>
      <c r="O24" s="335"/>
      <c r="P24" s="335"/>
      <c r="Q24" s="335"/>
      <c r="R24" s="335"/>
    </row>
    <row r="25" spans="1:18">
      <c r="A25" s="578" t="s">
        <v>338</v>
      </c>
      <c r="B25" s="336" t="s">
        <v>165</v>
      </c>
      <c r="C25" s="359"/>
      <c r="D25" s="360" t="s">
        <v>174</v>
      </c>
      <c r="E25" s="361"/>
      <c r="F25" s="339">
        <v>18.53</v>
      </c>
      <c r="G25" s="452">
        <v>1624</v>
      </c>
      <c r="H25" s="340">
        <f t="shared" ref="H25:H37" si="9">F25*G25</f>
        <v>30092.720000000001</v>
      </c>
      <c r="I25" s="454"/>
      <c r="J25" s="341">
        <v>3</v>
      </c>
      <c r="K25" s="342">
        <f t="shared" ref="K25:K30" si="10">G25/P25*60</f>
        <v>2952.7272727272762</v>
      </c>
      <c r="L25" s="343">
        <f t="shared" ref="L25:L30" si="11">K25/J25</f>
        <v>984.24242424242539</v>
      </c>
      <c r="M25" s="344">
        <v>0.17708333333333334</v>
      </c>
      <c r="N25" s="344">
        <v>0.19999999999999998</v>
      </c>
      <c r="O25" s="335">
        <v>15</v>
      </c>
      <c r="P25" s="456">
        <f>(N25-M25)*24*60</f>
        <v>32.999999999999964</v>
      </c>
      <c r="Q25" s="345"/>
      <c r="R25" s="345"/>
    </row>
    <row r="26" spans="1:18">
      <c r="A26" s="578"/>
      <c r="B26" s="336" t="s">
        <v>165</v>
      </c>
      <c r="C26" s="359"/>
      <c r="D26" s="337" t="s">
        <v>339</v>
      </c>
      <c r="E26" s="362"/>
      <c r="F26" s="339">
        <v>18.18</v>
      </c>
      <c r="G26" s="452">
        <v>2569</v>
      </c>
      <c r="H26" s="340">
        <f t="shared" si="9"/>
        <v>46704.42</v>
      </c>
      <c r="I26" s="454"/>
      <c r="J26" s="341">
        <v>4</v>
      </c>
      <c r="K26" s="342">
        <f t="shared" si="10"/>
        <v>2802.5454545454563</v>
      </c>
      <c r="L26" s="343">
        <f t="shared" si="11"/>
        <v>700.63636363636408</v>
      </c>
      <c r="M26" s="344">
        <v>0.21388888888888891</v>
      </c>
      <c r="N26" s="344">
        <v>0.25208333333333333</v>
      </c>
      <c r="O26" s="335">
        <v>20</v>
      </c>
      <c r="P26" s="456">
        <f>(N26-M26)*24*60</f>
        <v>54.999999999999964</v>
      </c>
      <c r="Q26" s="345"/>
      <c r="R26" s="345"/>
    </row>
    <row r="27" spans="1:18">
      <c r="A27" s="578"/>
      <c r="B27" s="336" t="s">
        <v>189</v>
      </c>
      <c r="C27" s="359"/>
      <c r="D27" s="360" t="s">
        <v>340</v>
      </c>
      <c r="E27" s="362"/>
      <c r="F27" s="339">
        <v>22.32</v>
      </c>
      <c r="G27" s="452">
        <v>1447</v>
      </c>
      <c r="H27" s="340">
        <f t="shared" si="9"/>
        <v>32297.040000000001</v>
      </c>
      <c r="I27" s="454"/>
      <c r="J27" s="341">
        <v>4</v>
      </c>
      <c r="K27" s="342">
        <f t="shared" si="10"/>
        <v>3100.7142857142881</v>
      </c>
      <c r="L27" s="343">
        <f t="shared" si="11"/>
        <v>775.17857142857201</v>
      </c>
      <c r="M27" s="344">
        <v>0.26458333333333334</v>
      </c>
      <c r="N27" s="344">
        <v>0.28402777777777777</v>
      </c>
      <c r="O27" s="335">
        <v>18</v>
      </c>
      <c r="P27" s="456">
        <f t="shared" ref="P27:P30" si="12">(N27-M27)*24*60</f>
        <v>27.999999999999979</v>
      </c>
      <c r="Q27" s="345"/>
      <c r="R27" s="345"/>
    </row>
    <row r="28" spans="1:18">
      <c r="A28" s="578"/>
      <c r="B28" s="336" t="s">
        <v>165</v>
      </c>
      <c r="C28" s="453"/>
      <c r="D28" s="361" t="s">
        <v>341</v>
      </c>
      <c r="E28" s="362"/>
      <c r="F28" s="339">
        <v>17.890909090909091</v>
      </c>
      <c r="G28" s="452">
        <v>1767</v>
      </c>
      <c r="H28" s="340">
        <f t="shared" si="9"/>
        <v>31613.236363636363</v>
      </c>
      <c r="I28" s="454"/>
      <c r="J28" s="341">
        <v>3</v>
      </c>
      <c r="K28" s="342">
        <f t="shared" si="10"/>
        <v>3212.7272727272762</v>
      </c>
      <c r="L28" s="343">
        <f t="shared" si="11"/>
        <v>1070.9090909090921</v>
      </c>
      <c r="M28" s="344">
        <v>0.2951388888888889</v>
      </c>
      <c r="N28" s="344">
        <v>0.31805555555555554</v>
      </c>
      <c r="O28" s="335">
        <v>16</v>
      </c>
      <c r="P28" s="456">
        <f t="shared" si="12"/>
        <v>32.999999999999964</v>
      </c>
      <c r="Q28" s="345"/>
      <c r="R28" s="345"/>
    </row>
    <row r="29" spans="1:18">
      <c r="A29" s="578"/>
      <c r="B29" s="336" t="s">
        <v>189</v>
      </c>
      <c r="C29" s="452"/>
      <c r="D29" s="337" t="s">
        <v>175</v>
      </c>
      <c r="E29" s="362"/>
      <c r="F29" s="339">
        <v>18.77</v>
      </c>
      <c r="G29" s="452">
        <v>678</v>
      </c>
      <c r="H29" s="340">
        <f t="shared" si="9"/>
        <v>12726.06</v>
      </c>
      <c r="I29" s="454"/>
      <c r="J29" s="341">
        <v>4</v>
      </c>
      <c r="K29" s="342">
        <f t="shared" si="10"/>
        <v>2905.7142857142962</v>
      </c>
      <c r="L29" s="343">
        <f t="shared" si="11"/>
        <v>726.42857142857406</v>
      </c>
      <c r="M29" s="344">
        <v>0.33194444444444443</v>
      </c>
      <c r="N29" s="344">
        <v>0.34166666666666662</v>
      </c>
      <c r="O29" s="335">
        <v>20</v>
      </c>
      <c r="P29" s="456">
        <f t="shared" si="12"/>
        <v>13.99999999999995</v>
      </c>
      <c r="Q29" s="345"/>
      <c r="R29" s="345"/>
    </row>
    <row r="30" spans="1:18">
      <c r="A30" s="578"/>
      <c r="B30" s="336" t="s">
        <v>165</v>
      </c>
      <c r="C30" s="452"/>
      <c r="D30" s="360" t="s">
        <v>342</v>
      </c>
      <c r="E30" s="362"/>
      <c r="F30" s="339">
        <v>24.93</v>
      </c>
      <c r="G30" s="452">
        <v>491</v>
      </c>
      <c r="H30" s="340">
        <f t="shared" si="9"/>
        <v>12240.63</v>
      </c>
      <c r="I30" s="454"/>
      <c r="J30" s="341">
        <v>3</v>
      </c>
      <c r="K30" s="342">
        <f t="shared" si="10"/>
        <v>2945.9999999999868</v>
      </c>
      <c r="L30" s="343">
        <f t="shared" si="11"/>
        <v>981.99999999999557</v>
      </c>
      <c r="M30" s="344">
        <v>0.3520833333333333</v>
      </c>
      <c r="N30" s="344">
        <v>0.35902777777777778</v>
      </c>
      <c r="O30" s="335">
        <v>15</v>
      </c>
      <c r="P30" s="456">
        <f t="shared" si="12"/>
        <v>10.000000000000044</v>
      </c>
      <c r="Q30" s="345"/>
      <c r="R30" s="345"/>
    </row>
    <row r="31" spans="1:18" ht="15.75" customHeight="1">
      <c r="A31" s="578"/>
      <c r="B31" s="336">
        <v>0</v>
      </c>
      <c r="C31" s="453"/>
      <c r="D31" s="360"/>
      <c r="E31" s="362"/>
      <c r="F31" s="339" t="s">
        <v>161</v>
      </c>
      <c r="G31" s="452"/>
      <c r="H31" s="340">
        <f t="shared" si="9"/>
        <v>0</v>
      </c>
      <c r="I31" s="454"/>
      <c r="J31" s="341"/>
      <c r="K31" s="342"/>
      <c r="L31" s="343"/>
      <c r="M31" s="344"/>
      <c r="N31" s="344"/>
      <c r="O31" s="335"/>
      <c r="P31" s="456"/>
      <c r="Q31" s="345"/>
      <c r="R31" s="345"/>
    </row>
    <row r="32" spans="1:18">
      <c r="A32" s="578"/>
      <c r="B32" s="336">
        <v>0</v>
      </c>
      <c r="C32" s="453"/>
      <c r="D32" s="360"/>
      <c r="E32" s="338"/>
      <c r="F32" s="339" t="s">
        <v>161</v>
      </c>
      <c r="G32" s="452"/>
      <c r="H32" s="340">
        <f t="shared" si="9"/>
        <v>0</v>
      </c>
      <c r="I32" s="454"/>
      <c r="J32" s="341"/>
      <c r="K32" s="342"/>
      <c r="L32" s="343"/>
      <c r="M32" s="344"/>
      <c r="N32" s="344"/>
      <c r="O32" s="335"/>
      <c r="P32" s="456"/>
      <c r="Q32" s="345"/>
      <c r="R32" s="345"/>
    </row>
    <row r="33" spans="1:18">
      <c r="A33" s="578"/>
      <c r="B33" s="336">
        <v>0</v>
      </c>
      <c r="C33" s="452"/>
      <c r="D33" s="363"/>
      <c r="E33" s="362"/>
      <c r="F33" s="339" t="s">
        <v>161</v>
      </c>
      <c r="G33" s="452"/>
      <c r="H33" s="340">
        <f t="shared" si="9"/>
        <v>0</v>
      </c>
      <c r="I33" s="454"/>
      <c r="J33" s="341"/>
      <c r="K33" s="342"/>
      <c r="L33" s="343"/>
      <c r="M33" s="344"/>
      <c r="N33" s="344"/>
      <c r="O33" s="335"/>
      <c r="P33" s="456"/>
      <c r="Q33" s="345"/>
      <c r="R33" s="345"/>
    </row>
    <row r="34" spans="1:18">
      <c r="A34" s="578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9"/>
        <v>0</v>
      </c>
      <c r="I34" s="454"/>
      <c r="J34" s="341"/>
      <c r="K34" s="342"/>
      <c r="L34" s="343"/>
      <c r="M34" s="344"/>
      <c r="N34" s="344"/>
      <c r="O34" s="335"/>
      <c r="P34" s="456"/>
      <c r="Q34" s="345"/>
      <c r="R34" s="345"/>
    </row>
    <row r="35" spans="1:18">
      <c r="A35" s="578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9"/>
        <v>0</v>
      </c>
      <c r="I35" s="454"/>
      <c r="J35" s="341"/>
      <c r="K35" s="342"/>
      <c r="L35" s="343"/>
      <c r="M35" s="344"/>
      <c r="N35" s="344"/>
      <c r="O35" s="335"/>
      <c r="P35" s="456"/>
      <c r="Q35" s="345"/>
      <c r="R35" s="345"/>
    </row>
    <row r="36" spans="1:18">
      <c r="A36" s="578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9"/>
        <v>0</v>
      </c>
      <c r="I36" s="454"/>
      <c r="J36" s="341"/>
      <c r="K36" s="342"/>
      <c r="L36" s="343"/>
      <c r="M36" s="344"/>
      <c r="N36" s="344"/>
      <c r="O36" s="335"/>
      <c r="P36" s="456"/>
      <c r="Q36" s="345"/>
      <c r="R36" s="345"/>
    </row>
    <row r="37" spans="1:18">
      <c r="A37" s="578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9"/>
        <v>0</v>
      </c>
      <c r="I37" s="454"/>
      <c r="J37" s="341"/>
      <c r="K37" s="342"/>
      <c r="L37" s="343"/>
      <c r="M37" s="344"/>
      <c r="N37" s="344"/>
      <c r="O37" s="335"/>
      <c r="P37" s="456"/>
      <c r="Q37" s="345"/>
      <c r="R37" s="345"/>
    </row>
    <row r="38" spans="1:18" ht="17.399999999999999" customHeight="1">
      <c r="A38" s="579"/>
      <c r="B38" s="336">
        <v>0</v>
      </c>
      <c r="C38" s="204" t="s">
        <v>27</v>
      </c>
      <c r="D38" s="552" t="s">
        <v>176</v>
      </c>
      <c r="E38" s="552"/>
      <c r="F38" s="350"/>
      <c r="G38" s="365"/>
      <c r="H38" s="352"/>
      <c r="I38" s="353"/>
      <c r="J38" s="354">
        <f>AVERAGE(J25:J37)</f>
        <v>3.5</v>
      </c>
      <c r="K38" s="354">
        <f>AVERAGE(K25:K37)</f>
        <v>2986.7380952380968</v>
      </c>
      <c r="L38" s="355">
        <f>AVERAGE(L25:L37)</f>
        <v>873.23250360750387</v>
      </c>
      <c r="M38" s="344"/>
      <c r="N38" s="344"/>
      <c r="O38" s="342"/>
      <c r="P38" s="342"/>
      <c r="Q38" s="343"/>
      <c r="R38" s="343"/>
    </row>
    <row r="39" spans="1:18" ht="16.2" customHeight="1">
      <c r="A39" s="567" t="s">
        <v>343</v>
      </c>
      <c r="B39" s="336" t="s">
        <v>165</v>
      </c>
      <c r="C39" s="453"/>
      <c r="D39" s="360" t="s">
        <v>344</v>
      </c>
      <c r="E39" s="338"/>
      <c r="F39" s="339">
        <v>16.66</v>
      </c>
      <c r="G39" s="452">
        <v>3616</v>
      </c>
      <c r="H39" s="340">
        <f t="shared" ref="H39:H47" si="13">F39*G39</f>
        <v>60242.559999999998</v>
      </c>
      <c r="I39" s="454"/>
      <c r="J39" s="341">
        <v>4</v>
      </c>
      <c r="K39" s="342">
        <f t="shared" ref="K39:K40" si="14">G39/P39*60</f>
        <v>2892.8000000000011</v>
      </c>
      <c r="L39" s="343">
        <f t="shared" ref="L39:L40" si="15">K39/J39</f>
        <v>723.20000000000027</v>
      </c>
      <c r="M39" s="344">
        <v>0.17361111111111113</v>
      </c>
      <c r="N39" s="344">
        <v>0.22569444444444445</v>
      </c>
      <c r="O39" s="335">
        <v>10</v>
      </c>
      <c r="P39" s="456">
        <f t="shared" ref="P39:P40" si="16">(N39-M39)*24*60</f>
        <v>74.999999999999972</v>
      </c>
      <c r="Q39" s="345"/>
      <c r="R39" s="345"/>
    </row>
    <row r="40" spans="1:18">
      <c r="A40" s="568"/>
      <c r="B40" s="336" t="s">
        <v>165</v>
      </c>
      <c r="C40" s="453"/>
      <c r="D40" s="361" t="s">
        <v>345</v>
      </c>
      <c r="E40" s="338"/>
      <c r="F40" s="339">
        <v>22.95</v>
      </c>
      <c r="G40" s="452">
        <v>3967</v>
      </c>
      <c r="H40" s="340">
        <f t="shared" si="13"/>
        <v>91042.65</v>
      </c>
      <c r="I40" s="454"/>
      <c r="J40" s="341">
        <v>4</v>
      </c>
      <c r="K40" s="342">
        <f t="shared" si="14"/>
        <v>3051.5384615384614</v>
      </c>
      <c r="L40" s="343">
        <f t="shared" si="15"/>
        <v>762.88461538461536</v>
      </c>
      <c r="M40" s="344">
        <v>0.23611111111111113</v>
      </c>
      <c r="N40" s="344">
        <v>0.2902777777777778</v>
      </c>
      <c r="O40" s="335">
        <v>15</v>
      </c>
      <c r="P40" s="456">
        <f t="shared" si="16"/>
        <v>78</v>
      </c>
      <c r="Q40" s="345"/>
      <c r="R40" s="345"/>
    </row>
    <row r="41" spans="1:18">
      <c r="A41" s="568"/>
      <c r="B41" s="336">
        <v>0</v>
      </c>
      <c r="C41" s="453"/>
      <c r="D41" s="361"/>
      <c r="E41" s="338"/>
      <c r="F41" s="339" t="s">
        <v>161</v>
      </c>
      <c r="G41" s="452"/>
      <c r="H41" s="340">
        <f t="shared" si="13"/>
        <v>0</v>
      </c>
      <c r="I41" s="454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568"/>
      <c r="B42" s="336">
        <v>0</v>
      </c>
      <c r="C42" s="453"/>
      <c r="D42" s="361"/>
      <c r="E42" s="338"/>
      <c r="F42" s="339" t="s">
        <v>161</v>
      </c>
      <c r="G42" s="452"/>
      <c r="H42" s="340">
        <f t="shared" si="13"/>
        <v>0</v>
      </c>
      <c r="I42" s="454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568"/>
      <c r="B43" s="336">
        <v>0</v>
      </c>
      <c r="C43" s="453"/>
      <c r="D43" s="363"/>
      <c r="E43" s="338"/>
      <c r="F43" s="339" t="s">
        <v>161</v>
      </c>
      <c r="G43" s="452"/>
      <c r="H43" s="340">
        <f t="shared" si="13"/>
        <v>0</v>
      </c>
      <c r="I43" s="454"/>
      <c r="J43" s="341"/>
      <c r="K43" s="342"/>
      <c r="L43" s="343"/>
      <c r="M43" s="344"/>
      <c r="N43" s="344"/>
      <c r="O43" s="335"/>
      <c r="P43" s="456"/>
      <c r="Q43" s="345"/>
      <c r="R43" s="345"/>
    </row>
    <row r="44" spans="1:18">
      <c r="A44" s="568"/>
      <c r="B44" s="336">
        <v>0</v>
      </c>
      <c r="C44" s="453"/>
      <c r="D44" s="361"/>
      <c r="E44" s="367"/>
      <c r="F44" s="339" t="s">
        <v>161</v>
      </c>
      <c r="G44" s="368"/>
      <c r="H44" s="369">
        <f t="shared" si="13"/>
        <v>0</v>
      </c>
      <c r="I44" s="455"/>
      <c r="J44" s="341"/>
      <c r="K44" s="342"/>
      <c r="L44" s="343"/>
      <c r="M44" s="344"/>
      <c r="N44" s="344"/>
      <c r="O44" s="335"/>
      <c r="P44" s="456"/>
      <c r="Q44" s="345"/>
      <c r="R44" s="345"/>
    </row>
    <row r="45" spans="1:18">
      <c r="A45" s="568"/>
      <c r="B45" s="336">
        <v>0</v>
      </c>
      <c r="C45" s="453"/>
      <c r="D45" s="361"/>
      <c r="E45" s="362"/>
      <c r="F45" s="339" t="s">
        <v>161</v>
      </c>
      <c r="G45" s="452"/>
      <c r="H45" s="340">
        <f t="shared" si="13"/>
        <v>0</v>
      </c>
      <c r="I45" s="454"/>
      <c r="J45" s="341"/>
      <c r="K45" s="342"/>
      <c r="L45" s="343"/>
      <c r="M45" s="344"/>
      <c r="N45" s="344"/>
      <c r="O45" s="335"/>
      <c r="P45" s="456"/>
      <c r="Q45" s="345"/>
      <c r="R45" s="345"/>
    </row>
    <row r="46" spans="1:18">
      <c r="A46" s="568"/>
      <c r="B46" s="336">
        <v>0</v>
      </c>
      <c r="C46" s="453"/>
      <c r="D46" s="363"/>
      <c r="E46" s="367"/>
      <c r="F46" s="339" t="s">
        <v>161</v>
      </c>
      <c r="G46" s="368"/>
      <c r="H46" s="369">
        <f t="shared" si="13"/>
        <v>0</v>
      </c>
      <c r="I46" s="455"/>
      <c r="J46" s="341"/>
      <c r="K46" s="342"/>
      <c r="L46" s="343"/>
      <c r="M46" s="344"/>
      <c r="N46" s="344"/>
      <c r="O46" s="335"/>
      <c r="P46" s="456"/>
      <c r="Q46" s="345"/>
      <c r="R46" s="345"/>
    </row>
    <row r="47" spans="1:18">
      <c r="A47" s="568"/>
      <c r="B47" s="336">
        <v>0</v>
      </c>
      <c r="C47" s="453"/>
      <c r="D47" s="361"/>
      <c r="E47" s="362"/>
      <c r="F47" s="339" t="s">
        <v>161</v>
      </c>
      <c r="G47" s="452"/>
      <c r="H47" s="340">
        <f t="shared" si="13"/>
        <v>0</v>
      </c>
      <c r="I47" s="454"/>
      <c r="J47" s="341"/>
      <c r="K47" s="342"/>
      <c r="L47" s="343"/>
      <c r="M47" s="344"/>
      <c r="N47" s="344"/>
      <c r="O47" s="335"/>
      <c r="P47" s="456"/>
      <c r="Q47" s="345"/>
      <c r="R47" s="345"/>
    </row>
    <row r="48" spans="1:18">
      <c r="A48" s="569"/>
      <c r="B48" s="336">
        <v>0</v>
      </c>
      <c r="C48" s="452"/>
      <c r="D48" s="361"/>
      <c r="E48" s="370"/>
      <c r="F48" s="339" t="s">
        <v>161</v>
      </c>
      <c r="G48" s="452"/>
      <c r="H48" s="340"/>
      <c r="I48" s="454"/>
      <c r="J48" s="341"/>
      <c r="K48" s="342"/>
      <c r="L48" s="343"/>
      <c r="M48" s="344"/>
      <c r="N48" s="344"/>
      <c r="O48" s="335"/>
      <c r="P48" s="456"/>
      <c r="Q48" s="345"/>
      <c r="R48" s="345"/>
    </row>
    <row r="49" spans="1:18">
      <c r="A49" s="569"/>
      <c r="B49" s="336">
        <v>0</v>
      </c>
      <c r="C49" s="452"/>
      <c r="D49" s="360"/>
      <c r="E49" s="371"/>
      <c r="F49" s="339" t="s">
        <v>161</v>
      </c>
      <c r="G49" s="335"/>
      <c r="H49" s="369">
        <f>F49*G49</f>
        <v>0</v>
      </c>
      <c r="I49" s="456"/>
      <c r="J49" s="341"/>
      <c r="K49" s="342"/>
      <c r="L49" s="343"/>
      <c r="M49" s="344"/>
      <c r="N49" s="344"/>
      <c r="O49" s="335"/>
      <c r="P49" s="456"/>
      <c r="Q49" s="345"/>
      <c r="R49" s="345"/>
    </row>
    <row r="50" spans="1:18">
      <c r="A50" s="569"/>
      <c r="B50" s="336">
        <v>0</v>
      </c>
      <c r="C50" s="452"/>
      <c r="D50" s="361"/>
      <c r="E50" s="371"/>
      <c r="F50" s="339" t="s">
        <v>161</v>
      </c>
      <c r="G50" s="335"/>
      <c r="H50" s="369">
        <f>F50*G50</f>
        <v>0</v>
      </c>
      <c r="I50" s="456"/>
      <c r="J50" s="341"/>
      <c r="K50" s="342"/>
      <c r="L50" s="343"/>
      <c r="M50" s="344"/>
      <c r="N50" s="344"/>
      <c r="O50" s="335"/>
      <c r="P50" s="456"/>
      <c r="Q50" s="345"/>
      <c r="R50" s="345"/>
    </row>
    <row r="51" spans="1:18" ht="15.75" customHeight="1">
      <c r="A51" s="570"/>
      <c r="B51" s="336">
        <v>0</v>
      </c>
      <c r="C51" s="204" t="s">
        <v>28</v>
      </c>
      <c r="D51" s="571" t="s">
        <v>332</v>
      </c>
      <c r="E51" s="571"/>
      <c r="F51" s="350"/>
      <c r="G51" s="355"/>
      <c r="H51" s="372"/>
      <c r="I51" s="373"/>
      <c r="J51" s="354">
        <f>AVERAGE(J38:J50)</f>
        <v>3.8333333333333335</v>
      </c>
      <c r="K51" s="354">
        <f>AVERAGE(K38:K50)</f>
        <v>2977.0255189255199</v>
      </c>
      <c r="L51" s="355">
        <f>AVERAGE(L38:L50)</f>
        <v>786.4390396640398</v>
      </c>
      <c r="M51" s="374"/>
      <c r="N51" s="344"/>
      <c r="O51" s="342"/>
      <c r="P51" s="342"/>
      <c r="Q51" s="343"/>
      <c r="R51" s="343"/>
    </row>
    <row r="52" spans="1:18" ht="15.6" customHeight="1">
      <c r="A52" s="572" t="s">
        <v>346</v>
      </c>
      <c r="B52" s="336" t="s">
        <v>165</v>
      </c>
      <c r="C52" s="453"/>
      <c r="D52" s="361" t="s">
        <v>177</v>
      </c>
      <c r="E52" s="375"/>
      <c r="F52" s="339">
        <v>25.03</v>
      </c>
      <c r="G52" s="452">
        <v>519</v>
      </c>
      <c r="H52" s="340">
        <f>F52*G52</f>
        <v>12990.57</v>
      </c>
      <c r="I52" s="454"/>
      <c r="J52" s="341">
        <v>4</v>
      </c>
      <c r="K52" s="342">
        <f>G52/P52*60</f>
        <v>3460.0000000000123</v>
      </c>
      <c r="L52" s="343">
        <f>K52/J52</f>
        <v>865.00000000000307</v>
      </c>
      <c r="M52" s="344">
        <v>0.17361111111111113</v>
      </c>
      <c r="N52" s="344">
        <v>0.17986111111111111</v>
      </c>
      <c r="O52" s="342">
        <v>9</v>
      </c>
      <c r="P52" s="456">
        <f>(N52-M52)*24*60</f>
        <v>8.999999999999968</v>
      </c>
      <c r="Q52" s="345"/>
      <c r="R52" s="345"/>
    </row>
    <row r="53" spans="1:18" ht="15.6" customHeight="1">
      <c r="A53" s="573"/>
      <c r="B53" s="336" t="s">
        <v>165</v>
      </c>
      <c r="C53" s="453"/>
      <c r="D53" s="361" t="s">
        <v>178</v>
      </c>
      <c r="E53" s="376"/>
      <c r="F53" s="339">
        <v>24.82</v>
      </c>
      <c r="G53" s="346">
        <v>683</v>
      </c>
      <c r="H53" s="340">
        <f t="shared" ref="H53:H116" si="17">F53*G53</f>
        <v>16952.060000000001</v>
      </c>
      <c r="I53" s="454"/>
      <c r="J53" s="341">
        <v>4</v>
      </c>
      <c r="K53" s="342">
        <f t="shared" ref="K53:K57" si="18">G53/P53*60</f>
        <v>3415.0000000000009</v>
      </c>
      <c r="L53" s="343">
        <f t="shared" ref="L53:L57" si="19">K53/J53</f>
        <v>853.75000000000023</v>
      </c>
      <c r="M53" s="344">
        <v>0.19027777777777777</v>
      </c>
      <c r="N53" s="344">
        <v>0.1986111111111111</v>
      </c>
      <c r="O53" s="342">
        <v>12</v>
      </c>
      <c r="P53" s="456">
        <f t="shared" ref="P53:P57" si="20">(N53-M53)*24*60</f>
        <v>11.999999999999996</v>
      </c>
      <c r="Q53" s="345"/>
      <c r="R53" s="345"/>
    </row>
    <row r="54" spans="1:18" ht="15.6" customHeight="1">
      <c r="A54" s="573"/>
      <c r="B54" s="336" t="s">
        <v>165</v>
      </c>
      <c r="C54" s="453"/>
      <c r="D54" s="361" t="s">
        <v>179</v>
      </c>
      <c r="E54" s="338"/>
      <c r="F54" s="339">
        <v>30</v>
      </c>
      <c r="G54" s="346">
        <v>890</v>
      </c>
      <c r="H54" s="340">
        <f t="shared" si="17"/>
        <v>26700</v>
      </c>
      <c r="I54" s="454"/>
      <c r="J54" s="341">
        <v>4</v>
      </c>
      <c r="K54" s="342">
        <f t="shared" si="18"/>
        <v>3560.0000000000036</v>
      </c>
      <c r="L54" s="343">
        <f t="shared" si="19"/>
        <v>890.00000000000091</v>
      </c>
      <c r="M54" s="344">
        <v>0.20902777777777778</v>
      </c>
      <c r="N54" s="344">
        <v>0.21944444444444444</v>
      </c>
      <c r="O54" s="342">
        <v>15</v>
      </c>
      <c r="P54" s="456">
        <f t="shared" si="20"/>
        <v>14.999999999999986</v>
      </c>
      <c r="Q54" s="345"/>
      <c r="R54" s="345"/>
    </row>
    <row r="55" spans="1:18" ht="15.6" customHeight="1">
      <c r="A55" s="573"/>
      <c r="B55" s="336" t="s">
        <v>165</v>
      </c>
      <c r="C55" s="453"/>
      <c r="D55" s="363" t="s">
        <v>347</v>
      </c>
      <c r="E55" s="362"/>
      <c r="F55" s="339">
        <v>30</v>
      </c>
      <c r="G55" s="346">
        <v>481</v>
      </c>
      <c r="H55" s="340">
        <f t="shared" si="17"/>
        <v>14430</v>
      </c>
      <c r="I55" s="454"/>
      <c r="J55" s="341">
        <v>4</v>
      </c>
      <c r="K55" s="342">
        <f t="shared" si="18"/>
        <v>3607.4999999999768</v>
      </c>
      <c r="L55" s="343">
        <f t="shared" si="19"/>
        <v>901.8749999999942</v>
      </c>
      <c r="M55" s="344">
        <v>0.23124999999999998</v>
      </c>
      <c r="N55" s="344">
        <v>0.23680555555555557</v>
      </c>
      <c r="O55" s="342">
        <v>8</v>
      </c>
      <c r="P55" s="456">
        <f t="shared" si="20"/>
        <v>8.0000000000000515</v>
      </c>
      <c r="Q55" s="345"/>
      <c r="R55" s="345"/>
    </row>
    <row r="56" spans="1:18" ht="15.6" customHeight="1">
      <c r="A56" s="573"/>
      <c r="B56" s="336" t="s">
        <v>165</v>
      </c>
      <c r="C56" s="453"/>
      <c r="D56" s="361" t="s">
        <v>348</v>
      </c>
      <c r="E56" s="362"/>
      <c r="F56" s="339">
        <v>27.48</v>
      </c>
      <c r="G56" s="346">
        <v>951</v>
      </c>
      <c r="H56" s="340">
        <f t="shared" si="17"/>
        <v>26133.48</v>
      </c>
      <c r="I56" s="454"/>
      <c r="J56" s="341">
        <v>3</v>
      </c>
      <c r="K56" s="342">
        <f t="shared" si="18"/>
        <v>3356.4705882352901</v>
      </c>
      <c r="L56" s="343">
        <f t="shared" si="19"/>
        <v>1118.8235294117633</v>
      </c>
      <c r="M56" s="344">
        <v>0.25069444444444444</v>
      </c>
      <c r="N56" s="344">
        <v>0.26250000000000001</v>
      </c>
      <c r="O56" s="342">
        <v>17</v>
      </c>
      <c r="P56" s="456">
        <f t="shared" si="20"/>
        <v>17.000000000000021</v>
      </c>
      <c r="Q56" s="345"/>
      <c r="R56" s="345"/>
    </row>
    <row r="57" spans="1:18" ht="15.75" customHeight="1">
      <c r="A57" s="573"/>
      <c r="B57" s="336" t="s">
        <v>165</v>
      </c>
      <c r="C57" s="204" t="s">
        <v>31</v>
      </c>
      <c r="D57" s="361" t="s">
        <v>349</v>
      </c>
      <c r="E57" s="362"/>
      <c r="F57" s="339">
        <v>23.8</v>
      </c>
      <c r="G57" s="346">
        <v>509</v>
      </c>
      <c r="H57" s="340">
        <f t="shared" si="17"/>
        <v>12114.2</v>
      </c>
      <c r="I57" s="454"/>
      <c r="J57" s="341">
        <v>4</v>
      </c>
      <c r="K57" s="342">
        <f t="shared" si="18"/>
        <v>3053.9999999999864</v>
      </c>
      <c r="L57" s="343">
        <f t="shared" si="19"/>
        <v>763.49999999999659</v>
      </c>
      <c r="M57" s="344">
        <v>0.2722222222222222</v>
      </c>
      <c r="N57" s="344">
        <v>0.27916666666666667</v>
      </c>
      <c r="O57" s="342">
        <v>10</v>
      </c>
      <c r="P57" s="456">
        <f t="shared" si="20"/>
        <v>10.000000000000044</v>
      </c>
      <c r="Q57" s="345"/>
      <c r="R57" s="345"/>
    </row>
    <row r="58" spans="1:18" ht="15.6" customHeight="1">
      <c r="A58" s="573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7"/>
        <v>0</v>
      </c>
      <c r="I58" s="454"/>
      <c r="J58" s="341"/>
      <c r="K58" s="342"/>
      <c r="L58" s="343"/>
      <c r="M58" s="344"/>
      <c r="N58" s="344"/>
      <c r="O58" s="342"/>
      <c r="P58" s="456"/>
      <c r="Q58" s="345"/>
      <c r="R58" s="345"/>
    </row>
    <row r="59" spans="1:18" ht="15.6" customHeight="1">
      <c r="A59" s="573"/>
      <c r="B59" s="336">
        <v>0</v>
      </c>
      <c r="C59" s="453"/>
      <c r="D59" s="361"/>
      <c r="E59" s="362"/>
      <c r="F59" s="339" t="s">
        <v>161</v>
      </c>
      <c r="G59" s="346"/>
      <c r="H59" s="340">
        <f t="shared" si="17"/>
        <v>0</v>
      </c>
      <c r="I59" s="454"/>
      <c r="J59" s="341"/>
      <c r="K59" s="342"/>
      <c r="L59" s="343"/>
      <c r="M59" s="344"/>
      <c r="N59" s="344"/>
      <c r="O59" s="342"/>
      <c r="P59" s="456"/>
      <c r="Q59" s="345"/>
      <c r="R59" s="345"/>
    </row>
    <row r="60" spans="1:18" ht="15.6" customHeight="1">
      <c r="A60" s="573"/>
      <c r="B60" s="336">
        <v>0</v>
      </c>
      <c r="C60" s="453"/>
      <c r="D60" s="361"/>
      <c r="E60" s="379"/>
      <c r="F60" s="339" t="s">
        <v>161</v>
      </c>
      <c r="G60" s="346"/>
      <c r="H60" s="340">
        <f t="shared" si="17"/>
        <v>0</v>
      </c>
      <c r="I60" s="454"/>
      <c r="J60" s="341"/>
      <c r="K60" s="342"/>
      <c r="L60" s="343"/>
      <c r="M60" s="344"/>
      <c r="N60" s="344"/>
      <c r="O60" s="342"/>
      <c r="P60" s="456"/>
      <c r="Q60" s="345"/>
      <c r="R60" s="345"/>
    </row>
    <row r="61" spans="1:18" ht="15.6" customHeight="1">
      <c r="A61" s="573"/>
      <c r="B61" s="336">
        <v>0</v>
      </c>
      <c r="C61" s="453"/>
      <c r="D61" s="360"/>
      <c r="E61" s="362"/>
      <c r="F61" s="339" t="s">
        <v>161</v>
      </c>
      <c r="G61" s="346"/>
      <c r="H61" s="340">
        <f t="shared" si="17"/>
        <v>0</v>
      </c>
      <c r="I61" s="454"/>
      <c r="J61" s="341"/>
      <c r="K61" s="342"/>
      <c r="L61" s="343"/>
      <c r="M61" s="344"/>
      <c r="N61" s="344"/>
      <c r="O61" s="342"/>
      <c r="P61" s="456"/>
      <c r="Q61" s="345"/>
      <c r="R61" s="345"/>
    </row>
    <row r="62" spans="1:18" ht="15.6" customHeight="1">
      <c r="A62" s="573"/>
      <c r="B62" s="336">
        <v>0</v>
      </c>
      <c r="C62" s="453"/>
      <c r="D62" s="361"/>
      <c r="E62" s="380"/>
      <c r="F62" s="339" t="s">
        <v>161</v>
      </c>
      <c r="G62" s="346"/>
      <c r="H62" s="340">
        <f t="shared" si="17"/>
        <v>0</v>
      </c>
      <c r="I62" s="454"/>
      <c r="J62" s="341"/>
      <c r="K62" s="342"/>
      <c r="L62" s="343"/>
      <c r="M62" s="344"/>
      <c r="N62" s="344"/>
      <c r="O62" s="342"/>
      <c r="P62" s="456"/>
      <c r="Q62" s="345"/>
      <c r="R62" s="345"/>
    </row>
    <row r="63" spans="1:18" ht="15.6" customHeight="1">
      <c r="A63" s="573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7"/>
        <v>0</v>
      </c>
      <c r="I63" s="455"/>
      <c r="J63" s="341"/>
      <c r="K63" s="342"/>
      <c r="L63" s="343"/>
      <c r="M63" s="344"/>
      <c r="N63" s="344"/>
      <c r="O63" s="335"/>
      <c r="P63" s="456"/>
      <c r="Q63" s="345"/>
      <c r="R63" s="345"/>
    </row>
    <row r="64" spans="1:18" ht="15.75" customHeight="1">
      <c r="A64" s="574"/>
      <c r="B64" s="336">
        <v>0</v>
      </c>
      <c r="C64" s="204" t="s">
        <v>350</v>
      </c>
      <c r="D64" s="571" t="s">
        <v>332</v>
      </c>
      <c r="E64" s="571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3408.8284313725449</v>
      </c>
      <c r="L64" s="355">
        <f>AVERAGE(L52:L63)</f>
        <v>898.82475490195964</v>
      </c>
      <c r="M64" s="344"/>
      <c r="N64" s="344"/>
      <c r="O64" s="335"/>
      <c r="P64" s="335"/>
      <c r="Q64" s="335"/>
      <c r="R64" s="335"/>
    </row>
    <row r="65" spans="1:18" ht="15.6" customHeight="1">
      <c r="A65" s="575" t="s">
        <v>351</v>
      </c>
      <c r="B65" s="336" t="s">
        <v>165</v>
      </c>
      <c r="C65" s="453"/>
      <c r="D65" s="361" t="s">
        <v>180</v>
      </c>
      <c r="E65" s="375"/>
      <c r="F65" s="339">
        <v>18.18</v>
      </c>
      <c r="G65" s="452">
        <v>894</v>
      </c>
      <c r="H65" s="340">
        <f>F65*G65</f>
        <v>16252.92</v>
      </c>
      <c r="I65" s="454"/>
      <c r="J65" s="341">
        <v>3</v>
      </c>
      <c r="K65" s="342">
        <f t="shared" ref="K65:K71" si="21">G65/P65*60</f>
        <v>3352.5000000000036</v>
      </c>
      <c r="L65" s="343">
        <f t="shared" ref="L65:L71" si="22">K65/J65</f>
        <v>1117.5000000000011</v>
      </c>
      <c r="M65" s="344">
        <v>0.17708333333333334</v>
      </c>
      <c r="N65" s="344">
        <v>0.18819444444444444</v>
      </c>
      <c r="O65" s="342">
        <v>15</v>
      </c>
      <c r="P65" s="456">
        <f>(N65-M65)*24*60</f>
        <v>15.999999999999982</v>
      </c>
      <c r="Q65" s="345"/>
      <c r="R65" s="345"/>
    </row>
    <row r="66" spans="1:18" ht="15.6" customHeight="1">
      <c r="A66" s="576"/>
      <c r="B66" s="336" t="s">
        <v>165</v>
      </c>
      <c r="C66" s="453"/>
      <c r="D66" s="382" t="s">
        <v>181</v>
      </c>
      <c r="E66" s="376"/>
      <c r="F66" s="339">
        <v>14.03</v>
      </c>
      <c r="G66" s="346">
        <v>3361</v>
      </c>
      <c r="H66" s="340">
        <f t="shared" ref="H66:H74" si="23">F66*G66</f>
        <v>47154.829999999994</v>
      </c>
      <c r="I66" s="454"/>
      <c r="J66" s="341">
        <v>3</v>
      </c>
      <c r="K66" s="342">
        <f t="shared" si="21"/>
        <v>3252.5806451612889</v>
      </c>
      <c r="L66" s="343">
        <f t="shared" si="22"/>
        <v>1084.1935483870964</v>
      </c>
      <c r="M66" s="344">
        <v>0.19513888888888889</v>
      </c>
      <c r="N66" s="344">
        <v>0.23819444444444446</v>
      </c>
      <c r="O66" s="342">
        <v>10</v>
      </c>
      <c r="P66" s="456">
        <f t="shared" ref="P66:P71" si="24">(N66-M66)*24*60</f>
        <v>62.000000000000021</v>
      </c>
      <c r="Q66" s="345"/>
      <c r="R66" s="345"/>
    </row>
    <row r="67" spans="1:18" ht="15.6" customHeight="1">
      <c r="A67" s="576"/>
      <c r="B67" s="336" t="s">
        <v>165</v>
      </c>
      <c r="C67" s="453"/>
      <c r="D67" s="360" t="s">
        <v>182</v>
      </c>
      <c r="E67" s="362"/>
      <c r="F67" s="339">
        <v>18.18</v>
      </c>
      <c r="G67" s="346">
        <v>1458</v>
      </c>
      <c r="H67" s="340">
        <f t="shared" si="23"/>
        <v>26506.44</v>
      </c>
      <c r="I67" s="454"/>
      <c r="J67" s="341">
        <v>3</v>
      </c>
      <c r="K67" s="342">
        <f t="shared" si="21"/>
        <v>3124.2857142857165</v>
      </c>
      <c r="L67" s="343">
        <f t="shared" si="22"/>
        <v>1041.4285714285722</v>
      </c>
      <c r="M67" s="344">
        <v>0.25208333333333333</v>
      </c>
      <c r="N67" s="344">
        <v>0.27152777777777776</v>
      </c>
      <c r="O67" s="342">
        <v>20</v>
      </c>
      <c r="P67" s="456">
        <f t="shared" si="24"/>
        <v>27.999999999999979</v>
      </c>
      <c r="Q67" s="345"/>
      <c r="R67" s="345"/>
    </row>
    <row r="68" spans="1:18" ht="15.6" customHeight="1">
      <c r="A68" s="576"/>
      <c r="B68" s="336" t="s">
        <v>165</v>
      </c>
      <c r="C68" s="453"/>
      <c r="D68" s="361" t="s">
        <v>352</v>
      </c>
      <c r="E68" s="362"/>
      <c r="F68" s="339">
        <v>17.07</v>
      </c>
      <c r="G68" s="346">
        <v>1004</v>
      </c>
      <c r="H68" s="340">
        <f t="shared" si="23"/>
        <v>17138.28</v>
      </c>
      <c r="I68" s="454"/>
      <c r="J68" s="341">
        <v>3</v>
      </c>
      <c r="K68" s="342">
        <f t="shared" si="21"/>
        <v>3346.6666666666642</v>
      </c>
      <c r="L68" s="343">
        <f t="shared" si="22"/>
        <v>1115.5555555555547</v>
      </c>
      <c r="M68" s="344">
        <v>0.28402777777777777</v>
      </c>
      <c r="N68" s="344">
        <v>0.29652777777777778</v>
      </c>
      <c r="O68" s="342">
        <v>18</v>
      </c>
      <c r="P68" s="456">
        <f t="shared" si="24"/>
        <v>18.000000000000014</v>
      </c>
      <c r="Q68" s="345"/>
      <c r="R68" s="345"/>
    </row>
    <row r="69" spans="1:18" ht="15.6" customHeight="1">
      <c r="A69" s="576"/>
      <c r="B69" s="336" t="s">
        <v>165</v>
      </c>
      <c r="C69" s="453"/>
      <c r="D69" s="363" t="s">
        <v>353</v>
      </c>
      <c r="E69" s="362"/>
      <c r="F69" s="339">
        <v>20.72</v>
      </c>
      <c r="G69" s="346">
        <v>475</v>
      </c>
      <c r="H69" s="340">
        <f t="shared" si="23"/>
        <v>9842</v>
      </c>
      <c r="I69" s="454"/>
      <c r="J69" s="341">
        <v>3</v>
      </c>
      <c r="K69" s="342">
        <f t="shared" si="21"/>
        <v>3562.4999999999768</v>
      </c>
      <c r="L69" s="343">
        <f t="shared" si="22"/>
        <v>1187.4999999999923</v>
      </c>
      <c r="M69" s="344">
        <v>0.30555555555555552</v>
      </c>
      <c r="N69" s="344">
        <v>0.31111111111111112</v>
      </c>
      <c r="O69" s="342">
        <v>13</v>
      </c>
      <c r="P69" s="456">
        <f t="shared" si="24"/>
        <v>8.0000000000000515</v>
      </c>
      <c r="Q69" s="345"/>
      <c r="R69" s="345"/>
    </row>
    <row r="70" spans="1:18" ht="15.75" customHeight="1">
      <c r="A70" s="576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5233</v>
      </c>
      <c r="H70" s="340">
        <f t="shared" si="23"/>
        <v>74757.142857142841</v>
      </c>
      <c r="I70" s="454"/>
      <c r="J70" s="341">
        <v>3</v>
      </c>
      <c r="K70" s="342">
        <f t="shared" si="21"/>
        <v>3203.8775510204091</v>
      </c>
      <c r="L70" s="343">
        <f t="shared" si="22"/>
        <v>1067.9591836734696</v>
      </c>
      <c r="M70" s="344">
        <v>0.32500000000000001</v>
      </c>
      <c r="N70" s="344">
        <v>0.39305555555555555</v>
      </c>
      <c r="O70" s="342">
        <v>20</v>
      </c>
      <c r="P70" s="456">
        <f t="shared" si="24"/>
        <v>97.999999999999972</v>
      </c>
      <c r="Q70" s="345"/>
      <c r="R70" s="345"/>
    </row>
    <row r="71" spans="1:18" ht="15.6" customHeight="1">
      <c r="A71" s="576"/>
      <c r="B71" s="336" t="s">
        <v>165</v>
      </c>
      <c r="C71" s="377"/>
      <c r="D71" s="361" t="s">
        <v>354</v>
      </c>
      <c r="E71" s="362"/>
      <c r="F71" s="339">
        <v>24.76</v>
      </c>
      <c r="G71" s="378">
        <v>943</v>
      </c>
      <c r="H71" s="340">
        <f t="shared" si="23"/>
        <v>23348.68</v>
      </c>
      <c r="I71" s="454"/>
      <c r="J71" s="341">
        <v>4</v>
      </c>
      <c r="K71" s="342">
        <f t="shared" si="21"/>
        <v>3328.2352941176428</v>
      </c>
      <c r="L71" s="343">
        <f t="shared" si="22"/>
        <v>832.05882352941069</v>
      </c>
      <c r="M71" s="344">
        <v>0.40347222222222223</v>
      </c>
      <c r="N71" s="344">
        <v>0.4152777777777778</v>
      </c>
      <c r="O71" s="342">
        <v>15</v>
      </c>
      <c r="P71" s="456">
        <f t="shared" si="24"/>
        <v>17.000000000000021</v>
      </c>
      <c r="Q71" s="345"/>
      <c r="R71" s="345"/>
    </row>
    <row r="72" spans="1:18" ht="15.6" customHeight="1">
      <c r="A72" s="576"/>
      <c r="B72" s="336">
        <v>0</v>
      </c>
      <c r="C72" s="453"/>
      <c r="D72" s="363"/>
      <c r="E72" s="362"/>
      <c r="F72" s="339" t="s">
        <v>161</v>
      </c>
      <c r="G72" s="346"/>
      <c r="H72" s="340">
        <f t="shared" si="23"/>
        <v>0</v>
      </c>
      <c r="I72" s="454"/>
      <c r="J72" s="341"/>
      <c r="K72" s="342"/>
      <c r="L72" s="343"/>
      <c r="M72" s="344"/>
      <c r="N72" s="344"/>
      <c r="O72" s="342"/>
      <c r="P72" s="456"/>
      <c r="Q72" s="345"/>
      <c r="R72" s="345"/>
    </row>
    <row r="73" spans="1:18" ht="15.6" customHeight="1">
      <c r="A73" s="576"/>
      <c r="B73" s="336">
        <v>0</v>
      </c>
      <c r="C73" s="453"/>
      <c r="D73" s="361"/>
      <c r="E73" s="362"/>
      <c r="F73" s="339" t="s">
        <v>161</v>
      </c>
      <c r="G73" s="346"/>
      <c r="H73" s="340">
        <f t="shared" si="23"/>
        <v>0</v>
      </c>
      <c r="I73" s="454"/>
      <c r="J73" s="341"/>
      <c r="K73" s="342"/>
      <c r="L73" s="343"/>
      <c r="M73" s="344"/>
      <c r="N73" s="344"/>
      <c r="O73" s="342"/>
      <c r="P73" s="456"/>
      <c r="Q73" s="345"/>
      <c r="R73" s="345"/>
    </row>
    <row r="74" spans="1:18" ht="15.6" customHeight="1">
      <c r="A74" s="576"/>
      <c r="B74" s="336">
        <v>0</v>
      </c>
      <c r="C74" s="453"/>
      <c r="D74" s="363"/>
      <c r="E74" s="362"/>
      <c r="F74" s="339" t="s">
        <v>161</v>
      </c>
      <c r="G74" s="346"/>
      <c r="H74" s="340">
        <f t="shared" si="23"/>
        <v>0</v>
      </c>
      <c r="I74" s="454"/>
      <c r="J74" s="341"/>
      <c r="K74" s="342"/>
      <c r="L74" s="343"/>
      <c r="M74" s="344"/>
      <c r="N74" s="344"/>
      <c r="O74" s="342"/>
      <c r="P74" s="456"/>
      <c r="Q74" s="345"/>
      <c r="R74" s="345"/>
    </row>
    <row r="75" spans="1:18" ht="15.75" customHeight="1">
      <c r="A75" s="577"/>
      <c r="B75" s="336">
        <v>0</v>
      </c>
      <c r="C75" s="204" t="s">
        <v>355</v>
      </c>
      <c r="D75" s="571" t="s">
        <v>332</v>
      </c>
      <c r="E75" s="571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3310.0922673216724</v>
      </c>
      <c r="L75" s="355">
        <f>AVERAGE(L65:L74)</f>
        <v>1063.7422403677281</v>
      </c>
      <c r="M75" s="344"/>
      <c r="N75" s="344"/>
      <c r="O75" s="335"/>
      <c r="P75" s="335"/>
      <c r="Q75" s="335"/>
      <c r="R75" s="335"/>
    </row>
    <row r="76" spans="1:18" ht="16.2" customHeight="1">
      <c r="A76" s="556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7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456"/>
      <c r="Q76" s="345"/>
      <c r="R76" s="345"/>
    </row>
    <row r="77" spans="1:18">
      <c r="A77" s="556"/>
      <c r="B77" s="336">
        <v>0</v>
      </c>
      <c r="C77" s="349"/>
      <c r="D77" s="557"/>
      <c r="E77" s="558"/>
      <c r="F77" s="339" t="s">
        <v>161</v>
      </c>
      <c r="G77" s="452"/>
      <c r="H77" s="340">
        <f t="shared" si="17"/>
        <v>0</v>
      </c>
      <c r="I77" s="454"/>
      <c r="J77" s="341"/>
      <c r="K77" s="342"/>
      <c r="L77" s="343"/>
      <c r="M77" s="344"/>
      <c r="N77" s="344"/>
      <c r="O77" s="335"/>
      <c r="P77" s="456"/>
      <c r="Q77" s="335"/>
      <c r="R77" s="335"/>
    </row>
    <row r="78" spans="1:18">
      <c r="A78" s="556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7"/>
        <v>0</v>
      </c>
      <c r="I78" s="454"/>
      <c r="J78" s="341"/>
      <c r="K78" s="342"/>
      <c r="L78" s="343"/>
      <c r="M78" s="344"/>
      <c r="N78" s="344"/>
      <c r="O78" s="335"/>
      <c r="P78" s="456"/>
      <c r="Q78" s="335"/>
      <c r="R78" s="335"/>
    </row>
    <row r="79" spans="1:18">
      <c r="A79" s="556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7"/>
        <v>0</v>
      </c>
      <c r="I79" s="454"/>
      <c r="J79" s="341"/>
      <c r="K79" s="342"/>
      <c r="L79" s="343"/>
      <c r="M79" s="344"/>
      <c r="N79" s="344"/>
      <c r="O79" s="335"/>
      <c r="P79" s="456"/>
      <c r="Q79" s="335"/>
      <c r="R79" s="335"/>
    </row>
    <row r="80" spans="1:18">
      <c r="A80" s="556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7"/>
        <v>0</v>
      </c>
      <c r="I80" s="454"/>
      <c r="J80" s="341"/>
      <c r="K80" s="342"/>
      <c r="L80" s="343"/>
      <c r="M80" s="344"/>
      <c r="N80" s="344"/>
      <c r="O80" s="335"/>
      <c r="P80" s="456"/>
      <c r="Q80" s="335"/>
      <c r="R80" s="335"/>
    </row>
    <row r="81" spans="1:18" ht="15.75" customHeight="1">
      <c r="A81" s="556"/>
      <c r="B81" s="336">
        <v>0</v>
      </c>
      <c r="C81" s="204" t="s">
        <v>31</v>
      </c>
      <c r="D81" s="559" t="s">
        <v>332</v>
      </c>
      <c r="E81" s="560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561" t="s">
        <v>356</v>
      </c>
      <c r="B82" s="336" t="s">
        <v>165</v>
      </c>
      <c r="C82" s="359"/>
      <c r="D82" s="361" t="s">
        <v>357</v>
      </c>
      <c r="E82" s="388"/>
      <c r="F82" s="339">
        <v>22.32</v>
      </c>
      <c r="G82" s="364">
        <v>2274</v>
      </c>
      <c r="H82" s="389">
        <f t="shared" ref="H82:H90" si="25">F82*G82</f>
        <v>50755.68</v>
      </c>
      <c r="I82" s="454"/>
      <c r="J82" s="341">
        <v>4</v>
      </c>
      <c r="K82" s="342">
        <f>G82/P82*60</f>
        <v>2966.086956521729</v>
      </c>
      <c r="L82" s="343">
        <f t="shared" ref="L82:L83" si="26">K82/J82</f>
        <v>741.52173913043225</v>
      </c>
      <c r="M82" s="344">
        <v>0.72222222222222221</v>
      </c>
      <c r="N82" s="344">
        <v>0.75416666666666676</v>
      </c>
      <c r="O82" s="342">
        <v>20</v>
      </c>
      <c r="P82" s="456">
        <f>(N82-M82)*24*60</f>
        <v>46.000000000000156</v>
      </c>
      <c r="Q82" s="345"/>
      <c r="R82" s="345"/>
    </row>
    <row r="83" spans="1:18">
      <c r="A83" s="562"/>
      <c r="B83" s="336" t="s">
        <v>165</v>
      </c>
      <c r="C83" s="359"/>
      <c r="D83" s="394" t="s">
        <v>358</v>
      </c>
      <c r="E83" s="388"/>
      <c r="F83" s="339">
        <v>24.54</v>
      </c>
      <c r="G83" s="364">
        <v>1457</v>
      </c>
      <c r="H83" s="389">
        <f t="shared" si="25"/>
        <v>35754.78</v>
      </c>
      <c r="I83" s="454"/>
      <c r="J83" s="341">
        <v>3</v>
      </c>
      <c r="K83" s="342">
        <f t="shared" ref="K83" si="27">G83/P83*60</f>
        <v>2185.4999999999905</v>
      </c>
      <c r="L83" s="343">
        <f t="shared" si="26"/>
        <v>728.49999999999682</v>
      </c>
      <c r="M83" s="344">
        <v>0.76874999999999993</v>
      </c>
      <c r="N83" s="344">
        <v>0.79652777777777783</v>
      </c>
      <c r="O83" s="342">
        <v>21</v>
      </c>
      <c r="P83" s="456">
        <f t="shared" ref="P83" si="28">(N83-M83)*24*60</f>
        <v>40.000000000000178</v>
      </c>
      <c r="Q83" s="345"/>
      <c r="R83" s="345"/>
    </row>
    <row r="84" spans="1:18">
      <c r="A84" s="562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5"/>
        <v>0</v>
      </c>
      <c r="I84" s="454"/>
      <c r="J84" s="341"/>
      <c r="K84" s="342"/>
      <c r="L84" s="343"/>
      <c r="M84" s="344"/>
      <c r="N84" s="344"/>
      <c r="O84" s="342"/>
      <c r="P84" s="456"/>
      <c r="Q84" s="345"/>
      <c r="R84" s="345"/>
    </row>
    <row r="85" spans="1:18">
      <c r="A85" s="562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5"/>
        <v>0</v>
      </c>
      <c r="I85" s="454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562"/>
      <c r="B86" s="336">
        <v>0</v>
      </c>
      <c r="C86" s="359"/>
      <c r="D86" s="361"/>
      <c r="E86" s="388"/>
      <c r="F86" s="339" t="s">
        <v>161</v>
      </c>
      <c r="G86" s="452"/>
      <c r="H86" s="390">
        <f t="shared" si="25"/>
        <v>0</v>
      </c>
      <c r="I86" s="454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562"/>
      <c r="B87" s="336">
        <v>0</v>
      </c>
      <c r="C87" s="359"/>
      <c r="D87" s="361"/>
      <c r="E87" s="388"/>
      <c r="F87" s="339" t="s">
        <v>161</v>
      </c>
      <c r="G87" s="452"/>
      <c r="H87" s="390">
        <f t="shared" si="25"/>
        <v>0</v>
      </c>
      <c r="I87" s="454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562"/>
      <c r="B88" s="336">
        <v>0</v>
      </c>
      <c r="C88" s="359"/>
      <c r="D88" s="361"/>
      <c r="E88" s="388"/>
      <c r="F88" s="339" t="s">
        <v>161</v>
      </c>
      <c r="G88" s="452"/>
      <c r="H88" s="390">
        <f t="shared" si="25"/>
        <v>0</v>
      </c>
      <c r="I88" s="454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562"/>
      <c r="B89" s="336">
        <v>0</v>
      </c>
      <c r="C89" s="359"/>
      <c r="D89" s="361"/>
      <c r="E89" s="388"/>
      <c r="F89" s="339" t="s">
        <v>161</v>
      </c>
      <c r="G89" s="452"/>
      <c r="H89" s="390">
        <f t="shared" si="25"/>
        <v>0</v>
      </c>
      <c r="I89" s="454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562"/>
      <c r="B90" s="336">
        <v>0</v>
      </c>
      <c r="C90" s="359"/>
      <c r="D90" s="361"/>
      <c r="E90" s="388"/>
      <c r="F90" s="339" t="s">
        <v>161</v>
      </c>
      <c r="G90" s="452"/>
      <c r="H90" s="390">
        <f t="shared" si="25"/>
        <v>0</v>
      </c>
      <c r="I90" s="454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562"/>
      <c r="B91" s="336">
        <v>0</v>
      </c>
      <c r="C91" s="204" t="s">
        <v>338</v>
      </c>
      <c r="D91" s="563" t="s">
        <v>332</v>
      </c>
      <c r="E91" s="563"/>
      <c r="F91" s="350"/>
      <c r="G91" s="392"/>
      <c r="H91" s="393"/>
      <c r="I91" s="353"/>
      <c r="J91" s="354">
        <f>AVERAGE(J82:J90)</f>
        <v>3.5</v>
      </c>
      <c r="K91" s="354">
        <f>AVERAGE(K82:K90)</f>
        <v>2575.79347826086</v>
      </c>
      <c r="L91" s="355">
        <f>AVERAGE(L82:L90)</f>
        <v>735.01086956521453</v>
      </c>
      <c r="M91" s="344"/>
      <c r="N91" s="344"/>
      <c r="O91" s="342"/>
      <c r="P91" s="342"/>
      <c r="Q91" s="343"/>
      <c r="R91" s="343"/>
    </row>
    <row r="92" spans="1:18" ht="16.2" customHeight="1">
      <c r="A92" s="564" t="s">
        <v>359</v>
      </c>
      <c r="B92" s="336" t="s">
        <v>165</v>
      </c>
      <c r="C92" s="349"/>
      <c r="D92" s="361" t="s">
        <v>185</v>
      </c>
      <c r="E92" s="388"/>
      <c r="F92" s="339">
        <v>16.66</v>
      </c>
      <c r="G92" s="452">
        <v>8283</v>
      </c>
      <c r="H92" s="340">
        <f t="shared" ref="H92:H99" si="29">F92*G92</f>
        <v>137994.78</v>
      </c>
      <c r="I92" s="454"/>
      <c r="J92" s="341">
        <v>4</v>
      </c>
      <c r="K92" s="342">
        <f>G92/P92*60</f>
        <v>2761</v>
      </c>
      <c r="L92" s="343">
        <f t="shared" ref="L92:L93" si="30">K92/J92</f>
        <v>690.25</v>
      </c>
      <c r="M92" s="344">
        <v>0.72222222222222221</v>
      </c>
      <c r="N92" s="344">
        <v>0.84722222222222221</v>
      </c>
      <c r="O92" s="335">
        <v>20</v>
      </c>
      <c r="P92" s="456">
        <f>(N92-M92)*24*60</f>
        <v>180</v>
      </c>
      <c r="Q92" s="345"/>
      <c r="R92" s="345"/>
    </row>
    <row r="93" spans="1:18">
      <c r="A93" s="565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5383</v>
      </c>
      <c r="H93" s="340">
        <f t="shared" si="29"/>
        <v>96306.763636363641</v>
      </c>
      <c r="I93" s="454"/>
      <c r="J93" s="341">
        <v>3</v>
      </c>
      <c r="K93" s="342">
        <f t="shared" ref="K93" si="31">G93/P93*60</f>
        <v>2691.4999999999986</v>
      </c>
      <c r="L93" s="343">
        <f t="shared" si="30"/>
        <v>897.16666666666617</v>
      </c>
      <c r="M93" s="344">
        <v>0.86111111111111116</v>
      </c>
      <c r="N93" s="344">
        <v>0.94444444444444453</v>
      </c>
      <c r="O93" s="335">
        <v>20</v>
      </c>
      <c r="P93" s="456">
        <f>(N93-M93)*24*60</f>
        <v>120.00000000000006</v>
      </c>
      <c r="Q93" s="345"/>
      <c r="R93" s="345"/>
    </row>
    <row r="94" spans="1:18">
      <c r="A94" s="565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9"/>
        <v>0</v>
      </c>
      <c r="I94" s="454"/>
      <c r="J94" s="341"/>
      <c r="K94" s="342"/>
      <c r="L94" s="343"/>
      <c r="M94" s="344"/>
      <c r="N94" s="344"/>
      <c r="O94" s="335"/>
      <c r="P94" s="456"/>
      <c r="Q94" s="345"/>
      <c r="R94" s="345"/>
    </row>
    <row r="95" spans="1:18">
      <c r="A95" s="566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9"/>
        <v>0</v>
      </c>
      <c r="I95" s="454"/>
      <c r="J95" s="341"/>
      <c r="K95" s="342"/>
      <c r="L95" s="343"/>
      <c r="M95" s="344"/>
      <c r="N95" s="344"/>
      <c r="O95" s="335"/>
      <c r="P95" s="456"/>
      <c r="Q95" s="345"/>
      <c r="R95" s="345"/>
    </row>
    <row r="96" spans="1:18">
      <c r="A96" s="566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9"/>
        <v>0</v>
      </c>
      <c r="I96" s="454"/>
      <c r="J96" s="341"/>
      <c r="K96" s="342"/>
      <c r="L96" s="343"/>
      <c r="M96" s="344"/>
      <c r="N96" s="344"/>
      <c r="O96" s="335"/>
      <c r="P96" s="456"/>
      <c r="Q96" s="345"/>
      <c r="R96" s="345"/>
    </row>
    <row r="97" spans="1:18">
      <c r="A97" s="566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9"/>
        <v>0</v>
      </c>
      <c r="I97" s="454"/>
      <c r="J97" s="341"/>
      <c r="K97" s="342"/>
      <c r="L97" s="343"/>
      <c r="M97" s="344"/>
      <c r="N97" s="344"/>
      <c r="O97" s="335"/>
      <c r="P97" s="456"/>
      <c r="Q97" s="345"/>
      <c r="R97" s="345"/>
    </row>
    <row r="98" spans="1:18">
      <c r="A98" s="566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9"/>
        <v>0</v>
      </c>
      <c r="I98" s="454"/>
      <c r="J98" s="341"/>
      <c r="K98" s="342"/>
      <c r="L98" s="343"/>
      <c r="M98" s="344"/>
      <c r="N98" s="344"/>
      <c r="O98" s="335"/>
      <c r="P98" s="456"/>
      <c r="Q98" s="345"/>
      <c r="R98" s="345"/>
    </row>
    <row r="99" spans="1:18">
      <c r="A99" s="566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9"/>
        <v>0</v>
      </c>
      <c r="I99" s="454"/>
      <c r="J99" s="341"/>
      <c r="K99" s="342"/>
      <c r="L99" s="343"/>
      <c r="M99" s="344"/>
      <c r="N99" s="344"/>
      <c r="O99" s="335"/>
      <c r="P99" s="456"/>
      <c r="Q99" s="345"/>
      <c r="R99" s="345"/>
    </row>
    <row r="100" spans="1:18" ht="15.75" customHeight="1">
      <c r="A100" s="566"/>
      <c r="B100" s="336">
        <v>0</v>
      </c>
      <c r="C100" s="204" t="s">
        <v>360</v>
      </c>
      <c r="D100" s="559" t="s">
        <v>332</v>
      </c>
      <c r="E100" s="560"/>
      <c r="F100" s="350"/>
      <c r="G100" s="351"/>
      <c r="H100" s="395"/>
      <c r="I100" s="353"/>
      <c r="J100" s="354">
        <f>AVERAGE(J92:J99)</f>
        <v>3.5</v>
      </c>
      <c r="K100" s="354">
        <f>AVERAGE(K92:K99)</f>
        <v>2726.2499999999991</v>
      </c>
      <c r="L100" s="355">
        <f>AVERAGE(L92:L99)</f>
        <v>793.70833333333303</v>
      </c>
      <c r="M100" s="344"/>
      <c r="N100" s="344"/>
      <c r="O100" s="342"/>
      <c r="P100" s="342"/>
      <c r="Q100" s="343"/>
      <c r="R100" s="343"/>
    </row>
    <row r="101" spans="1:18" ht="16.2" customHeight="1">
      <c r="A101" s="551" t="s">
        <v>361</v>
      </c>
      <c r="B101" s="336" t="s">
        <v>165</v>
      </c>
      <c r="C101" s="204"/>
      <c r="D101" s="361" t="s">
        <v>362</v>
      </c>
      <c r="E101" s="448"/>
      <c r="F101" s="339">
        <v>30</v>
      </c>
      <c r="G101" s="452">
        <v>2230</v>
      </c>
      <c r="H101" s="340">
        <f t="shared" ref="H101:H110" si="32">F101*G101</f>
        <v>66900</v>
      </c>
      <c r="I101" s="454"/>
      <c r="J101" s="341">
        <v>3</v>
      </c>
      <c r="K101" s="342">
        <f>G101/P101*60</f>
        <v>2973.3333333333335</v>
      </c>
      <c r="L101" s="343">
        <f t="shared" ref="L101:L105" si="33">K101/J101</f>
        <v>991.1111111111112</v>
      </c>
      <c r="M101" s="344">
        <v>0.72222222222222221</v>
      </c>
      <c r="N101" s="344">
        <v>0.75347222222222221</v>
      </c>
      <c r="O101" s="335">
        <v>20</v>
      </c>
      <c r="P101" s="342">
        <f t="shared" ref="P101:P103" si="34">(N101-M101)*24*60</f>
        <v>45</v>
      </c>
      <c r="Q101" s="343"/>
      <c r="R101" s="345"/>
    </row>
    <row r="102" spans="1:18" ht="15.6" customHeight="1">
      <c r="A102" s="551"/>
      <c r="B102" s="336" t="s">
        <v>165</v>
      </c>
      <c r="C102" s="204"/>
      <c r="D102" s="361" t="s">
        <v>187</v>
      </c>
      <c r="E102" s="448"/>
      <c r="F102" s="339">
        <v>24.82</v>
      </c>
      <c r="G102" s="452">
        <v>1991</v>
      </c>
      <c r="H102" s="340">
        <f t="shared" si="32"/>
        <v>49416.62</v>
      </c>
      <c r="I102" s="454"/>
      <c r="J102" s="341">
        <v>4</v>
      </c>
      <c r="K102" s="342">
        <f t="shared" ref="K102:K105" si="35">G102/P102*60</f>
        <v>2986.5000000000105</v>
      </c>
      <c r="L102" s="343">
        <f t="shared" si="33"/>
        <v>746.62500000000261</v>
      </c>
      <c r="M102" s="344">
        <v>0.76736111111111116</v>
      </c>
      <c r="N102" s="344">
        <v>0.79513888888888884</v>
      </c>
      <c r="O102" s="335">
        <v>20</v>
      </c>
      <c r="P102" s="342">
        <f t="shared" si="34"/>
        <v>39.999999999999858</v>
      </c>
      <c r="Q102" s="345"/>
      <c r="R102" s="345"/>
    </row>
    <row r="103" spans="1:18">
      <c r="A103" s="551"/>
      <c r="B103" s="336" t="s">
        <v>165</v>
      </c>
      <c r="C103" s="204"/>
      <c r="D103" s="361" t="s">
        <v>363</v>
      </c>
      <c r="E103" s="361"/>
      <c r="F103" s="339">
        <v>23.8</v>
      </c>
      <c r="G103" s="452">
        <v>857</v>
      </c>
      <c r="H103" s="340">
        <f t="shared" si="32"/>
        <v>20396.600000000002</v>
      </c>
      <c r="I103" s="454"/>
      <c r="J103" s="341">
        <v>4</v>
      </c>
      <c r="K103" s="342">
        <f t="shared" si="35"/>
        <v>3024.7058823529519</v>
      </c>
      <c r="L103" s="343">
        <f t="shared" si="33"/>
        <v>756.17647058823798</v>
      </c>
      <c r="M103" s="344">
        <v>0.80972222222222223</v>
      </c>
      <c r="N103" s="344">
        <v>0.82152777777777775</v>
      </c>
      <c r="O103" s="335">
        <v>21</v>
      </c>
      <c r="P103" s="342">
        <f t="shared" si="34"/>
        <v>16.99999999999994</v>
      </c>
      <c r="Q103" s="345"/>
      <c r="R103" s="345"/>
    </row>
    <row r="104" spans="1:18">
      <c r="A104" s="551"/>
      <c r="B104" s="336" t="s">
        <v>165</v>
      </c>
      <c r="C104" s="204"/>
      <c r="D104" s="361" t="s">
        <v>364</v>
      </c>
      <c r="E104" s="379"/>
      <c r="F104" s="339">
        <v>24.76</v>
      </c>
      <c r="G104" s="452">
        <v>1512</v>
      </c>
      <c r="H104" s="340">
        <f t="shared" si="32"/>
        <v>37437.120000000003</v>
      </c>
      <c r="I104" s="454"/>
      <c r="J104" s="341">
        <v>4</v>
      </c>
      <c r="K104" s="342">
        <f t="shared" si="35"/>
        <v>3024.0000000000105</v>
      </c>
      <c r="L104" s="343">
        <f t="shared" si="33"/>
        <v>756.00000000000261</v>
      </c>
      <c r="M104" s="344">
        <v>0.83611111111111114</v>
      </c>
      <c r="N104" s="344">
        <v>0.8569444444444444</v>
      </c>
      <c r="O104" s="335">
        <v>21</v>
      </c>
      <c r="P104" s="342">
        <f>(N104-M104)*24*60</f>
        <v>29.999999999999893</v>
      </c>
      <c r="Q104" s="345"/>
      <c r="R104" s="345"/>
    </row>
    <row r="105" spans="1:18">
      <c r="A105" s="551"/>
      <c r="B105" s="336" t="s">
        <v>165</v>
      </c>
      <c r="C105" s="204"/>
      <c r="D105" s="361" t="s">
        <v>365</v>
      </c>
      <c r="E105" s="363"/>
      <c r="F105" s="339">
        <v>14.03</v>
      </c>
      <c r="G105" s="452">
        <v>8167</v>
      </c>
      <c r="H105" s="340">
        <f t="shared" si="32"/>
        <v>114583.01</v>
      </c>
      <c r="I105" s="454"/>
      <c r="J105" s="341">
        <v>3</v>
      </c>
      <c r="K105" s="342">
        <f t="shared" si="35"/>
        <v>2969.8181818181806</v>
      </c>
      <c r="L105" s="343">
        <f t="shared" si="33"/>
        <v>989.93939393939354</v>
      </c>
      <c r="M105" s="344">
        <v>0.87083333333333324</v>
      </c>
      <c r="N105" s="344">
        <v>0.98541666666666661</v>
      </c>
      <c r="O105" s="335">
        <v>20</v>
      </c>
      <c r="P105" s="342">
        <f>(N105-M105)*24*60</f>
        <v>165.00000000000006</v>
      </c>
      <c r="Q105" s="343"/>
      <c r="R105" s="345"/>
    </row>
    <row r="106" spans="1:18">
      <c r="A106" s="551"/>
      <c r="B106" s="336">
        <v>0</v>
      </c>
      <c r="C106" s="204"/>
      <c r="D106" s="363"/>
      <c r="E106" s="448"/>
      <c r="F106" s="339" t="s">
        <v>161</v>
      </c>
      <c r="G106" s="346"/>
      <c r="H106" s="340">
        <f t="shared" si="32"/>
        <v>0</v>
      </c>
      <c r="I106" s="454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551"/>
      <c r="B107" s="336">
        <v>0</v>
      </c>
      <c r="C107" s="204"/>
      <c r="D107" s="361"/>
      <c r="E107" s="363"/>
      <c r="F107" s="339" t="s">
        <v>161</v>
      </c>
      <c r="G107" s="452"/>
      <c r="H107" s="340">
        <f t="shared" si="32"/>
        <v>0</v>
      </c>
      <c r="I107" s="454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551"/>
      <c r="B108" s="336">
        <v>0</v>
      </c>
      <c r="C108" s="204"/>
      <c r="D108" s="361"/>
      <c r="E108" s="363"/>
      <c r="F108" s="339" t="s">
        <v>161</v>
      </c>
      <c r="G108" s="452"/>
      <c r="H108" s="340">
        <f t="shared" si="32"/>
        <v>0</v>
      </c>
      <c r="I108" s="454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551"/>
      <c r="B109" s="336">
        <v>0</v>
      </c>
      <c r="C109" s="349"/>
      <c r="D109" s="361"/>
      <c r="E109" s="363"/>
      <c r="F109" s="339" t="s">
        <v>161</v>
      </c>
      <c r="G109" s="452"/>
      <c r="H109" s="340">
        <f t="shared" si="32"/>
        <v>0</v>
      </c>
      <c r="I109" s="454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551"/>
      <c r="B110" s="336">
        <v>0</v>
      </c>
      <c r="C110" s="349"/>
      <c r="D110" s="361"/>
      <c r="E110" s="363"/>
      <c r="F110" s="339" t="s">
        <v>161</v>
      </c>
      <c r="G110" s="452"/>
      <c r="H110" s="340">
        <f t="shared" si="32"/>
        <v>0</v>
      </c>
      <c r="I110" s="454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551"/>
      <c r="B111" s="336">
        <v>0</v>
      </c>
      <c r="C111" s="204" t="s">
        <v>350</v>
      </c>
      <c r="D111" s="552" t="s">
        <v>332</v>
      </c>
      <c r="E111" s="553"/>
      <c r="F111" s="396"/>
      <c r="G111" s="397"/>
      <c r="H111" s="352"/>
      <c r="I111" s="353"/>
      <c r="J111" s="354">
        <f>AVERAGE(J101:J110)</f>
        <v>3.6</v>
      </c>
      <c r="K111" s="354">
        <f>AVERAGE(K101:K110)</f>
        <v>2995.6714795008975</v>
      </c>
      <c r="L111" s="355">
        <f>AVERAGE(L101:L110)</f>
        <v>847.97039512774973</v>
      </c>
      <c r="M111" s="344"/>
      <c r="N111" s="344"/>
      <c r="O111" s="342"/>
      <c r="P111" s="342"/>
      <c r="Q111" s="343"/>
      <c r="R111" s="335"/>
    </row>
    <row r="112" spans="1:18" ht="16.2" customHeight="1">
      <c r="A112" s="554" t="s">
        <v>366</v>
      </c>
      <c r="B112" s="336" t="s">
        <v>165</v>
      </c>
      <c r="C112" s="204"/>
      <c r="D112" s="363" t="s">
        <v>188</v>
      </c>
      <c r="E112" s="398"/>
      <c r="F112" s="339">
        <v>28.57</v>
      </c>
      <c r="G112" s="452">
        <v>3982</v>
      </c>
      <c r="H112" s="389">
        <f t="shared" si="17"/>
        <v>113765.74</v>
      </c>
      <c r="I112" s="454"/>
      <c r="J112" s="341">
        <v>3</v>
      </c>
      <c r="K112" s="342">
        <f t="shared" ref="K112:K117" si="36">G112/P112*60</f>
        <v>2986.4999999999991</v>
      </c>
      <c r="L112" s="343">
        <f t="shared" ref="L112:L117" si="37">K112/J112</f>
        <v>995.49999999999966</v>
      </c>
      <c r="M112" s="344">
        <v>0.72222222222222221</v>
      </c>
      <c r="N112" s="344">
        <v>0.77777777777777779</v>
      </c>
      <c r="O112" s="335">
        <v>20</v>
      </c>
      <c r="P112" s="456">
        <f t="shared" ref="P112:P116" si="38">(N112-M112)*24*60</f>
        <v>80.000000000000028</v>
      </c>
      <c r="Q112" s="335"/>
      <c r="R112" s="335"/>
    </row>
    <row r="113" spans="1:18">
      <c r="A113" s="554"/>
      <c r="B113" s="336" t="s">
        <v>165</v>
      </c>
      <c r="C113" s="359"/>
      <c r="D113" s="386" t="s">
        <v>367</v>
      </c>
      <c r="E113" s="386"/>
      <c r="F113" s="339">
        <v>25.03</v>
      </c>
      <c r="G113" s="452">
        <v>1243</v>
      </c>
      <c r="H113" s="389">
        <f t="shared" si="17"/>
        <v>31112.29</v>
      </c>
      <c r="I113" s="454"/>
      <c r="J113" s="341">
        <v>4</v>
      </c>
      <c r="K113" s="342">
        <f t="shared" si="36"/>
        <v>2983.1999999999916</v>
      </c>
      <c r="L113" s="343">
        <f t="shared" si="37"/>
        <v>745.79999999999791</v>
      </c>
      <c r="M113" s="344">
        <v>0.79166666666666663</v>
      </c>
      <c r="N113" s="344">
        <v>0.80902777777777779</v>
      </c>
      <c r="O113" s="335">
        <v>20</v>
      </c>
      <c r="P113" s="456">
        <f t="shared" si="38"/>
        <v>25.000000000000071</v>
      </c>
      <c r="Q113" s="345"/>
      <c r="R113" s="345"/>
    </row>
    <row r="114" spans="1:18">
      <c r="A114" s="554"/>
      <c r="B114" s="336" t="s">
        <v>165</v>
      </c>
      <c r="C114" s="359"/>
      <c r="D114" s="386" t="s">
        <v>368</v>
      </c>
      <c r="E114" s="361"/>
      <c r="F114" s="339">
        <v>16.7</v>
      </c>
      <c r="G114" s="452">
        <v>3816</v>
      </c>
      <c r="H114" s="389">
        <f t="shared" si="17"/>
        <v>63727.199999999997</v>
      </c>
      <c r="I114" s="454"/>
      <c r="J114" s="341">
        <v>3</v>
      </c>
      <c r="K114" s="342">
        <f t="shared" si="36"/>
        <v>2973.506493506492</v>
      </c>
      <c r="L114" s="343">
        <f t="shared" si="37"/>
        <v>991.16883116883071</v>
      </c>
      <c r="M114" s="344">
        <v>0.82361111111111107</v>
      </c>
      <c r="N114" s="344">
        <v>0.87708333333333333</v>
      </c>
      <c r="O114" s="335">
        <v>21</v>
      </c>
      <c r="P114" s="456">
        <f t="shared" si="38"/>
        <v>77.000000000000043</v>
      </c>
      <c r="Q114" s="345"/>
      <c r="R114" s="345"/>
    </row>
    <row r="115" spans="1:18">
      <c r="A115" s="554"/>
      <c r="B115" s="336" t="s">
        <v>165</v>
      </c>
      <c r="C115" s="359"/>
      <c r="D115" s="363" t="s">
        <v>369</v>
      </c>
      <c r="E115" s="379"/>
      <c r="F115" s="339">
        <v>18.18</v>
      </c>
      <c r="G115" s="452">
        <v>1579</v>
      </c>
      <c r="H115" s="389">
        <f t="shared" si="17"/>
        <v>28706.22</v>
      </c>
      <c r="I115" s="454"/>
      <c r="J115" s="341">
        <v>3</v>
      </c>
      <c r="K115" s="342">
        <f t="shared" si="36"/>
        <v>2960.6250000000105</v>
      </c>
      <c r="L115" s="343">
        <f t="shared" si="37"/>
        <v>986.87500000000352</v>
      </c>
      <c r="M115" s="344">
        <v>0.89236111111111116</v>
      </c>
      <c r="N115" s="344">
        <v>0.9145833333333333</v>
      </c>
      <c r="O115" s="335">
        <v>22</v>
      </c>
      <c r="P115" s="456">
        <f t="shared" si="38"/>
        <v>31.999999999999886</v>
      </c>
      <c r="Q115" s="345"/>
      <c r="R115" s="345"/>
    </row>
    <row r="116" spans="1:18">
      <c r="A116" s="554"/>
      <c r="B116" s="336" t="s">
        <v>165</v>
      </c>
      <c r="C116" s="359"/>
      <c r="D116" s="386" t="s">
        <v>370</v>
      </c>
      <c r="E116" s="363"/>
      <c r="F116" s="339">
        <v>18.18</v>
      </c>
      <c r="G116" s="452">
        <v>1503</v>
      </c>
      <c r="H116" s="389">
        <f t="shared" si="17"/>
        <v>27324.54</v>
      </c>
      <c r="I116" s="454"/>
      <c r="J116" s="341">
        <v>3</v>
      </c>
      <c r="K116" s="342">
        <f t="shared" si="36"/>
        <v>2909.0322580645116</v>
      </c>
      <c r="L116" s="343">
        <f t="shared" si="37"/>
        <v>969.67741935483718</v>
      </c>
      <c r="M116" s="344">
        <v>0.92847222222222225</v>
      </c>
      <c r="N116" s="391">
        <v>0.95000000000000007</v>
      </c>
      <c r="O116" s="335">
        <v>20</v>
      </c>
      <c r="P116" s="456">
        <f t="shared" si="38"/>
        <v>31.00000000000005</v>
      </c>
      <c r="Q116" s="345"/>
      <c r="R116" s="345"/>
    </row>
    <row r="117" spans="1:18">
      <c r="A117" s="554"/>
      <c r="B117" s="336" t="s">
        <v>165</v>
      </c>
      <c r="C117" s="359"/>
      <c r="D117" s="361" t="s">
        <v>371</v>
      </c>
      <c r="E117" s="376"/>
      <c r="F117" s="339">
        <v>14.285714285714283</v>
      </c>
      <c r="G117" s="452">
        <v>11764</v>
      </c>
      <c r="H117" s="389">
        <f t="shared" ref="H117:H123" si="39">F117*G117</f>
        <v>168057.14285714281</v>
      </c>
      <c r="I117" s="454"/>
      <c r="J117" s="341">
        <v>3</v>
      </c>
      <c r="K117" s="342">
        <f t="shared" si="36"/>
        <v>2941.0000000427972</v>
      </c>
      <c r="L117" s="343">
        <f t="shared" si="37"/>
        <v>980.33333334759902</v>
      </c>
      <c r="M117" s="344">
        <v>46298.965277777781</v>
      </c>
      <c r="N117" s="344">
        <v>46299.131944444445</v>
      </c>
      <c r="O117" s="335">
        <v>22</v>
      </c>
      <c r="P117" s="342">
        <f>(N117-M117)*24*60</f>
        <v>239.99999999650754</v>
      </c>
      <c r="Q117" s="345"/>
      <c r="R117" s="345"/>
    </row>
    <row r="118" spans="1:18">
      <c r="A118" s="554"/>
      <c r="B118" s="336">
        <v>0</v>
      </c>
      <c r="C118" s="359"/>
      <c r="D118" s="363"/>
      <c r="E118" s="376"/>
      <c r="F118" s="339" t="s">
        <v>161</v>
      </c>
      <c r="G118" s="452"/>
      <c r="H118" s="389">
        <f t="shared" si="39"/>
        <v>0</v>
      </c>
      <c r="I118" s="454"/>
      <c r="J118" s="341"/>
      <c r="K118" s="342"/>
      <c r="L118" s="343"/>
      <c r="M118" s="344"/>
      <c r="N118" s="344"/>
      <c r="O118" s="342"/>
      <c r="P118" s="456"/>
      <c r="Q118" s="345"/>
      <c r="R118" s="345"/>
    </row>
    <row r="119" spans="1:18">
      <c r="A119" s="554"/>
      <c r="B119" s="336">
        <v>0</v>
      </c>
      <c r="C119" s="359"/>
      <c r="D119" s="386"/>
      <c r="E119" s="376"/>
      <c r="F119" s="339" t="s">
        <v>161</v>
      </c>
      <c r="G119" s="452"/>
      <c r="H119" s="389">
        <f t="shared" si="39"/>
        <v>0</v>
      </c>
      <c r="I119" s="454"/>
      <c r="J119" s="341"/>
      <c r="K119" s="342"/>
      <c r="L119" s="343"/>
      <c r="M119" s="344"/>
      <c r="N119" s="344"/>
      <c r="O119" s="335"/>
      <c r="P119" s="456"/>
      <c r="Q119" s="345"/>
      <c r="R119" s="345"/>
    </row>
    <row r="120" spans="1:18">
      <c r="A120" s="554"/>
      <c r="B120" s="336">
        <v>0</v>
      </c>
      <c r="C120" s="359"/>
      <c r="D120" s="363"/>
      <c r="E120" s="376"/>
      <c r="F120" s="339" t="s">
        <v>161</v>
      </c>
      <c r="G120" s="452"/>
      <c r="H120" s="389">
        <f t="shared" si="39"/>
        <v>0</v>
      </c>
      <c r="I120" s="454"/>
      <c r="J120" s="341"/>
      <c r="K120" s="342"/>
      <c r="L120" s="343"/>
      <c r="M120" s="344"/>
      <c r="N120" s="344"/>
      <c r="O120" s="335"/>
      <c r="P120" s="456"/>
      <c r="Q120" s="345"/>
      <c r="R120" s="345"/>
    </row>
    <row r="121" spans="1:18">
      <c r="A121" s="554"/>
      <c r="B121" s="336">
        <v>0</v>
      </c>
      <c r="C121" s="359"/>
      <c r="D121" s="363"/>
      <c r="E121" s="376"/>
      <c r="F121" s="339" t="s">
        <v>161</v>
      </c>
      <c r="G121" s="452"/>
      <c r="H121" s="389">
        <f t="shared" si="39"/>
        <v>0</v>
      </c>
      <c r="I121" s="454"/>
      <c r="J121" s="341"/>
      <c r="K121" s="342"/>
      <c r="L121" s="343"/>
      <c r="M121" s="344"/>
      <c r="N121" s="344"/>
      <c r="O121" s="335"/>
      <c r="P121" s="456"/>
      <c r="Q121" s="345"/>
      <c r="R121" s="345"/>
    </row>
    <row r="122" spans="1:18" ht="15.6" customHeight="1">
      <c r="A122" s="554"/>
      <c r="B122" s="336">
        <v>0</v>
      </c>
      <c r="C122" s="359"/>
      <c r="D122" s="363"/>
      <c r="E122" s="376"/>
      <c r="F122" s="339" t="s">
        <v>161</v>
      </c>
      <c r="G122" s="452"/>
      <c r="H122" s="389">
        <f t="shared" si="39"/>
        <v>0</v>
      </c>
      <c r="I122" s="454"/>
      <c r="J122" s="341"/>
      <c r="K122" s="342"/>
      <c r="L122" s="343"/>
      <c r="M122" s="344"/>
      <c r="N122" s="344"/>
      <c r="O122" s="335"/>
      <c r="P122" s="456"/>
      <c r="Q122" s="345"/>
      <c r="R122" s="345"/>
    </row>
    <row r="123" spans="1:18">
      <c r="A123" s="554"/>
      <c r="B123" s="336">
        <v>0</v>
      </c>
      <c r="C123" s="359"/>
      <c r="D123" s="363"/>
      <c r="E123" s="376"/>
      <c r="F123" s="339" t="s">
        <v>161</v>
      </c>
      <c r="G123" s="452"/>
      <c r="H123" s="389">
        <f t="shared" si="39"/>
        <v>0</v>
      </c>
      <c r="I123" s="454"/>
      <c r="J123" s="341"/>
      <c r="K123" s="342"/>
      <c r="L123" s="343"/>
      <c r="M123" s="344"/>
      <c r="N123" s="344"/>
      <c r="O123" s="335"/>
      <c r="P123" s="456"/>
      <c r="Q123" s="345"/>
      <c r="R123" s="345"/>
    </row>
    <row r="124" spans="1:18" ht="17.399999999999999" customHeight="1">
      <c r="A124" s="554"/>
      <c r="B124" s="349">
        <v>0</v>
      </c>
      <c r="C124" s="204" t="s">
        <v>355</v>
      </c>
      <c r="D124" s="555" t="s">
        <v>332</v>
      </c>
      <c r="E124" s="555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2958.9772919356342</v>
      </c>
      <c r="L124" s="355">
        <f>AVERAGE(L112:L123)</f>
        <v>944.89243064521133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55" zoomScaleNormal="55" workbookViewId="0">
      <pane xSplit="1" ySplit="4" topLeftCell="B5" activePane="bottomRight" state="frozen"/>
      <selection activeCell="AK24" sqref="AK24"/>
      <selection pane="topRight" activeCell="AK24" sqref="AK24"/>
      <selection pane="bottomLeft" activeCell="AK24" sqref="AK24"/>
      <selection pane="bottomRight" activeCell="H11" sqref="H11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417</v>
      </c>
      <c r="B1" s="57"/>
      <c r="C1" s="57"/>
      <c r="D1" s="474" t="s">
        <v>311</v>
      </c>
      <c r="E1" s="58">
        <f>SUM(G5:G173)</f>
        <v>140541.4</v>
      </c>
      <c r="F1" s="459" t="s">
        <v>3</v>
      </c>
      <c r="G1" s="59">
        <f>SUM(H5:H173)</f>
        <v>5591666.0529542295</v>
      </c>
      <c r="H1" s="473" t="s">
        <v>77</v>
      </c>
      <c r="I1" s="60">
        <f>M17+M30+M43+M56+M69+M82+M95+M108+M121+M134+M147+M160+M173</f>
        <v>187.70833333333334</v>
      </c>
      <c r="J1" s="674" t="s">
        <v>78</v>
      </c>
      <c r="K1" s="674"/>
      <c r="L1" s="674"/>
      <c r="M1" s="674" t="s">
        <v>79</v>
      </c>
      <c r="N1" s="674"/>
      <c r="O1" s="674"/>
      <c r="P1" s="674" t="s">
        <v>418</v>
      </c>
      <c r="Q1" s="674"/>
      <c r="R1" s="674"/>
      <c r="S1" s="674"/>
      <c r="T1" s="674" t="s">
        <v>419</v>
      </c>
      <c r="U1" s="674"/>
      <c r="V1" s="674"/>
      <c r="W1" s="674"/>
      <c r="X1" s="674"/>
      <c r="Y1" s="674"/>
      <c r="Z1" s="61" t="s">
        <v>420</v>
      </c>
      <c r="AA1" s="61" t="s">
        <v>421</v>
      </c>
      <c r="AB1" s="681" t="s">
        <v>422</v>
      </c>
      <c r="AC1" s="682"/>
      <c r="AD1" s="61" t="s">
        <v>420</v>
      </c>
      <c r="AE1" s="61" t="s">
        <v>423</v>
      </c>
      <c r="AF1" s="674" t="s">
        <v>424</v>
      </c>
      <c r="AG1" s="685"/>
      <c r="AH1" s="685"/>
      <c r="AK1" s="62" t="s">
        <v>425</v>
      </c>
    </row>
    <row r="2" spans="1:37" ht="26.25" customHeight="1">
      <c r="A2" s="671" t="s">
        <v>426</v>
      </c>
      <c r="B2" s="671"/>
      <c r="C2" s="474"/>
      <c r="D2" s="474" t="s">
        <v>427</v>
      </c>
      <c r="E2" s="63">
        <f>AVERAGE(O17,O30,O43,O56,O69,O82,O95,O108,O121,O134,O147,O160,O173)</f>
        <v>128.5272856613131</v>
      </c>
      <c r="F2" s="64" t="s">
        <v>80</v>
      </c>
      <c r="G2" s="65">
        <f>G1/E1</f>
        <v>39.786611297128317</v>
      </c>
      <c r="H2" s="473" t="s">
        <v>81</v>
      </c>
      <c r="I2" s="473">
        <f>COUNT(I5:I173)</f>
        <v>7</v>
      </c>
      <c r="J2" s="674"/>
      <c r="K2" s="674"/>
      <c r="L2" s="674"/>
      <c r="M2" s="674"/>
      <c r="N2" s="674"/>
      <c r="O2" s="674"/>
      <c r="P2" s="674"/>
      <c r="Q2" s="674"/>
      <c r="R2" s="674"/>
      <c r="S2" s="674"/>
      <c r="T2" s="674"/>
      <c r="U2" s="674"/>
      <c r="V2" s="674"/>
      <c r="W2" s="674"/>
      <c r="X2" s="674"/>
      <c r="Y2" s="674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683"/>
      <c r="AC2" s="684"/>
      <c r="AD2" s="67">
        <f>AD17+AD30+AD43+AD56+AD69+AD82+AD95+AD108+AD121+AD134+AD147+AD160+AD173</f>
        <v>2</v>
      </c>
      <c r="AE2" s="67">
        <f>AE17+AE30+AE43+AE56+AE69+AE82+AE95+AE108+AE121+AE134+AE147+AE160+AE173</f>
        <v>3</v>
      </c>
      <c r="AF2" s="685"/>
      <c r="AG2" s="685"/>
      <c r="AH2" s="685"/>
      <c r="AK2" s="402">
        <f>AVERAGE(AK5:AK9999)</f>
        <v>6.3679166666666855</v>
      </c>
    </row>
    <row r="3" spans="1:37" ht="30.6" customHeight="1">
      <c r="A3" s="616" t="s">
        <v>428</v>
      </c>
      <c r="B3" s="616" t="s">
        <v>82</v>
      </c>
      <c r="C3" s="672"/>
      <c r="D3" s="616" t="s">
        <v>429</v>
      </c>
      <c r="E3" s="616"/>
      <c r="F3" s="672" t="s">
        <v>83</v>
      </c>
      <c r="G3" s="676" t="s">
        <v>84</v>
      </c>
      <c r="H3" s="672" t="s">
        <v>85</v>
      </c>
      <c r="I3" s="677" t="s">
        <v>430</v>
      </c>
      <c r="J3" s="680" t="s">
        <v>86</v>
      </c>
      <c r="K3" s="669" t="s">
        <v>87</v>
      </c>
      <c r="L3" s="645" t="s">
        <v>35</v>
      </c>
      <c r="M3" s="676" t="s">
        <v>86</v>
      </c>
      <c r="N3" s="669" t="s">
        <v>431</v>
      </c>
      <c r="O3" s="645" t="s">
        <v>427</v>
      </c>
      <c r="P3" s="680" t="s">
        <v>432</v>
      </c>
      <c r="Q3" s="645" t="s">
        <v>427</v>
      </c>
      <c r="R3" s="670" t="s">
        <v>433</v>
      </c>
      <c r="S3" s="646" t="s">
        <v>434</v>
      </c>
      <c r="T3" s="676" t="s">
        <v>88</v>
      </c>
      <c r="U3" s="676"/>
      <c r="V3" s="675" t="s">
        <v>89</v>
      </c>
      <c r="W3" s="677" t="s">
        <v>326</v>
      </c>
      <c r="X3" s="676" t="s">
        <v>327</v>
      </c>
      <c r="Y3" s="676"/>
      <c r="Z3" s="678" t="s">
        <v>435</v>
      </c>
      <c r="AA3" s="679"/>
      <c r="AB3" s="665" t="s">
        <v>436</v>
      </c>
      <c r="AC3" s="666"/>
      <c r="AD3" s="667" t="s">
        <v>437</v>
      </c>
      <c r="AE3" s="668"/>
      <c r="AF3" s="669" t="s">
        <v>325</v>
      </c>
      <c r="AG3" s="670" t="s">
        <v>438</v>
      </c>
      <c r="AH3" s="646" t="s">
        <v>434</v>
      </c>
      <c r="AK3" s="675" t="s">
        <v>89</v>
      </c>
    </row>
    <row r="4" spans="1:37" ht="30.6" customHeight="1">
      <c r="A4" s="672"/>
      <c r="B4" s="616"/>
      <c r="C4" s="673"/>
      <c r="D4" s="616"/>
      <c r="E4" s="616"/>
      <c r="F4" s="673"/>
      <c r="G4" s="676"/>
      <c r="H4" s="673"/>
      <c r="I4" s="677"/>
      <c r="J4" s="680"/>
      <c r="K4" s="669"/>
      <c r="L4" s="645"/>
      <c r="M4" s="676"/>
      <c r="N4" s="669"/>
      <c r="O4" s="645"/>
      <c r="P4" s="680"/>
      <c r="Q4" s="645"/>
      <c r="R4" s="670"/>
      <c r="S4" s="646"/>
      <c r="T4" s="468" t="s">
        <v>90</v>
      </c>
      <c r="U4" s="468" t="s">
        <v>91</v>
      </c>
      <c r="V4" s="676"/>
      <c r="W4" s="677"/>
      <c r="X4" s="459" t="s">
        <v>328</v>
      </c>
      <c r="Y4" s="459" t="s">
        <v>36</v>
      </c>
      <c r="Z4" s="468" t="s">
        <v>439</v>
      </c>
      <c r="AA4" s="468" t="s">
        <v>440</v>
      </c>
      <c r="AB4" s="666"/>
      <c r="AC4" s="666"/>
      <c r="AD4" s="468" t="s">
        <v>441</v>
      </c>
      <c r="AE4" s="68" t="s">
        <v>442</v>
      </c>
      <c r="AF4" s="669"/>
      <c r="AG4" s="670"/>
      <c r="AH4" s="646"/>
      <c r="AK4" s="676"/>
    </row>
    <row r="5" spans="1:37" ht="18.75" customHeight="1">
      <c r="A5" s="661" t="s">
        <v>443</v>
      </c>
      <c r="B5" s="69" t="s">
        <v>163</v>
      </c>
      <c r="C5" s="70"/>
      <c r="D5" s="71" t="s">
        <v>93</v>
      </c>
      <c r="E5" s="72"/>
      <c r="F5" s="73">
        <v>36.92</v>
      </c>
      <c r="G5" s="74">
        <v>814.8</v>
      </c>
      <c r="H5" s="75">
        <f t="shared" ref="H5:H16" si="0">F5*G5</f>
        <v>30082.416000000001</v>
      </c>
      <c r="I5" s="469"/>
      <c r="J5" s="76">
        <v>12</v>
      </c>
      <c r="K5" s="74">
        <v>2000</v>
      </c>
      <c r="L5" s="77">
        <v>166.66666666666666</v>
      </c>
      <c r="M5" s="470">
        <v>12</v>
      </c>
      <c r="N5" s="74">
        <f t="shared" ref="N5:N12" si="1">G5/W5*60</f>
        <v>1577.0322580645175</v>
      </c>
      <c r="O5" s="77">
        <f t="shared" ref="O5:O12" si="2">N5/M5</f>
        <v>131.41935483870978</v>
      </c>
      <c r="P5" s="78">
        <f t="shared" ref="P5:P12" si="3">M5-J5</f>
        <v>0</v>
      </c>
      <c r="Q5" s="79">
        <f t="shared" ref="Q5:Q12" si="4">O5-L5</f>
        <v>-35.247311827956878</v>
      </c>
      <c r="R5" s="461">
        <f t="shared" ref="R5:R12" si="5">O5/L5</f>
        <v>0.78851612903225876</v>
      </c>
      <c r="S5" s="631">
        <f>R17</f>
        <v>0.87588145836512654</v>
      </c>
      <c r="T5" s="80">
        <v>0.25</v>
      </c>
      <c r="U5" s="80">
        <v>0.27152777777777776</v>
      </c>
      <c r="V5" s="459">
        <v>5</v>
      </c>
      <c r="W5" s="469">
        <f>(U5-T5)*24*60</f>
        <v>30.999999999999972</v>
      </c>
      <c r="X5" s="459"/>
      <c r="Y5" s="459"/>
      <c r="Z5" s="81"/>
      <c r="AA5" s="81"/>
      <c r="AB5" s="616"/>
      <c r="AC5" s="616"/>
      <c r="AD5" s="82"/>
      <c r="AE5" s="82"/>
      <c r="AF5" s="78">
        <f t="shared" ref="AF5:AF70" si="6">N5-K5</f>
        <v>-422.96774193548254</v>
      </c>
      <c r="AG5" s="461">
        <f t="shared" ref="AG5:AG70" si="7">N5/K5</f>
        <v>0.78851612903225876</v>
      </c>
      <c r="AH5" s="631">
        <f>AG17</f>
        <v>0.88087951573621392</v>
      </c>
      <c r="AJ5" s="62" t="str">
        <f>A5</f>
        <v>四度一組
(ET-600)</v>
      </c>
      <c r="AK5" s="404">
        <f>AVERAGE(AK6:AK16)</f>
        <v>6.4285714285714795</v>
      </c>
    </row>
    <row r="6" spans="1:37" ht="19.2" customHeight="1">
      <c r="A6" s="662"/>
      <c r="B6" s="69" t="s">
        <v>162</v>
      </c>
      <c r="C6" s="70"/>
      <c r="D6" s="71" t="s">
        <v>92</v>
      </c>
      <c r="E6" s="72"/>
      <c r="F6" s="73">
        <v>37.83</v>
      </c>
      <c r="G6" s="74">
        <v>6063</v>
      </c>
      <c r="H6" s="75">
        <f t="shared" si="0"/>
        <v>229363.28999999998</v>
      </c>
      <c r="I6" s="469"/>
      <c r="J6" s="76">
        <v>20</v>
      </c>
      <c r="K6" s="74">
        <v>2400</v>
      </c>
      <c r="L6" s="77">
        <v>120</v>
      </c>
      <c r="M6" s="470">
        <v>20</v>
      </c>
      <c r="N6" s="74">
        <f t="shared" si="1"/>
        <v>2231.7791411042949</v>
      </c>
      <c r="O6" s="77">
        <f t="shared" si="2"/>
        <v>111.58895705521475</v>
      </c>
      <c r="P6" s="78">
        <f t="shared" si="3"/>
        <v>0</v>
      </c>
      <c r="Q6" s="79">
        <f t="shared" si="4"/>
        <v>-8.4110429447852511</v>
      </c>
      <c r="R6" s="461">
        <f t="shared" si="5"/>
        <v>0.92990797546012294</v>
      </c>
      <c r="S6" s="631"/>
      <c r="T6" s="80">
        <v>0.27708333333333329</v>
      </c>
      <c r="U6" s="80">
        <v>0.39027777777777772</v>
      </c>
      <c r="V6" s="459">
        <v>8</v>
      </c>
      <c r="W6" s="469">
        <f t="shared" ref="W6:W17" si="8">(U6-T6)*24*60</f>
        <v>162.99999999999997</v>
      </c>
      <c r="X6" s="83"/>
      <c r="Y6" s="83"/>
      <c r="Z6" s="84"/>
      <c r="AA6" s="84"/>
      <c r="AB6" s="616"/>
      <c r="AC6" s="616"/>
      <c r="AD6" s="457"/>
      <c r="AE6" s="457"/>
      <c r="AF6" s="78">
        <f t="shared" si="6"/>
        <v>-168.22085889570508</v>
      </c>
      <c r="AG6" s="461">
        <f t="shared" si="7"/>
        <v>0.92990797546012294</v>
      </c>
      <c r="AH6" s="631"/>
      <c r="AJ6" s="405">
        <f>IF((IF(V6&lt;10,V6,(X6-U5)*1440))=0,"",IF(V6&lt;10,V6,(X6-U5)*1440))</f>
        <v>8</v>
      </c>
      <c r="AK6" s="406">
        <f>IF(AJ6&gt;4,AJ6,"")</f>
        <v>8</v>
      </c>
    </row>
    <row r="7" spans="1:37" ht="19.2" customHeight="1">
      <c r="A7" s="662"/>
      <c r="B7" s="69" t="s">
        <v>162</v>
      </c>
      <c r="C7" s="70"/>
      <c r="D7" s="71" t="s">
        <v>94</v>
      </c>
      <c r="E7" s="72"/>
      <c r="F7" s="73">
        <v>35.89</v>
      </c>
      <c r="G7" s="74">
        <v>2048</v>
      </c>
      <c r="H7" s="75">
        <f t="shared" si="0"/>
        <v>73502.720000000001</v>
      </c>
      <c r="I7" s="469"/>
      <c r="J7" s="76">
        <v>18</v>
      </c>
      <c r="K7" s="74">
        <v>2571</v>
      </c>
      <c r="L7" s="77">
        <v>142.83333333333334</v>
      </c>
      <c r="M7" s="470">
        <v>18</v>
      </c>
      <c r="N7" s="74">
        <f t="shared" si="1"/>
        <v>2318.4905660377372</v>
      </c>
      <c r="O7" s="77">
        <f t="shared" si="2"/>
        <v>128.80503144654097</v>
      </c>
      <c r="P7" s="78">
        <f t="shared" si="3"/>
        <v>0</v>
      </c>
      <c r="Q7" s="79">
        <f t="shared" si="4"/>
        <v>-14.028301886792377</v>
      </c>
      <c r="R7" s="461">
        <f t="shared" si="5"/>
        <v>0.90178551771207205</v>
      </c>
      <c r="S7" s="631"/>
      <c r="T7" s="80">
        <v>0.40624999999999994</v>
      </c>
      <c r="U7" s="80">
        <v>0.44305555555555548</v>
      </c>
      <c r="V7" s="459">
        <v>23</v>
      </c>
      <c r="W7" s="469">
        <f t="shared" si="8"/>
        <v>52.999999999999972</v>
      </c>
      <c r="X7" s="83">
        <v>0.39444444444444443</v>
      </c>
      <c r="Y7" s="83">
        <v>0.4055555555555555</v>
      </c>
      <c r="Z7" s="84"/>
      <c r="AA7" s="84"/>
      <c r="AB7" s="616"/>
      <c r="AC7" s="616"/>
      <c r="AD7" s="457"/>
      <c r="AE7" s="457"/>
      <c r="AF7" s="78">
        <f t="shared" si="6"/>
        <v>-252.50943396226285</v>
      </c>
      <c r="AG7" s="461">
        <f t="shared" si="7"/>
        <v>0.90178551771207205</v>
      </c>
      <c r="AH7" s="631"/>
      <c r="AJ7" s="405">
        <f t="shared" ref="AJ7:AJ16" si="9">IF((IF(V7&lt;10,V7,(X7-U6)*1440))=0,"",IF(V7&lt;10,V7,(X7-U6)*1440))</f>
        <v>6.0000000000000586</v>
      </c>
      <c r="AK7" s="406">
        <f t="shared" ref="AK7:AK16" si="10">IF(AJ7&gt;4,AJ7,"")</f>
        <v>6.0000000000000586</v>
      </c>
    </row>
    <row r="8" spans="1:37" ht="19.2" customHeight="1">
      <c r="A8" s="662"/>
      <c r="B8" s="69" t="s">
        <v>162</v>
      </c>
      <c r="C8" s="70"/>
      <c r="D8" s="71" t="s">
        <v>95</v>
      </c>
      <c r="E8" s="72"/>
      <c r="F8" s="73">
        <v>36.729999999999997</v>
      </c>
      <c r="G8" s="85">
        <v>692</v>
      </c>
      <c r="H8" s="75">
        <f t="shared" si="0"/>
        <v>25417.159999999996</v>
      </c>
      <c r="I8" s="469"/>
      <c r="J8" s="76">
        <v>18</v>
      </c>
      <c r="K8" s="74">
        <v>2571</v>
      </c>
      <c r="L8" s="77">
        <v>142.83333333333334</v>
      </c>
      <c r="M8" s="470">
        <v>18</v>
      </c>
      <c r="N8" s="74">
        <f t="shared" si="1"/>
        <v>2306.6666666666647</v>
      </c>
      <c r="O8" s="77">
        <f t="shared" si="2"/>
        <v>128.14814814814804</v>
      </c>
      <c r="P8" s="78">
        <f t="shared" si="3"/>
        <v>0</v>
      </c>
      <c r="Q8" s="79">
        <f t="shared" si="4"/>
        <v>-14.685185185185304</v>
      </c>
      <c r="R8" s="461">
        <f t="shared" si="5"/>
        <v>0.89718656813172482</v>
      </c>
      <c r="S8" s="631"/>
      <c r="T8" s="80">
        <v>0.44722222222222213</v>
      </c>
      <c r="U8" s="80">
        <v>0.45972222222222214</v>
      </c>
      <c r="V8" s="459">
        <v>6</v>
      </c>
      <c r="W8" s="469">
        <f t="shared" si="8"/>
        <v>18.000000000000014</v>
      </c>
      <c r="X8" s="83"/>
      <c r="Y8" s="83"/>
      <c r="Z8" s="84"/>
      <c r="AA8" s="84"/>
      <c r="AB8" s="616"/>
      <c r="AC8" s="616"/>
      <c r="AD8" s="457"/>
      <c r="AE8" s="457"/>
      <c r="AF8" s="78">
        <f t="shared" si="6"/>
        <v>-264.3333333333353</v>
      </c>
      <c r="AG8" s="461">
        <f t="shared" si="7"/>
        <v>0.89718656813172493</v>
      </c>
      <c r="AH8" s="631"/>
      <c r="AJ8" s="405">
        <f t="shared" si="9"/>
        <v>6</v>
      </c>
      <c r="AK8" s="406">
        <f t="shared" si="10"/>
        <v>6</v>
      </c>
    </row>
    <row r="9" spans="1:37" ht="19.2" customHeight="1">
      <c r="A9" s="662"/>
      <c r="B9" s="69" t="s">
        <v>162</v>
      </c>
      <c r="C9" s="86"/>
      <c r="D9" s="71" t="s">
        <v>96</v>
      </c>
      <c r="E9" s="87"/>
      <c r="F9" s="73">
        <v>28.86</v>
      </c>
      <c r="G9" s="74">
        <v>1106</v>
      </c>
      <c r="H9" s="75">
        <f t="shared" si="0"/>
        <v>31919.16</v>
      </c>
      <c r="I9" s="457"/>
      <c r="J9" s="76">
        <v>17</v>
      </c>
      <c r="K9" s="74">
        <v>2571</v>
      </c>
      <c r="L9" s="77">
        <v>151.23529411764707</v>
      </c>
      <c r="M9" s="470">
        <v>17</v>
      </c>
      <c r="N9" s="74">
        <f t="shared" si="1"/>
        <v>2288.2758620689674</v>
      </c>
      <c r="O9" s="77">
        <f t="shared" si="2"/>
        <v>134.60446247464515</v>
      </c>
      <c r="P9" s="78">
        <f t="shared" si="3"/>
        <v>0</v>
      </c>
      <c r="Q9" s="79">
        <f t="shared" si="4"/>
        <v>-16.630831643001926</v>
      </c>
      <c r="R9" s="461">
        <f t="shared" si="5"/>
        <v>0.89003339637066015</v>
      </c>
      <c r="S9" s="631"/>
      <c r="T9" s="80">
        <v>0.46319444444444435</v>
      </c>
      <c r="U9" s="80">
        <v>0.48333333333333323</v>
      </c>
      <c r="V9" s="459">
        <v>5</v>
      </c>
      <c r="W9" s="469">
        <f t="shared" si="8"/>
        <v>28.999999999999979</v>
      </c>
      <c r="X9" s="83"/>
      <c r="Y9" s="83"/>
      <c r="Z9" s="84"/>
      <c r="AA9" s="84"/>
      <c r="AB9" s="616"/>
      <c r="AC9" s="616"/>
      <c r="AD9" s="457"/>
      <c r="AE9" s="457"/>
      <c r="AF9" s="78">
        <f t="shared" si="6"/>
        <v>-282.7241379310326</v>
      </c>
      <c r="AG9" s="461">
        <f t="shared" si="7"/>
        <v>0.89003339637066026</v>
      </c>
      <c r="AH9" s="631"/>
      <c r="AJ9" s="405">
        <f t="shared" si="9"/>
        <v>5</v>
      </c>
      <c r="AK9" s="406">
        <f t="shared" si="10"/>
        <v>5</v>
      </c>
    </row>
    <row r="10" spans="1:37" ht="19.2" customHeight="1">
      <c r="A10" s="663"/>
      <c r="B10" s="69" t="s">
        <v>162</v>
      </c>
      <c r="C10" s="70"/>
      <c r="D10" s="71" t="s">
        <v>97</v>
      </c>
      <c r="E10" s="72"/>
      <c r="F10" s="73">
        <v>31.11</v>
      </c>
      <c r="G10" s="74">
        <v>1809</v>
      </c>
      <c r="H10" s="75">
        <f t="shared" si="0"/>
        <v>56277.99</v>
      </c>
      <c r="I10" s="469"/>
      <c r="J10" s="76">
        <v>18</v>
      </c>
      <c r="K10" s="74">
        <v>2769</v>
      </c>
      <c r="L10" s="77">
        <v>153.83333333333334</v>
      </c>
      <c r="M10" s="470">
        <v>18</v>
      </c>
      <c r="N10" s="74">
        <f t="shared" si="1"/>
        <v>2359.5652173913045</v>
      </c>
      <c r="O10" s="77">
        <f t="shared" si="2"/>
        <v>131.08695652173913</v>
      </c>
      <c r="P10" s="78">
        <f t="shared" si="3"/>
        <v>0</v>
      </c>
      <c r="Q10" s="79">
        <f t="shared" si="4"/>
        <v>-22.746376811594217</v>
      </c>
      <c r="R10" s="461">
        <f t="shared" si="5"/>
        <v>0.85213622874369954</v>
      </c>
      <c r="S10" s="632"/>
      <c r="T10" s="80">
        <v>0.52430555555555536</v>
      </c>
      <c r="U10" s="80">
        <v>0.5562499999999998</v>
      </c>
      <c r="V10" s="459">
        <v>6</v>
      </c>
      <c r="W10" s="469">
        <f t="shared" si="8"/>
        <v>46</v>
      </c>
      <c r="X10" s="83"/>
      <c r="Y10" s="83"/>
      <c r="Z10" s="84"/>
      <c r="AA10" s="84"/>
      <c r="AB10" s="616"/>
      <c r="AC10" s="616"/>
      <c r="AD10" s="457"/>
      <c r="AE10" s="457"/>
      <c r="AF10" s="78">
        <f>N10-K10</f>
        <v>-409.43478260869551</v>
      </c>
      <c r="AG10" s="461">
        <f>N10/K10</f>
        <v>0.85213622874369965</v>
      </c>
      <c r="AH10" s="632"/>
      <c r="AJ10" s="405">
        <f t="shared" si="9"/>
        <v>6</v>
      </c>
      <c r="AK10" s="406">
        <f t="shared" si="10"/>
        <v>6</v>
      </c>
    </row>
    <row r="11" spans="1:37" ht="19.2" customHeight="1">
      <c r="A11" s="663"/>
      <c r="B11" s="69" t="s">
        <v>162</v>
      </c>
      <c r="C11" s="70"/>
      <c r="D11" s="88" t="s">
        <v>98</v>
      </c>
      <c r="E11" s="72"/>
      <c r="F11" s="73">
        <v>38.479999999999997</v>
      </c>
      <c r="G11" s="74">
        <v>2583</v>
      </c>
      <c r="H11" s="75">
        <f t="shared" si="0"/>
        <v>99393.84</v>
      </c>
      <c r="I11" s="469"/>
      <c r="J11" s="76">
        <v>19</v>
      </c>
      <c r="K11" s="74">
        <v>2769</v>
      </c>
      <c r="L11" s="77">
        <v>145.73684210526315</v>
      </c>
      <c r="M11" s="470">
        <v>19</v>
      </c>
      <c r="N11" s="74">
        <f t="shared" si="1"/>
        <v>2460.0000000000027</v>
      </c>
      <c r="O11" s="77">
        <f t="shared" si="2"/>
        <v>129.47368421052647</v>
      </c>
      <c r="P11" s="78">
        <f t="shared" si="3"/>
        <v>0</v>
      </c>
      <c r="Q11" s="79">
        <f t="shared" si="4"/>
        <v>-16.263157894736679</v>
      </c>
      <c r="R11" s="461">
        <f t="shared" si="5"/>
        <v>0.88840736728060787</v>
      </c>
      <c r="S11" s="632"/>
      <c r="T11" s="80">
        <v>0.56180555555555534</v>
      </c>
      <c r="U11" s="80">
        <v>0.60555555555555529</v>
      </c>
      <c r="V11" s="459">
        <v>8</v>
      </c>
      <c r="W11" s="469">
        <f t="shared" si="8"/>
        <v>62.999999999999936</v>
      </c>
      <c r="X11" s="83"/>
      <c r="Y11" s="83"/>
      <c r="Z11" s="84"/>
      <c r="AA11" s="84"/>
      <c r="AB11" s="616"/>
      <c r="AC11" s="616"/>
      <c r="AD11" s="457"/>
      <c r="AE11" s="457"/>
      <c r="AF11" s="78">
        <f>N11-K11</f>
        <v>-308.99999999999727</v>
      </c>
      <c r="AG11" s="461">
        <f>N11/K11</f>
        <v>0.88840736728060765</v>
      </c>
      <c r="AH11" s="632"/>
      <c r="AJ11" s="405">
        <f t="shared" si="9"/>
        <v>8</v>
      </c>
      <c r="AK11" s="406">
        <f t="shared" si="10"/>
        <v>8</v>
      </c>
    </row>
    <row r="12" spans="1:37" ht="19.2" customHeight="1">
      <c r="A12" s="663"/>
      <c r="B12" s="69" t="s">
        <v>162</v>
      </c>
      <c r="C12" s="70"/>
      <c r="D12" s="88" t="s">
        <v>99</v>
      </c>
      <c r="E12" s="72"/>
      <c r="F12" s="73">
        <v>37.799999999999997</v>
      </c>
      <c r="G12" s="74">
        <v>3261</v>
      </c>
      <c r="H12" s="75">
        <f t="shared" si="0"/>
        <v>123265.79999999999</v>
      </c>
      <c r="I12" s="469"/>
      <c r="J12" s="76">
        <v>20</v>
      </c>
      <c r="K12" s="74">
        <v>2769</v>
      </c>
      <c r="L12" s="77">
        <v>138.44999999999999</v>
      </c>
      <c r="M12" s="470">
        <v>20</v>
      </c>
      <c r="N12" s="74">
        <f t="shared" si="1"/>
        <v>2445.7499999999991</v>
      </c>
      <c r="O12" s="77">
        <f t="shared" si="2"/>
        <v>122.28749999999995</v>
      </c>
      <c r="P12" s="78">
        <f t="shared" si="3"/>
        <v>0</v>
      </c>
      <c r="Q12" s="79">
        <f t="shared" si="4"/>
        <v>-16.162500000000037</v>
      </c>
      <c r="R12" s="461">
        <f t="shared" si="5"/>
        <v>0.88326110509209077</v>
      </c>
      <c r="S12" s="632"/>
      <c r="T12" s="80">
        <v>0.62013888888888857</v>
      </c>
      <c r="U12" s="80">
        <v>0.67569444444444415</v>
      </c>
      <c r="V12" s="459">
        <v>21</v>
      </c>
      <c r="W12" s="469">
        <f t="shared" si="8"/>
        <v>80.000000000000028</v>
      </c>
      <c r="X12" s="83">
        <v>0.60972222222222217</v>
      </c>
      <c r="Y12" s="83">
        <v>0.61944444444444446</v>
      </c>
      <c r="Z12" s="84"/>
      <c r="AA12" s="84"/>
      <c r="AB12" s="616"/>
      <c r="AC12" s="616"/>
      <c r="AD12" s="457"/>
      <c r="AE12" s="457"/>
      <c r="AF12" s="78">
        <f t="shared" si="6"/>
        <v>-323.25000000000091</v>
      </c>
      <c r="AG12" s="461">
        <f t="shared" si="7"/>
        <v>0.88326110509209066</v>
      </c>
      <c r="AH12" s="632"/>
      <c r="AJ12" s="405">
        <f t="shared" si="9"/>
        <v>6.0000000000002984</v>
      </c>
      <c r="AK12" s="406">
        <f t="shared" si="10"/>
        <v>6.0000000000002984</v>
      </c>
    </row>
    <row r="13" spans="1:37" ht="19.2" customHeight="1">
      <c r="A13" s="663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471"/>
      <c r="J13" s="76"/>
      <c r="K13" s="74"/>
      <c r="L13" s="77"/>
      <c r="M13" s="92"/>
      <c r="N13" s="74"/>
      <c r="O13" s="77"/>
      <c r="P13" s="78"/>
      <c r="Q13" s="79"/>
      <c r="R13" s="461"/>
      <c r="S13" s="632"/>
      <c r="T13" s="80"/>
      <c r="U13" s="80"/>
      <c r="V13" s="471"/>
      <c r="W13" s="469">
        <f t="shared" si="8"/>
        <v>0</v>
      </c>
      <c r="X13" s="93"/>
      <c r="Y13" s="93"/>
      <c r="Z13" s="84"/>
      <c r="AA13" s="84"/>
      <c r="AB13" s="616"/>
      <c r="AC13" s="616"/>
      <c r="AD13" s="457"/>
      <c r="AE13" s="457"/>
      <c r="AF13" s="78">
        <f t="shared" si="6"/>
        <v>0</v>
      </c>
      <c r="AG13" s="461" t="e">
        <f t="shared" si="7"/>
        <v>#DIV/0!</v>
      </c>
      <c r="AH13" s="632"/>
      <c r="AJ13" s="405" t="str">
        <f t="shared" si="9"/>
        <v/>
      </c>
      <c r="AK13" s="406" t="str">
        <f t="shared" si="10"/>
        <v/>
      </c>
    </row>
    <row r="14" spans="1:37" ht="19.2" customHeight="1">
      <c r="A14" s="663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471"/>
      <c r="J14" s="76"/>
      <c r="K14" s="74"/>
      <c r="L14" s="77"/>
      <c r="M14" s="92"/>
      <c r="N14" s="74"/>
      <c r="O14" s="77"/>
      <c r="P14" s="78"/>
      <c r="Q14" s="79"/>
      <c r="R14" s="461"/>
      <c r="S14" s="632"/>
      <c r="T14" s="80"/>
      <c r="U14" s="80"/>
      <c r="V14" s="471"/>
      <c r="W14" s="469">
        <f t="shared" si="8"/>
        <v>0</v>
      </c>
      <c r="X14" s="93"/>
      <c r="Y14" s="93"/>
      <c r="Z14" s="84"/>
      <c r="AA14" s="84"/>
      <c r="AB14" s="616"/>
      <c r="AC14" s="616"/>
      <c r="AD14" s="457"/>
      <c r="AE14" s="457"/>
      <c r="AF14" s="78">
        <f t="shared" si="6"/>
        <v>0</v>
      </c>
      <c r="AG14" s="461" t="e">
        <f t="shared" si="7"/>
        <v>#DIV/0!</v>
      </c>
      <c r="AH14" s="632"/>
      <c r="AJ14" s="405" t="str">
        <f t="shared" si="9"/>
        <v/>
      </c>
      <c r="AK14" s="406" t="str">
        <f t="shared" si="10"/>
        <v/>
      </c>
    </row>
    <row r="15" spans="1:37" ht="19.2" customHeight="1">
      <c r="A15" s="663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471"/>
      <c r="J15" s="76"/>
      <c r="K15" s="74"/>
      <c r="L15" s="77"/>
      <c r="M15" s="92"/>
      <c r="N15" s="96"/>
      <c r="O15" s="77"/>
      <c r="P15" s="78"/>
      <c r="Q15" s="79"/>
      <c r="R15" s="461"/>
      <c r="S15" s="632"/>
      <c r="T15" s="80"/>
      <c r="U15" s="80"/>
      <c r="V15" s="471"/>
      <c r="W15" s="469">
        <f t="shared" si="8"/>
        <v>0</v>
      </c>
      <c r="X15" s="93"/>
      <c r="Y15" s="93"/>
      <c r="Z15" s="84"/>
      <c r="AA15" s="84"/>
      <c r="AB15" s="616"/>
      <c r="AC15" s="616"/>
      <c r="AD15" s="457"/>
      <c r="AE15" s="457"/>
      <c r="AF15" s="78">
        <f t="shared" si="6"/>
        <v>0</v>
      </c>
      <c r="AG15" s="461" t="e">
        <f t="shared" si="7"/>
        <v>#DIV/0!</v>
      </c>
      <c r="AH15" s="632"/>
      <c r="AJ15" s="405" t="str">
        <f t="shared" si="9"/>
        <v/>
      </c>
      <c r="AK15" s="406" t="str">
        <f t="shared" si="10"/>
        <v/>
      </c>
    </row>
    <row r="16" spans="1:37" ht="19.2" customHeight="1">
      <c r="A16" s="663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471"/>
      <c r="J16" s="76"/>
      <c r="K16" s="74"/>
      <c r="L16" s="77"/>
      <c r="M16" s="92"/>
      <c r="N16" s="96"/>
      <c r="O16" s="77"/>
      <c r="P16" s="78"/>
      <c r="Q16" s="79"/>
      <c r="R16" s="461"/>
      <c r="S16" s="632"/>
      <c r="T16" s="80"/>
      <c r="U16" s="80"/>
      <c r="V16" s="471"/>
      <c r="W16" s="469">
        <f t="shared" si="8"/>
        <v>0</v>
      </c>
      <c r="X16" s="93"/>
      <c r="Y16" s="93"/>
      <c r="Z16" s="84"/>
      <c r="AA16" s="84"/>
      <c r="AB16" s="616"/>
      <c r="AC16" s="616"/>
      <c r="AD16" s="457"/>
      <c r="AE16" s="457"/>
      <c r="AF16" s="78">
        <f t="shared" si="6"/>
        <v>0</v>
      </c>
      <c r="AG16" s="461" t="e">
        <f t="shared" si="7"/>
        <v>#DIV/0!</v>
      </c>
      <c r="AH16" s="632"/>
      <c r="AJ16" s="405" t="str">
        <f t="shared" si="9"/>
        <v/>
      </c>
      <c r="AK16" s="406" t="str">
        <f t="shared" si="10"/>
        <v/>
      </c>
    </row>
    <row r="17" spans="1:37" ht="19.2" customHeight="1">
      <c r="A17" s="663"/>
      <c r="B17" s="97">
        <v>0</v>
      </c>
      <c r="C17" s="97" t="s">
        <v>444</v>
      </c>
      <c r="D17" s="626" t="s">
        <v>377</v>
      </c>
      <c r="E17" s="626"/>
      <c r="F17" s="98"/>
      <c r="G17" s="99"/>
      <c r="H17" s="100"/>
      <c r="I17" s="101"/>
      <c r="J17" s="99">
        <v>17.75</v>
      </c>
      <c r="K17" s="99">
        <v>2552.5</v>
      </c>
      <c r="L17" s="102">
        <v>145.19860036119712</v>
      </c>
      <c r="M17" s="103">
        <f t="shared" ref="M17:O17" si="11">AVERAGE(M5:M16)</f>
        <v>17.75</v>
      </c>
      <c r="N17" s="99">
        <f t="shared" si="11"/>
        <v>2248.444963916686</v>
      </c>
      <c r="O17" s="102">
        <f t="shared" si="11"/>
        <v>127.17676183694053</v>
      </c>
      <c r="P17" s="104">
        <f t="shared" ref="P17:P25" si="12">M17-J17</f>
        <v>0</v>
      </c>
      <c r="Q17" s="105">
        <f t="shared" ref="Q17:Q25" si="13">O17-L17</f>
        <v>-18.021838524256594</v>
      </c>
      <c r="R17" s="106">
        <f>O17/L17</f>
        <v>0.87588145836512654</v>
      </c>
      <c r="S17" s="632"/>
      <c r="T17" s="80"/>
      <c r="U17" s="80"/>
      <c r="V17" s="471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616"/>
      <c r="AC17" s="616"/>
      <c r="AD17" s="110">
        <f>SUM(AD5:AD16)</f>
        <v>0</v>
      </c>
      <c r="AE17" s="110">
        <f>SUM(AE5:AE16)</f>
        <v>0</v>
      </c>
      <c r="AF17" s="104">
        <f t="shared" si="6"/>
        <v>-304.05503608331401</v>
      </c>
      <c r="AG17" s="462">
        <f t="shared" si="7"/>
        <v>0.88087951573621392</v>
      </c>
      <c r="AH17" s="632"/>
    </row>
    <row r="18" spans="1:37" ht="19.2" customHeight="1">
      <c r="A18" s="614" t="s">
        <v>445</v>
      </c>
      <c r="B18" s="111" t="s">
        <v>163</v>
      </c>
      <c r="C18" s="112"/>
      <c r="D18" s="113" t="s">
        <v>191</v>
      </c>
      <c r="E18" s="114"/>
      <c r="F18" s="115">
        <v>28.26</v>
      </c>
      <c r="G18" s="85">
        <v>503.4</v>
      </c>
      <c r="H18" s="116">
        <f t="shared" ref="H18:H29" si="14">F18*G18</f>
        <v>14226.084000000001</v>
      </c>
      <c r="I18" s="457"/>
      <c r="J18" s="117">
        <v>12</v>
      </c>
      <c r="K18" s="85">
        <v>2000</v>
      </c>
      <c r="L18" s="118">
        <v>166.66666666666666</v>
      </c>
      <c r="M18" s="117">
        <v>12</v>
      </c>
      <c r="N18" s="85">
        <f t="shared" ref="N18:N25" si="15">G18/W18*60</f>
        <v>1510.1999999999994</v>
      </c>
      <c r="O18" s="118">
        <f t="shared" ref="O18:O25" si="16">N18/M18</f>
        <v>125.84999999999995</v>
      </c>
      <c r="P18" s="84">
        <f t="shared" si="12"/>
        <v>0</v>
      </c>
      <c r="Q18" s="119">
        <f t="shared" si="13"/>
        <v>-40.816666666666706</v>
      </c>
      <c r="R18" s="458">
        <f t="shared" ref="R18:R25" si="17">O18/L18</f>
        <v>0.75509999999999977</v>
      </c>
      <c r="S18" s="615">
        <f>R30</f>
        <v>0.82937663659410088</v>
      </c>
      <c r="T18" s="80">
        <v>0.16666666666666666</v>
      </c>
      <c r="U18" s="80">
        <v>0.18055555555555555</v>
      </c>
      <c r="V18" s="457">
        <v>5</v>
      </c>
      <c r="W18" s="120">
        <f>(U18-T18)*24*60</f>
        <v>20.000000000000007</v>
      </c>
      <c r="X18" s="118"/>
      <c r="Y18" s="118"/>
      <c r="Z18" s="84"/>
      <c r="AA18" s="84"/>
      <c r="AB18" s="616"/>
      <c r="AC18" s="616"/>
      <c r="AD18" s="457"/>
      <c r="AE18" s="457"/>
      <c r="AF18" s="121">
        <f t="shared" si="6"/>
        <v>-489.80000000000064</v>
      </c>
      <c r="AG18" s="122">
        <f t="shared" si="7"/>
        <v>0.75509999999999966</v>
      </c>
      <c r="AH18" s="657">
        <f>AG30</f>
        <v>0.84054383059259719</v>
      </c>
      <c r="AJ18" s="62" t="str">
        <f>A18</f>
        <v>四度二組A
熱麵
固定線
(ET-55)</v>
      </c>
      <c r="AK18" s="404">
        <f>AVERAGE(AK19:AK29)</f>
        <v>6.5</v>
      </c>
    </row>
    <row r="19" spans="1:37" ht="19.2" customHeight="1">
      <c r="A19" s="614"/>
      <c r="B19" s="466" t="s">
        <v>164</v>
      </c>
      <c r="C19" s="465"/>
      <c r="D19" s="113" t="s">
        <v>101</v>
      </c>
      <c r="E19" s="114"/>
      <c r="F19" s="73">
        <v>53.27</v>
      </c>
      <c r="G19" s="85">
        <v>517</v>
      </c>
      <c r="H19" s="116">
        <f t="shared" si="14"/>
        <v>27540.59</v>
      </c>
      <c r="I19" s="457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1240.8000000000004</v>
      </c>
      <c r="O19" s="125">
        <f t="shared" si="16"/>
        <v>72.988235294117672</v>
      </c>
      <c r="P19" s="84">
        <f t="shared" si="12"/>
        <v>0</v>
      </c>
      <c r="Q19" s="119">
        <f t="shared" si="13"/>
        <v>-19.070588235294096</v>
      </c>
      <c r="R19" s="458">
        <f t="shared" si="17"/>
        <v>0.79284345047923344</v>
      </c>
      <c r="S19" s="615"/>
      <c r="T19" s="80">
        <v>0.18541666666666667</v>
      </c>
      <c r="U19" s="80">
        <v>0.20277777777777778</v>
      </c>
      <c r="V19" s="457">
        <v>7</v>
      </c>
      <c r="W19" s="120">
        <f>(U19-T19)*24*60</f>
        <v>24.999999999999993</v>
      </c>
      <c r="X19" s="126"/>
      <c r="Y19" s="126"/>
      <c r="Z19" s="84"/>
      <c r="AA19" s="84"/>
      <c r="AB19" s="616"/>
      <c r="AC19" s="616"/>
      <c r="AD19" s="457"/>
      <c r="AE19" s="457"/>
      <c r="AF19" s="78">
        <f t="shared" si="6"/>
        <v>-324.19999999999959</v>
      </c>
      <c r="AG19" s="461">
        <f t="shared" si="7"/>
        <v>0.79284345047923344</v>
      </c>
      <c r="AH19" s="658"/>
      <c r="AJ19" s="405">
        <f t="shared" ref="AJ19:AJ29" si="18">IF((IF(V19&lt;10,V19,(X19-U18)*1440))=0,"",IF(V19&lt;10,V19,(X19-U18)*1440))</f>
        <v>7</v>
      </c>
      <c r="AK19" s="406">
        <f>IF(AJ19&gt;4,AJ19,"")</f>
        <v>7</v>
      </c>
    </row>
    <row r="20" spans="1:37" ht="19.2" customHeight="1">
      <c r="A20" s="614"/>
      <c r="B20" s="466" t="s">
        <v>164</v>
      </c>
      <c r="C20" s="86"/>
      <c r="D20" s="71" t="s">
        <v>102</v>
      </c>
      <c r="E20" s="114"/>
      <c r="F20" s="73">
        <v>49.91</v>
      </c>
      <c r="G20" s="85">
        <v>907</v>
      </c>
      <c r="H20" s="116">
        <f t="shared" si="14"/>
        <v>45268.369999999995</v>
      </c>
      <c r="I20" s="457"/>
      <c r="J20" s="123">
        <v>17</v>
      </c>
      <c r="K20" s="74">
        <v>1565</v>
      </c>
      <c r="L20" s="77">
        <v>92.058823529411768</v>
      </c>
      <c r="M20" s="123">
        <v>17</v>
      </c>
      <c r="N20" s="124">
        <f t="shared" si="15"/>
        <v>1432.1052631578955</v>
      </c>
      <c r="O20" s="125">
        <f t="shared" si="16"/>
        <v>84.241486068111499</v>
      </c>
      <c r="P20" s="84">
        <f t="shared" si="12"/>
        <v>0</v>
      </c>
      <c r="Q20" s="119">
        <f t="shared" si="13"/>
        <v>-7.8173374613002693</v>
      </c>
      <c r="R20" s="458">
        <f t="shared" si="17"/>
        <v>0.91508323524466162</v>
      </c>
      <c r="S20" s="615"/>
      <c r="T20" s="80">
        <v>0.20833333333333334</v>
      </c>
      <c r="U20" s="80">
        <v>0.23472222222222222</v>
      </c>
      <c r="V20" s="457">
        <v>8</v>
      </c>
      <c r="W20" s="120">
        <f t="shared" ref="W20:W29" si="19">(U20-T20)*24*60</f>
        <v>37.999999999999986</v>
      </c>
      <c r="X20" s="126"/>
      <c r="Y20" s="126"/>
      <c r="Z20" s="84"/>
      <c r="AA20" s="84"/>
      <c r="AB20" s="616"/>
      <c r="AC20" s="616"/>
      <c r="AD20" s="457"/>
      <c r="AE20" s="457"/>
      <c r="AF20" s="121">
        <f t="shared" si="6"/>
        <v>-132.89473684210452</v>
      </c>
      <c r="AG20" s="122">
        <f t="shared" si="7"/>
        <v>0.91508323524466162</v>
      </c>
      <c r="AH20" s="658"/>
      <c r="AJ20" s="405">
        <f t="shared" si="18"/>
        <v>8</v>
      </c>
      <c r="AK20" s="406">
        <f t="shared" ref="AK20:AK29" si="20">IF(AJ20&gt;4,AJ20,"")</f>
        <v>8</v>
      </c>
    </row>
    <row r="21" spans="1:37" ht="19.2" customHeight="1">
      <c r="A21" s="614"/>
      <c r="B21" s="466" t="s">
        <v>164</v>
      </c>
      <c r="C21" s="127"/>
      <c r="D21" s="128" t="s">
        <v>104</v>
      </c>
      <c r="E21" s="72"/>
      <c r="F21" s="73">
        <v>44.3</v>
      </c>
      <c r="G21" s="74">
        <v>736</v>
      </c>
      <c r="H21" s="116">
        <f t="shared" si="14"/>
        <v>32604.799999999999</v>
      </c>
      <c r="I21" s="459"/>
      <c r="J21" s="123">
        <v>18</v>
      </c>
      <c r="K21" s="74">
        <v>1565</v>
      </c>
      <c r="L21" s="77">
        <v>86.944444444444443</v>
      </c>
      <c r="M21" s="123">
        <v>18</v>
      </c>
      <c r="N21" s="124">
        <f t="shared" si="15"/>
        <v>1424.5161290322594</v>
      </c>
      <c r="O21" s="125">
        <f t="shared" si="16"/>
        <v>79.139784946236631</v>
      </c>
      <c r="P21" s="84">
        <f t="shared" si="12"/>
        <v>0</v>
      </c>
      <c r="Q21" s="119">
        <f t="shared" si="13"/>
        <v>-7.8046594982078119</v>
      </c>
      <c r="R21" s="458">
        <f t="shared" si="17"/>
        <v>0.91023394826342452</v>
      </c>
      <c r="S21" s="615"/>
      <c r="T21" s="80">
        <v>0.25</v>
      </c>
      <c r="U21" s="80">
        <v>0.27152777777777776</v>
      </c>
      <c r="V21" s="457">
        <v>22</v>
      </c>
      <c r="W21" s="120">
        <f t="shared" si="19"/>
        <v>30.999999999999972</v>
      </c>
      <c r="X21" s="126">
        <v>0.2388888888888889</v>
      </c>
      <c r="Y21" s="126">
        <v>0.24861111111111112</v>
      </c>
      <c r="Z21" s="84"/>
      <c r="AA21" s="84"/>
      <c r="AB21" s="616"/>
      <c r="AC21" s="616"/>
      <c r="AD21" s="457"/>
      <c r="AE21" s="457"/>
      <c r="AF21" s="78">
        <f t="shared" si="6"/>
        <v>-140.48387096774059</v>
      </c>
      <c r="AG21" s="461">
        <f t="shared" si="7"/>
        <v>0.91023394826342452</v>
      </c>
      <c r="AH21" s="659"/>
      <c r="AJ21" s="405">
        <f t="shared" si="18"/>
        <v>6.0000000000000187</v>
      </c>
      <c r="AK21" s="406">
        <f t="shared" si="20"/>
        <v>6.0000000000000187</v>
      </c>
    </row>
    <row r="22" spans="1:37" ht="19.2" customHeight="1">
      <c r="A22" s="614"/>
      <c r="B22" s="466" t="s">
        <v>164</v>
      </c>
      <c r="C22" s="127"/>
      <c r="D22" s="71" t="s">
        <v>105</v>
      </c>
      <c r="E22" s="72"/>
      <c r="F22" s="73">
        <v>49.91</v>
      </c>
      <c r="G22" s="74">
        <v>2165.6</v>
      </c>
      <c r="H22" s="116">
        <f t="shared" si="14"/>
        <v>108085.09599999999</v>
      </c>
      <c r="I22" s="459"/>
      <c r="J22" s="117">
        <v>17</v>
      </c>
      <c r="K22" s="85">
        <v>1565</v>
      </c>
      <c r="L22" s="118">
        <v>92.058823529411768</v>
      </c>
      <c r="M22" s="123">
        <v>17</v>
      </c>
      <c r="N22" s="124">
        <f t="shared" si="15"/>
        <v>1427.868131868132</v>
      </c>
      <c r="O22" s="125">
        <f t="shared" si="16"/>
        <v>83.992243051066581</v>
      </c>
      <c r="P22" s="84">
        <f t="shared" si="12"/>
        <v>0</v>
      </c>
      <c r="Q22" s="119">
        <f t="shared" si="13"/>
        <v>-8.0665804783451875</v>
      </c>
      <c r="R22" s="458">
        <f t="shared" si="17"/>
        <v>0.91237580311062738</v>
      </c>
      <c r="S22" s="615"/>
      <c r="T22" s="80">
        <v>0.27569444444444441</v>
      </c>
      <c r="U22" s="80">
        <v>0.33888888888888885</v>
      </c>
      <c r="V22" s="457">
        <v>6</v>
      </c>
      <c r="W22" s="120">
        <f t="shared" si="19"/>
        <v>91</v>
      </c>
      <c r="X22" s="126"/>
      <c r="Y22" s="126"/>
      <c r="Z22" s="84"/>
      <c r="AA22" s="84"/>
      <c r="AB22" s="616"/>
      <c r="AC22" s="616"/>
      <c r="AD22" s="457"/>
      <c r="AE22" s="457"/>
      <c r="AF22" s="121">
        <f t="shared" si="6"/>
        <v>-137.13186813186803</v>
      </c>
      <c r="AG22" s="122">
        <f t="shared" si="7"/>
        <v>0.91237580311062749</v>
      </c>
      <c r="AH22" s="659"/>
      <c r="AJ22" s="405">
        <f t="shared" si="18"/>
        <v>6</v>
      </c>
      <c r="AK22" s="406">
        <f t="shared" si="20"/>
        <v>6</v>
      </c>
    </row>
    <row r="23" spans="1:37" ht="19.2" customHeight="1">
      <c r="A23" s="614"/>
      <c r="B23" s="466" t="s">
        <v>162</v>
      </c>
      <c r="C23" s="127"/>
      <c r="D23" s="71" t="s">
        <v>106</v>
      </c>
      <c r="E23" s="72"/>
      <c r="F23" s="73">
        <v>36.729999999999997</v>
      </c>
      <c r="G23" s="74">
        <v>4490</v>
      </c>
      <c r="H23" s="116">
        <f t="shared" si="14"/>
        <v>164917.69999999998</v>
      </c>
      <c r="I23" s="459"/>
      <c r="J23" s="123">
        <v>18</v>
      </c>
      <c r="K23" s="74">
        <v>2400</v>
      </c>
      <c r="L23" s="77">
        <v>133.33333333333334</v>
      </c>
      <c r="M23" s="123">
        <v>18</v>
      </c>
      <c r="N23" s="124">
        <f t="shared" si="15"/>
        <v>2172.5806451612893</v>
      </c>
      <c r="O23" s="125">
        <f t="shared" si="16"/>
        <v>120.69892473118274</v>
      </c>
      <c r="P23" s="84">
        <f t="shared" si="12"/>
        <v>0</v>
      </c>
      <c r="Q23" s="119">
        <f t="shared" si="13"/>
        <v>-12.6344086021506</v>
      </c>
      <c r="R23" s="458">
        <f t="shared" si="17"/>
        <v>0.90524193548387055</v>
      </c>
      <c r="S23" s="615"/>
      <c r="T23" s="80">
        <v>0.35486111111111107</v>
      </c>
      <c r="U23" s="80">
        <v>0.44097222222222221</v>
      </c>
      <c r="V23" s="457">
        <v>23</v>
      </c>
      <c r="W23" s="120">
        <f t="shared" si="19"/>
        <v>124.00000000000004</v>
      </c>
      <c r="X23" s="126">
        <v>0.3430555555555555</v>
      </c>
      <c r="Y23" s="126">
        <v>0.35416666666666669</v>
      </c>
      <c r="Z23" s="84"/>
      <c r="AA23" s="84"/>
      <c r="AB23" s="616"/>
      <c r="AC23" s="616"/>
      <c r="AD23" s="457">
        <v>1</v>
      </c>
      <c r="AE23" s="457"/>
      <c r="AF23" s="78">
        <f t="shared" si="6"/>
        <v>-227.41935483871066</v>
      </c>
      <c r="AG23" s="461">
        <f t="shared" si="7"/>
        <v>0.90524193548387055</v>
      </c>
      <c r="AH23" s="659"/>
      <c r="AJ23" s="405">
        <f t="shared" si="18"/>
        <v>5.9999999999999787</v>
      </c>
      <c r="AK23" s="406">
        <f t="shared" si="20"/>
        <v>5.9999999999999787</v>
      </c>
    </row>
    <row r="24" spans="1:37" ht="19.2" customHeight="1">
      <c r="A24" s="614"/>
      <c r="B24" s="466" t="s">
        <v>163</v>
      </c>
      <c r="C24" s="112"/>
      <c r="D24" s="113" t="s">
        <v>191</v>
      </c>
      <c r="E24" s="114"/>
      <c r="F24" s="73">
        <v>28.26</v>
      </c>
      <c r="G24" s="85">
        <v>335.6</v>
      </c>
      <c r="H24" s="116">
        <f t="shared" si="14"/>
        <v>9484.0560000000005</v>
      </c>
      <c r="I24" s="459">
        <v>1</v>
      </c>
      <c r="J24" s="123">
        <v>12</v>
      </c>
      <c r="K24" s="74">
        <v>2000</v>
      </c>
      <c r="L24" s="77">
        <v>166.66666666666666</v>
      </c>
      <c r="M24" s="123">
        <v>12</v>
      </c>
      <c r="N24" s="124">
        <f t="shared" si="15"/>
        <v>1548.9230769230728</v>
      </c>
      <c r="O24" s="125">
        <f t="shared" si="16"/>
        <v>129.07692307692272</v>
      </c>
      <c r="P24" s="84">
        <f t="shared" si="12"/>
        <v>0</v>
      </c>
      <c r="Q24" s="119">
        <f t="shared" si="13"/>
        <v>-37.589743589743932</v>
      </c>
      <c r="R24" s="458">
        <f t="shared" si="17"/>
        <v>0.77446153846153643</v>
      </c>
      <c r="S24" s="615"/>
      <c r="T24" s="80">
        <v>0.47986111111111107</v>
      </c>
      <c r="U24" s="80">
        <v>0.48888888888888887</v>
      </c>
      <c r="V24" s="457">
        <v>3</v>
      </c>
      <c r="W24" s="120">
        <f t="shared" si="19"/>
        <v>13.000000000000034</v>
      </c>
      <c r="X24" s="126"/>
      <c r="Y24" s="126"/>
      <c r="Z24" s="84"/>
      <c r="AA24" s="84"/>
      <c r="AB24" s="616"/>
      <c r="AC24" s="616"/>
      <c r="AD24" s="457"/>
      <c r="AE24" s="457"/>
      <c r="AF24" s="121">
        <f t="shared" si="6"/>
        <v>-451.07692307692719</v>
      </c>
      <c r="AG24" s="122">
        <f t="shared" si="7"/>
        <v>0.77446153846153643</v>
      </c>
      <c r="AH24" s="659"/>
      <c r="AJ24" s="405">
        <f t="shared" si="18"/>
        <v>3</v>
      </c>
      <c r="AK24" s="406" t="str">
        <f t="shared" si="20"/>
        <v/>
      </c>
    </row>
    <row r="25" spans="1:37" ht="19.2" customHeight="1">
      <c r="A25" s="614"/>
      <c r="B25" s="466" t="s">
        <v>163</v>
      </c>
      <c r="C25" s="112"/>
      <c r="D25" s="113" t="s">
        <v>93</v>
      </c>
      <c r="E25" s="114"/>
      <c r="F25" s="73">
        <v>36.92</v>
      </c>
      <c r="G25" s="85">
        <v>1513.2</v>
      </c>
      <c r="H25" s="116">
        <f t="shared" si="14"/>
        <v>55867.344000000005</v>
      </c>
      <c r="I25" s="120">
        <v>1</v>
      </c>
      <c r="J25" s="123">
        <v>12</v>
      </c>
      <c r="K25" s="74">
        <v>2000</v>
      </c>
      <c r="L25" s="77">
        <v>166.66666666666666</v>
      </c>
      <c r="M25" s="123">
        <v>12</v>
      </c>
      <c r="N25" s="124">
        <f t="shared" si="15"/>
        <v>1565.3793103448268</v>
      </c>
      <c r="O25" s="125">
        <f t="shared" si="16"/>
        <v>130.4482758620689</v>
      </c>
      <c r="P25" s="84">
        <f t="shared" si="12"/>
        <v>0</v>
      </c>
      <c r="Q25" s="119">
        <f t="shared" si="13"/>
        <v>-36.21839080459776</v>
      </c>
      <c r="R25" s="458">
        <f t="shared" si="17"/>
        <v>0.7826896551724134</v>
      </c>
      <c r="S25" s="615"/>
      <c r="T25" s="80">
        <v>0.49305555555555552</v>
      </c>
      <c r="U25" s="80">
        <v>0.53333333333333333</v>
      </c>
      <c r="V25" s="457">
        <v>6</v>
      </c>
      <c r="W25" s="120">
        <f t="shared" si="19"/>
        <v>58.000000000000036</v>
      </c>
      <c r="X25" s="457"/>
      <c r="Y25" s="457"/>
      <c r="Z25" s="84"/>
      <c r="AA25" s="84"/>
      <c r="AB25" s="616"/>
      <c r="AC25" s="616"/>
      <c r="AD25" s="457"/>
      <c r="AE25" s="457"/>
      <c r="AF25" s="78">
        <f t="shared" si="6"/>
        <v>-434.62068965517324</v>
      </c>
      <c r="AG25" s="461">
        <f t="shared" si="7"/>
        <v>0.7826896551724134</v>
      </c>
      <c r="AH25" s="659"/>
      <c r="AJ25" s="405">
        <f t="shared" si="18"/>
        <v>6</v>
      </c>
      <c r="AK25" s="406">
        <f t="shared" si="20"/>
        <v>6</v>
      </c>
    </row>
    <row r="26" spans="1:37" ht="19.2" customHeight="1">
      <c r="A26" s="614"/>
      <c r="B26" s="466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23"/>
      <c r="K26" s="74"/>
      <c r="L26" s="77"/>
      <c r="M26" s="123"/>
      <c r="N26" s="124"/>
      <c r="O26" s="125"/>
      <c r="P26" s="84"/>
      <c r="Q26" s="119"/>
      <c r="R26" s="458"/>
      <c r="S26" s="615"/>
      <c r="T26" s="80"/>
      <c r="U26" s="80"/>
      <c r="V26" s="457"/>
      <c r="W26" s="120">
        <f t="shared" si="19"/>
        <v>0</v>
      </c>
      <c r="X26" s="457"/>
      <c r="Y26" s="457"/>
      <c r="Z26" s="84"/>
      <c r="AA26" s="84"/>
      <c r="AB26" s="616"/>
      <c r="AC26" s="616"/>
      <c r="AD26" s="457"/>
      <c r="AE26" s="457"/>
      <c r="AF26" s="121">
        <f t="shared" si="6"/>
        <v>0</v>
      </c>
      <c r="AG26" s="122" t="e">
        <f t="shared" si="7"/>
        <v>#DIV/0!</v>
      </c>
      <c r="AH26" s="659"/>
      <c r="AJ26" s="405" t="str">
        <f t="shared" si="18"/>
        <v/>
      </c>
      <c r="AK26" s="406" t="str">
        <f t="shared" si="20"/>
        <v/>
      </c>
    </row>
    <row r="27" spans="1:37" ht="19.2" customHeight="1">
      <c r="A27" s="614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458"/>
      <c r="S27" s="615"/>
      <c r="T27" s="80"/>
      <c r="U27" s="80"/>
      <c r="V27" s="457"/>
      <c r="W27" s="120">
        <f t="shared" si="19"/>
        <v>0</v>
      </c>
      <c r="X27" s="457"/>
      <c r="Y27" s="457"/>
      <c r="Z27" s="84"/>
      <c r="AA27" s="84"/>
      <c r="AB27" s="616"/>
      <c r="AC27" s="616"/>
      <c r="AD27" s="457"/>
      <c r="AE27" s="457"/>
      <c r="AF27" s="78">
        <f t="shared" si="6"/>
        <v>0</v>
      </c>
      <c r="AG27" s="461" t="e">
        <f t="shared" si="7"/>
        <v>#DIV/0!</v>
      </c>
      <c r="AH27" s="659"/>
      <c r="AJ27" s="405" t="str">
        <f t="shared" si="18"/>
        <v/>
      </c>
      <c r="AK27" s="406" t="str">
        <f t="shared" si="20"/>
        <v/>
      </c>
    </row>
    <row r="28" spans="1:37" ht="19.2" customHeight="1">
      <c r="A28" s="614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458"/>
      <c r="S28" s="615"/>
      <c r="T28" s="80"/>
      <c r="U28" s="80"/>
      <c r="V28" s="457"/>
      <c r="W28" s="120">
        <f t="shared" si="19"/>
        <v>0</v>
      </c>
      <c r="X28" s="457"/>
      <c r="Y28" s="457"/>
      <c r="Z28" s="84"/>
      <c r="AA28" s="84"/>
      <c r="AB28" s="616"/>
      <c r="AC28" s="616"/>
      <c r="AD28" s="457"/>
      <c r="AE28" s="457"/>
      <c r="AF28" s="121">
        <f t="shared" si="6"/>
        <v>0</v>
      </c>
      <c r="AG28" s="122" t="e">
        <f t="shared" si="7"/>
        <v>#DIV/0!</v>
      </c>
      <c r="AH28" s="659"/>
      <c r="AJ28" s="405" t="str">
        <f t="shared" si="18"/>
        <v/>
      </c>
      <c r="AK28" s="406" t="str">
        <f t="shared" si="20"/>
        <v/>
      </c>
    </row>
    <row r="29" spans="1:37" ht="19.2" customHeight="1">
      <c r="A29" s="614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458"/>
      <c r="S29" s="615"/>
      <c r="T29" s="80"/>
      <c r="U29" s="80"/>
      <c r="V29" s="457"/>
      <c r="W29" s="120">
        <f t="shared" si="19"/>
        <v>0</v>
      </c>
      <c r="X29" s="457"/>
      <c r="Y29" s="457"/>
      <c r="Z29" s="84"/>
      <c r="AA29" s="84"/>
      <c r="AB29" s="616"/>
      <c r="AC29" s="616"/>
      <c r="AD29" s="457"/>
      <c r="AE29" s="457"/>
      <c r="AF29" s="78">
        <f t="shared" si="6"/>
        <v>0</v>
      </c>
      <c r="AG29" s="461"/>
      <c r="AH29" s="659"/>
      <c r="AJ29" s="405" t="str">
        <f t="shared" si="18"/>
        <v/>
      </c>
      <c r="AK29" s="406" t="str">
        <f t="shared" si="20"/>
        <v/>
      </c>
    </row>
    <row r="30" spans="1:37" ht="19.2" customHeight="1">
      <c r="A30" s="614"/>
      <c r="B30" s="131">
        <v>0</v>
      </c>
      <c r="C30" s="132" t="s">
        <v>446</v>
      </c>
      <c r="D30" s="664" t="s">
        <v>377</v>
      </c>
      <c r="E30" s="664"/>
      <c r="F30" s="133"/>
      <c r="G30" s="103"/>
      <c r="H30" s="134"/>
      <c r="I30" s="135"/>
      <c r="J30" s="103">
        <v>15.375</v>
      </c>
      <c r="K30" s="103">
        <v>1832.5</v>
      </c>
      <c r="L30" s="136">
        <v>124.55678104575163</v>
      </c>
      <c r="M30" s="103">
        <f t="shared" ref="M30:O30" si="21">AVERAGE(M18:M29)</f>
        <v>15.375</v>
      </c>
      <c r="N30" s="103">
        <f t="shared" si="21"/>
        <v>1540.2965695609344</v>
      </c>
      <c r="O30" s="136">
        <f t="shared" si="21"/>
        <v>103.30448412871334</v>
      </c>
      <c r="P30" s="84">
        <f t="shared" ref="P30:P36" si="22">M30-J30</f>
        <v>0</v>
      </c>
      <c r="Q30" s="119">
        <f t="shared" ref="Q30:Q36" si="23">O30-L30</f>
        <v>-21.252296917038294</v>
      </c>
      <c r="R30" s="137">
        <f t="shared" ref="R30:R36" si="24">O30/L30</f>
        <v>0.82937663659410088</v>
      </c>
      <c r="S30" s="615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616"/>
      <c r="AC30" s="616"/>
      <c r="AD30" s="139">
        <f>SUM(AD18:AD29)</f>
        <v>1</v>
      </c>
      <c r="AE30" s="139">
        <f>SUM(AE18:AE29)</f>
        <v>0</v>
      </c>
      <c r="AF30" s="140">
        <f t="shared" si="6"/>
        <v>-292.20343043906564</v>
      </c>
      <c r="AG30" s="141">
        <f t="shared" ref="AG30" si="25">N30/K30</f>
        <v>0.84054383059259719</v>
      </c>
      <c r="AH30" s="660"/>
    </row>
    <row r="31" spans="1:37" ht="19.2" customHeight="1">
      <c r="A31" s="651" t="s">
        <v>447</v>
      </c>
      <c r="B31" s="142" t="s">
        <v>163</v>
      </c>
      <c r="C31" s="94"/>
      <c r="D31" s="71" t="s">
        <v>108</v>
      </c>
      <c r="E31" s="143"/>
      <c r="F31" s="144">
        <v>26.5</v>
      </c>
      <c r="G31" s="145">
        <v>1697</v>
      </c>
      <c r="H31" s="146">
        <f t="shared" ref="H31:H41" si="26">F31*G31</f>
        <v>44970.5</v>
      </c>
      <c r="I31" s="82"/>
      <c r="J31" s="147">
        <v>12</v>
      </c>
      <c r="K31" s="124">
        <v>2000</v>
      </c>
      <c r="L31" s="125">
        <v>166.66666666666666</v>
      </c>
      <c r="M31" s="92">
        <v>12</v>
      </c>
      <c r="N31" s="148">
        <f t="shared" ref="N31:N36" si="27">G31/W31*60</f>
        <v>1616.1904761904768</v>
      </c>
      <c r="O31" s="149">
        <f t="shared" ref="O31:O36" si="28">N31/M31</f>
        <v>134.68253968253973</v>
      </c>
      <c r="P31" s="150">
        <f t="shared" si="22"/>
        <v>0</v>
      </c>
      <c r="Q31" s="151">
        <f t="shared" si="23"/>
        <v>-31.984126984126931</v>
      </c>
      <c r="R31" s="460">
        <f t="shared" si="24"/>
        <v>0.80809523809523842</v>
      </c>
      <c r="S31" s="652">
        <f>R43</f>
        <v>0.90160165954663407</v>
      </c>
      <c r="T31" s="152">
        <v>0.16666666666666666</v>
      </c>
      <c r="U31" s="152">
        <v>0.21041666666666664</v>
      </c>
      <c r="V31" s="153">
        <v>5</v>
      </c>
      <c r="W31" s="154">
        <f t="shared" ref="W31:W42" si="29">(U31-T31)*24*60</f>
        <v>62.999999999999979</v>
      </c>
      <c r="X31" s="82"/>
      <c r="Y31" s="82"/>
      <c r="Z31" s="81"/>
      <c r="AA31" s="81"/>
      <c r="AB31" s="616"/>
      <c r="AC31" s="616"/>
      <c r="AD31" s="82"/>
      <c r="AE31" s="82"/>
      <c r="AF31" s="150">
        <f t="shared" si="6"/>
        <v>-383.80952380952317</v>
      </c>
      <c r="AG31" s="155">
        <f t="shared" si="7"/>
        <v>0.80809523809523842</v>
      </c>
      <c r="AH31" s="630">
        <f>AG43</f>
        <v>0.90205917230899357</v>
      </c>
      <c r="AJ31" s="62" t="str">
        <f>A31</f>
        <v>四度二組
(ET-55)</v>
      </c>
      <c r="AK31" s="404">
        <f>AVERAGE(AK32:AK42)</f>
        <v>6.8000000000000069</v>
      </c>
    </row>
    <row r="32" spans="1:37" ht="19.2" customHeight="1">
      <c r="A32" s="644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2585</v>
      </c>
      <c r="H32" s="116">
        <f t="shared" si="26"/>
        <v>88484.549999999988</v>
      </c>
      <c r="I32" s="469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2095.9459459459458</v>
      </c>
      <c r="O32" s="77">
        <f t="shared" si="28"/>
        <v>161.22661122661123</v>
      </c>
      <c r="P32" s="150">
        <f t="shared" si="22"/>
        <v>0</v>
      </c>
      <c r="Q32" s="79">
        <f t="shared" si="23"/>
        <v>-11.85031185031184</v>
      </c>
      <c r="R32" s="461">
        <f t="shared" si="24"/>
        <v>0.93153153153153156</v>
      </c>
      <c r="S32" s="615"/>
      <c r="T32" s="80">
        <v>0.21527777777777776</v>
      </c>
      <c r="U32" s="80">
        <v>0.26666666666666666</v>
      </c>
      <c r="V32" s="153">
        <v>7</v>
      </c>
      <c r="W32" s="120">
        <f t="shared" si="29"/>
        <v>74.000000000000014</v>
      </c>
      <c r="X32" s="158"/>
      <c r="Y32" s="158"/>
      <c r="Z32" s="159"/>
      <c r="AA32" s="159"/>
      <c r="AB32" s="616"/>
      <c r="AC32" s="616"/>
      <c r="AD32" s="457"/>
      <c r="AE32" s="457"/>
      <c r="AF32" s="78">
        <f t="shared" si="6"/>
        <v>-154.05405405405418</v>
      </c>
      <c r="AG32" s="461">
        <f t="shared" si="7"/>
        <v>0.93153153153153145</v>
      </c>
      <c r="AH32" s="631"/>
      <c r="AJ32" s="405">
        <f t="shared" ref="AJ32:AJ42" si="30">IF((IF(V32&lt;10,V32,(X32-U31)*1440))=0,"",IF(V32&lt;10,V32,(X32-U31)*1440))</f>
        <v>7</v>
      </c>
      <c r="AK32" s="406">
        <f>IF(AJ32&gt;4,AJ32,"")</f>
        <v>7</v>
      </c>
    </row>
    <row r="33" spans="1:37" ht="19.2" customHeight="1">
      <c r="A33" s="644"/>
      <c r="B33" s="156" t="s">
        <v>165</v>
      </c>
      <c r="C33" s="457"/>
      <c r="D33" s="71" t="s">
        <v>110</v>
      </c>
      <c r="E33" s="114"/>
      <c r="F33" s="73">
        <v>35.83</v>
      </c>
      <c r="G33" s="145">
        <v>2685.8</v>
      </c>
      <c r="H33" s="116">
        <f t="shared" si="26"/>
        <v>96232.214000000007</v>
      </c>
      <c r="I33" s="457"/>
      <c r="J33" s="76">
        <v>11</v>
      </c>
      <c r="K33" s="74">
        <v>2250</v>
      </c>
      <c r="L33" s="77">
        <v>204.54545454545453</v>
      </c>
      <c r="M33" s="92">
        <v>11</v>
      </c>
      <c r="N33" s="74">
        <f t="shared" si="27"/>
        <v>2148.6400000000012</v>
      </c>
      <c r="O33" s="77">
        <f t="shared" si="28"/>
        <v>195.33090909090922</v>
      </c>
      <c r="P33" s="150">
        <f t="shared" si="22"/>
        <v>0</v>
      </c>
      <c r="Q33" s="79">
        <f t="shared" si="23"/>
        <v>-9.2145454545453163</v>
      </c>
      <c r="R33" s="461">
        <f t="shared" si="24"/>
        <v>0.95495111111111175</v>
      </c>
      <c r="S33" s="615"/>
      <c r="T33" s="80">
        <v>0.28194444444444444</v>
      </c>
      <c r="U33" s="80">
        <v>0.33402777777777776</v>
      </c>
      <c r="V33" s="153">
        <v>22</v>
      </c>
      <c r="W33" s="120">
        <f t="shared" si="29"/>
        <v>74.999999999999972</v>
      </c>
      <c r="X33" s="158">
        <v>0.27083333333333331</v>
      </c>
      <c r="Y33" s="158">
        <v>0.28125</v>
      </c>
      <c r="Z33" s="159"/>
      <c r="AA33" s="159"/>
      <c r="AB33" s="616"/>
      <c r="AC33" s="616"/>
      <c r="AD33" s="457"/>
      <c r="AE33" s="457"/>
      <c r="AF33" s="78">
        <f t="shared" si="6"/>
        <v>-101.35999999999876</v>
      </c>
      <c r="AG33" s="160">
        <f t="shared" si="7"/>
        <v>0.95495111111111164</v>
      </c>
      <c r="AH33" s="631"/>
      <c r="AJ33" s="405">
        <f t="shared" si="30"/>
        <v>5.9999999999999787</v>
      </c>
      <c r="AK33" s="406">
        <f t="shared" ref="AK33:AK42" si="31">IF(AJ33&gt;4,AJ33,"")</f>
        <v>5.9999999999999787</v>
      </c>
    </row>
    <row r="34" spans="1:37" ht="19.2" customHeight="1">
      <c r="A34" s="644"/>
      <c r="B34" s="156" t="s">
        <v>164</v>
      </c>
      <c r="C34" s="161"/>
      <c r="D34" s="162" t="s">
        <v>103</v>
      </c>
      <c r="E34" s="114"/>
      <c r="F34" s="73">
        <v>38.39</v>
      </c>
      <c r="G34" s="163">
        <v>1540</v>
      </c>
      <c r="H34" s="116">
        <f t="shared" si="26"/>
        <v>59120.6</v>
      </c>
      <c r="I34" s="457"/>
      <c r="J34" s="147">
        <v>17</v>
      </c>
      <c r="K34" s="124">
        <v>1565</v>
      </c>
      <c r="L34" s="125">
        <v>92.058823529411768</v>
      </c>
      <c r="M34" s="164">
        <v>17</v>
      </c>
      <c r="N34" s="74">
        <f t="shared" si="27"/>
        <v>1443.7499999999995</v>
      </c>
      <c r="O34" s="77">
        <f t="shared" si="28"/>
        <v>84.926470588235262</v>
      </c>
      <c r="P34" s="150">
        <f t="shared" si="22"/>
        <v>0</v>
      </c>
      <c r="Q34" s="79">
        <f t="shared" si="23"/>
        <v>-7.1323529411765065</v>
      </c>
      <c r="R34" s="461">
        <f t="shared" si="24"/>
        <v>0.92252396166134143</v>
      </c>
      <c r="S34" s="615"/>
      <c r="T34" s="80">
        <v>0.33958333333333329</v>
      </c>
      <c r="U34" s="80">
        <v>0.38402777777777775</v>
      </c>
      <c r="V34" s="163">
        <v>8</v>
      </c>
      <c r="W34" s="120">
        <f t="shared" si="29"/>
        <v>64.000000000000014</v>
      </c>
      <c r="X34" s="158"/>
      <c r="Y34" s="158"/>
      <c r="Z34" s="159"/>
      <c r="AA34" s="159"/>
      <c r="AB34" s="616"/>
      <c r="AC34" s="616"/>
      <c r="AD34" s="457"/>
      <c r="AE34" s="457"/>
      <c r="AF34" s="78">
        <f t="shared" si="6"/>
        <v>-121.25000000000045</v>
      </c>
      <c r="AG34" s="160">
        <f t="shared" si="7"/>
        <v>0.92252396166134154</v>
      </c>
      <c r="AH34" s="631"/>
      <c r="AJ34" s="405">
        <f t="shared" si="30"/>
        <v>8</v>
      </c>
      <c r="AK34" s="406">
        <f t="shared" si="31"/>
        <v>8</v>
      </c>
    </row>
    <row r="35" spans="1:37" ht="19.2" customHeight="1">
      <c r="A35" s="644"/>
      <c r="B35" s="156" t="s">
        <v>164</v>
      </c>
      <c r="C35" s="70"/>
      <c r="D35" s="165" t="s">
        <v>107</v>
      </c>
      <c r="E35" s="72"/>
      <c r="F35" s="73">
        <v>49.52</v>
      </c>
      <c r="G35" s="163">
        <v>2950</v>
      </c>
      <c r="H35" s="116">
        <f t="shared" si="26"/>
        <v>146084</v>
      </c>
      <c r="I35" s="459"/>
      <c r="J35" s="76">
        <v>18</v>
      </c>
      <c r="K35" s="74">
        <v>1565</v>
      </c>
      <c r="L35" s="77">
        <v>86.944444444444443</v>
      </c>
      <c r="M35" s="164">
        <v>18</v>
      </c>
      <c r="N35" s="74">
        <f t="shared" si="27"/>
        <v>1462.8099173553724</v>
      </c>
      <c r="O35" s="77">
        <f t="shared" si="28"/>
        <v>81.26721763085402</v>
      </c>
      <c r="P35" s="150">
        <f t="shared" si="22"/>
        <v>0</v>
      </c>
      <c r="Q35" s="79">
        <f t="shared" si="23"/>
        <v>-5.6772268135904227</v>
      </c>
      <c r="R35" s="461">
        <f t="shared" si="24"/>
        <v>0.93470282259129223</v>
      </c>
      <c r="S35" s="615"/>
      <c r="T35" s="80">
        <v>0.39999999999999997</v>
      </c>
      <c r="U35" s="80">
        <v>0.48402777777777772</v>
      </c>
      <c r="V35" s="145">
        <v>23</v>
      </c>
      <c r="W35" s="120">
        <f t="shared" si="29"/>
        <v>120.99999999999997</v>
      </c>
      <c r="X35" s="158">
        <v>0.3888888888888889</v>
      </c>
      <c r="Y35" s="158">
        <v>0.39930555555555558</v>
      </c>
      <c r="Z35" s="159"/>
      <c r="AA35" s="159"/>
      <c r="AB35" s="616"/>
      <c r="AC35" s="616"/>
      <c r="AD35" s="457"/>
      <c r="AE35" s="457"/>
      <c r="AF35" s="150">
        <f t="shared" si="6"/>
        <v>-102.19008264462764</v>
      </c>
      <c r="AG35" s="155">
        <f t="shared" si="7"/>
        <v>0.93470282259129223</v>
      </c>
      <c r="AH35" s="632"/>
      <c r="AJ35" s="405">
        <f t="shared" si="30"/>
        <v>7.0000000000000551</v>
      </c>
      <c r="AK35" s="406">
        <f t="shared" si="31"/>
        <v>7.0000000000000551</v>
      </c>
    </row>
    <row r="36" spans="1:37" ht="19.2" customHeight="1">
      <c r="A36" s="644"/>
      <c r="B36" s="156" t="s">
        <v>189</v>
      </c>
      <c r="C36" s="166"/>
      <c r="D36" s="165" t="s">
        <v>170</v>
      </c>
      <c r="E36" s="114"/>
      <c r="F36" s="73">
        <v>29.85</v>
      </c>
      <c r="G36" s="145">
        <v>2314.8000000000002</v>
      </c>
      <c r="H36" s="116">
        <f t="shared" si="26"/>
        <v>69096.780000000013</v>
      </c>
      <c r="I36" s="457"/>
      <c r="J36" s="76">
        <v>15</v>
      </c>
      <c r="K36" s="74">
        <v>1800</v>
      </c>
      <c r="L36" s="77">
        <v>120</v>
      </c>
      <c r="M36" s="164">
        <v>15</v>
      </c>
      <c r="N36" s="74">
        <f t="shared" si="27"/>
        <v>1543.2</v>
      </c>
      <c r="O36" s="77">
        <f t="shared" si="28"/>
        <v>102.88000000000001</v>
      </c>
      <c r="P36" s="150">
        <f t="shared" si="22"/>
        <v>0</v>
      </c>
      <c r="Q36" s="79">
        <f t="shared" si="23"/>
        <v>-17.11999999999999</v>
      </c>
      <c r="R36" s="461">
        <f t="shared" si="24"/>
        <v>0.85733333333333339</v>
      </c>
      <c r="S36" s="615"/>
      <c r="T36" s="80">
        <v>0.52499999999999991</v>
      </c>
      <c r="U36" s="80">
        <v>0.58749999999999991</v>
      </c>
      <c r="V36" s="145">
        <v>6</v>
      </c>
      <c r="W36" s="120">
        <f t="shared" si="29"/>
        <v>90</v>
      </c>
      <c r="X36" s="158"/>
      <c r="Y36" s="158"/>
      <c r="Z36" s="159"/>
      <c r="AA36" s="159"/>
      <c r="AB36" s="616"/>
      <c r="AC36" s="616"/>
      <c r="AD36" s="457"/>
      <c r="AE36" s="457"/>
      <c r="AF36" s="78">
        <f t="shared" si="6"/>
        <v>-256.79999999999995</v>
      </c>
      <c r="AG36" s="461">
        <f t="shared" si="7"/>
        <v>0.85733333333333339</v>
      </c>
      <c r="AH36" s="632"/>
      <c r="AJ36" s="405">
        <f t="shared" si="30"/>
        <v>6</v>
      </c>
      <c r="AK36" s="406">
        <f t="shared" si="31"/>
        <v>6</v>
      </c>
    </row>
    <row r="37" spans="1:37" ht="19.2" customHeight="1">
      <c r="A37" s="644"/>
      <c r="B37" s="156">
        <v>0</v>
      </c>
      <c r="C37" s="166"/>
      <c r="D37" s="165"/>
      <c r="E37" s="114"/>
      <c r="F37" s="73" t="s">
        <v>161</v>
      </c>
      <c r="G37" s="145"/>
      <c r="H37" s="116">
        <f t="shared" si="26"/>
        <v>0</v>
      </c>
      <c r="I37" s="457"/>
      <c r="J37" s="147"/>
      <c r="K37" s="124"/>
      <c r="L37" s="125"/>
      <c r="M37" s="164"/>
      <c r="N37" s="74"/>
      <c r="O37" s="77"/>
      <c r="P37" s="150"/>
      <c r="Q37" s="79"/>
      <c r="R37" s="461"/>
      <c r="S37" s="615"/>
      <c r="T37" s="80"/>
      <c r="U37" s="80"/>
      <c r="V37" s="145"/>
      <c r="W37" s="120">
        <f t="shared" si="29"/>
        <v>0</v>
      </c>
      <c r="X37" s="158"/>
      <c r="Y37" s="158"/>
      <c r="Z37" s="159"/>
      <c r="AA37" s="159"/>
      <c r="AB37" s="616"/>
      <c r="AC37" s="616"/>
      <c r="AD37" s="457"/>
      <c r="AE37" s="457"/>
      <c r="AF37" s="78">
        <f t="shared" si="6"/>
        <v>0</v>
      </c>
      <c r="AG37" s="160" t="e">
        <f t="shared" si="7"/>
        <v>#DIV/0!</v>
      </c>
      <c r="AH37" s="632"/>
      <c r="AJ37" s="405" t="str">
        <f t="shared" si="30"/>
        <v/>
      </c>
      <c r="AK37" s="406" t="str">
        <f t="shared" si="31"/>
        <v/>
      </c>
    </row>
    <row r="38" spans="1:37" ht="19.2" customHeight="1">
      <c r="A38" s="644"/>
      <c r="B38" s="156">
        <v>0</v>
      </c>
      <c r="C38" s="166"/>
      <c r="D38" s="71"/>
      <c r="E38" s="114"/>
      <c r="F38" s="73" t="s">
        <v>161</v>
      </c>
      <c r="G38" s="85"/>
      <c r="H38" s="116">
        <f t="shared" si="26"/>
        <v>0</v>
      </c>
      <c r="I38" s="457"/>
      <c r="J38" s="76"/>
      <c r="K38" s="74"/>
      <c r="L38" s="77"/>
      <c r="M38" s="467"/>
      <c r="N38" s="74"/>
      <c r="O38" s="77"/>
      <c r="P38" s="150"/>
      <c r="Q38" s="79"/>
      <c r="R38" s="461"/>
      <c r="S38" s="615"/>
      <c r="T38" s="167"/>
      <c r="U38" s="167"/>
      <c r="V38" s="457"/>
      <c r="W38" s="120">
        <f t="shared" si="29"/>
        <v>0</v>
      </c>
      <c r="X38" s="158"/>
      <c r="Y38" s="158"/>
      <c r="Z38" s="159"/>
      <c r="AA38" s="159"/>
      <c r="AB38" s="616"/>
      <c r="AC38" s="616"/>
      <c r="AD38" s="457"/>
      <c r="AE38" s="457"/>
      <c r="AF38" s="78">
        <f t="shared" si="6"/>
        <v>0</v>
      </c>
      <c r="AG38" s="160" t="e">
        <f t="shared" si="7"/>
        <v>#DIV/0!</v>
      </c>
      <c r="AH38" s="632"/>
      <c r="AJ38" s="405" t="str">
        <f t="shared" si="30"/>
        <v/>
      </c>
      <c r="AK38" s="406" t="str">
        <f t="shared" si="31"/>
        <v/>
      </c>
    </row>
    <row r="39" spans="1:37" ht="19.2" customHeight="1">
      <c r="A39" s="644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457"/>
      <c r="J39" s="76"/>
      <c r="K39" s="74"/>
      <c r="L39" s="77"/>
      <c r="M39" s="467"/>
      <c r="N39" s="74"/>
      <c r="O39" s="77"/>
      <c r="P39" s="150"/>
      <c r="Q39" s="79"/>
      <c r="R39" s="461"/>
      <c r="S39" s="615"/>
      <c r="T39" s="80"/>
      <c r="U39" s="80"/>
      <c r="V39" s="457"/>
      <c r="W39" s="120">
        <f t="shared" si="29"/>
        <v>0</v>
      </c>
      <c r="X39" s="158"/>
      <c r="Y39" s="158"/>
      <c r="Z39" s="159"/>
      <c r="AA39" s="159"/>
      <c r="AB39" s="616"/>
      <c r="AC39" s="616"/>
      <c r="AD39" s="457"/>
      <c r="AE39" s="457"/>
      <c r="AF39" s="150">
        <f t="shared" si="6"/>
        <v>0</v>
      </c>
      <c r="AG39" s="155" t="e">
        <f t="shared" si="7"/>
        <v>#DIV/0!</v>
      </c>
      <c r="AH39" s="632"/>
      <c r="AJ39" s="405" t="str">
        <f t="shared" si="30"/>
        <v/>
      </c>
      <c r="AK39" s="406" t="str">
        <f t="shared" si="31"/>
        <v/>
      </c>
    </row>
    <row r="40" spans="1:37" ht="19.2" customHeight="1">
      <c r="A40" s="644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459"/>
      <c r="J40" s="76"/>
      <c r="K40" s="74"/>
      <c r="L40" s="77"/>
      <c r="M40" s="470"/>
      <c r="N40" s="74"/>
      <c r="O40" s="77"/>
      <c r="P40" s="150"/>
      <c r="Q40" s="79"/>
      <c r="R40" s="461"/>
      <c r="S40" s="615"/>
      <c r="T40" s="80"/>
      <c r="U40" s="80"/>
      <c r="V40" s="457"/>
      <c r="W40" s="120">
        <f>(U40-T40)*24*60</f>
        <v>0</v>
      </c>
      <c r="X40" s="158"/>
      <c r="Y40" s="158"/>
      <c r="Z40" s="159"/>
      <c r="AA40" s="159"/>
      <c r="AB40" s="616"/>
      <c r="AC40" s="616"/>
      <c r="AD40" s="457"/>
      <c r="AE40" s="457"/>
      <c r="AF40" s="78">
        <f t="shared" si="6"/>
        <v>0</v>
      </c>
      <c r="AG40" s="461" t="e">
        <f t="shared" si="7"/>
        <v>#DIV/0!</v>
      </c>
      <c r="AH40" s="632"/>
      <c r="AJ40" s="405" t="str">
        <f t="shared" si="30"/>
        <v/>
      </c>
      <c r="AK40" s="406" t="str">
        <f t="shared" si="31"/>
        <v/>
      </c>
    </row>
    <row r="41" spans="1:37" ht="19.2" customHeight="1">
      <c r="A41" s="644"/>
      <c r="B41" s="457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457"/>
      <c r="J41" s="129"/>
      <c r="K41" s="85"/>
      <c r="L41" s="118"/>
      <c r="M41" s="467"/>
      <c r="N41" s="85"/>
      <c r="O41" s="118"/>
      <c r="P41" s="84"/>
      <c r="Q41" s="119"/>
      <c r="R41" s="458"/>
      <c r="S41" s="615"/>
      <c r="T41" s="80"/>
      <c r="U41" s="80"/>
      <c r="V41" s="457"/>
      <c r="W41" s="120">
        <f>(U41-T41)*24*60</f>
        <v>0</v>
      </c>
      <c r="X41" s="158"/>
      <c r="Y41" s="158"/>
      <c r="Z41" s="159"/>
      <c r="AA41" s="159"/>
      <c r="AB41" s="616"/>
      <c r="AC41" s="616"/>
      <c r="AD41" s="457"/>
      <c r="AE41" s="457"/>
      <c r="AF41" s="78"/>
      <c r="AG41" s="169"/>
      <c r="AH41" s="632"/>
      <c r="AJ41" s="405" t="str">
        <f t="shared" si="30"/>
        <v/>
      </c>
      <c r="AK41" s="406" t="str">
        <f t="shared" si="31"/>
        <v/>
      </c>
    </row>
    <row r="42" spans="1:37" ht="19.2" customHeight="1">
      <c r="A42" s="644"/>
      <c r="B42" s="457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457"/>
      <c r="J42" s="129"/>
      <c r="K42" s="85"/>
      <c r="L42" s="118"/>
      <c r="M42" s="467" t="s">
        <v>15</v>
      </c>
      <c r="N42" s="85"/>
      <c r="O42" s="118"/>
      <c r="P42" s="84"/>
      <c r="Q42" s="119"/>
      <c r="R42" s="458"/>
      <c r="S42" s="615"/>
      <c r="T42" s="80"/>
      <c r="U42" s="80"/>
      <c r="V42" s="457"/>
      <c r="W42" s="120">
        <f t="shared" si="29"/>
        <v>0</v>
      </c>
      <c r="X42" s="158"/>
      <c r="Y42" s="158"/>
      <c r="Z42" s="159"/>
      <c r="AA42" s="159"/>
      <c r="AB42" s="616"/>
      <c r="AC42" s="616"/>
      <c r="AD42" s="457"/>
      <c r="AE42" s="457"/>
      <c r="AF42" s="78"/>
      <c r="AG42" s="169"/>
      <c r="AH42" s="632"/>
      <c r="AJ42" s="405" t="str">
        <f t="shared" si="30"/>
        <v/>
      </c>
      <c r="AK42" s="406" t="str">
        <f t="shared" si="31"/>
        <v/>
      </c>
    </row>
    <row r="43" spans="1:37" ht="19.2" customHeight="1">
      <c r="A43" s="644"/>
      <c r="B43" s="156">
        <v>0</v>
      </c>
      <c r="C43" s="132" t="s">
        <v>448</v>
      </c>
      <c r="D43" s="612" t="s">
        <v>377</v>
      </c>
      <c r="E43" s="612"/>
      <c r="F43" s="133"/>
      <c r="G43" s="103"/>
      <c r="H43" s="134"/>
      <c r="I43" s="135"/>
      <c r="J43" s="103">
        <v>14.333333333333334</v>
      </c>
      <c r="K43" s="103">
        <v>1905</v>
      </c>
      <c r="L43" s="136">
        <v>140.54871871048343</v>
      </c>
      <c r="M43" s="103">
        <f t="shared" ref="M43:O43" si="32">AVERAGE(M31:M42)</f>
        <v>14.333333333333334</v>
      </c>
      <c r="N43" s="103">
        <f t="shared" si="32"/>
        <v>1718.4227232486328</v>
      </c>
      <c r="O43" s="136">
        <f t="shared" si="32"/>
        <v>126.71895803652491</v>
      </c>
      <c r="P43" s="84">
        <f>M43-J43</f>
        <v>0</v>
      </c>
      <c r="Q43" s="119">
        <f>N43-K43</f>
        <v>-186.57727675136721</v>
      </c>
      <c r="R43" s="137">
        <f t="shared" ref="R43:R50" si="33">O43/L43</f>
        <v>0.90160165954663407</v>
      </c>
      <c r="S43" s="615"/>
      <c r="T43" s="80"/>
      <c r="U43" s="80"/>
      <c r="V43" s="457"/>
      <c r="W43" s="457"/>
      <c r="X43" s="158"/>
      <c r="Y43" s="158"/>
      <c r="Z43" s="171">
        <f>SUM(Z31:Z42)</f>
        <v>0</v>
      </c>
      <c r="AA43" s="171">
        <f>SUM(AA31:AA42)</f>
        <v>0</v>
      </c>
      <c r="AB43" s="616"/>
      <c r="AC43" s="616"/>
      <c r="AD43" s="139">
        <f>SUM(AD31:AD42)</f>
        <v>0</v>
      </c>
      <c r="AE43" s="139">
        <f>SUM(AE31:AE42)</f>
        <v>0</v>
      </c>
      <c r="AF43" s="78">
        <f t="shared" ref="AF43:AF54" si="34">N43-K43</f>
        <v>-186.57727675136721</v>
      </c>
      <c r="AG43" s="462">
        <f t="shared" si="7"/>
        <v>0.90205917230899357</v>
      </c>
      <c r="AH43" s="632"/>
      <c r="AJ43" s="182"/>
    </row>
    <row r="44" spans="1:37" s="182" customFormat="1" ht="19.2" customHeight="1">
      <c r="A44" s="654" t="s">
        <v>449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1256</v>
      </c>
      <c r="H44" s="75">
        <f>F44*G44</f>
        <v>31060.880000000001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0" si="35">G44/W44*60</f>
        <v>2093.3333333333335</v>
      </c>
      <c r="O44" s="177">
        <f t="shared" ref="O44:O50" si="36">N44/M44</f>
        <v>418.66666666666669</v>
      </c>
      <c r="P44" s="81">
        <f t="shared" ref="P44:P50" si="37">M44-J44</f>
        <v>1</v>
      </c>
      <c r="Q44" s="178">
        <f t="shared" ref="Q44:Q50" si="38">O44-L44</f>
        <v>-81.333333333333314</v>
      </c>
      <c r="R44" s="179">
        <f t="shared" si="33"/>
        <v>0.83733333333333337</v>
      </c>
      <c r="S44" s="631">
        <f>R56</f>
        <v>0.8909495415770714</v>
      </c>
      <c r="T44" s="152">
        <v>0.16666666666666666</v>
      </c>
      <c r="U44" s="152">
        <v>0.19166666666666665</v>
      </c>
      <c r="V44" s="153">
        <v>5</v>
      </c>
      <c r="W44" s="180">
        <f t="shared" ref="W44:W56" si="39">(U44-T44)*24*60</f>
        <v>35.999999999999993</v>
      </c>
      <c r="X44" s="158"/>
      <c r="Y44" s="158"/>
      <c r="Z44" s="159"/>
      <c r="AA44" s="159"/>
      <c r="AB44" s="616"/>
      <c r="AC44" s="616"/>
      <c r="AD44" s="457"/>
      <c r="AE44" s="457"/>
      <c r="AF44" s="181">
        <f t="shared" si="34"/>
        <v>93.333333333333485</v>
      </c>
      <c r="AG44" s="464">
        <f t="shared" si="7"/>
        <v>1.0466666666666666</v>
      </c>
      <c r="AH44" s="648">
        <f>AG56</f>
        <v>0.97533326125400455</v>
      </c>
    </row>
    <row r="45" spans="1:37" s="182" customFormat="1" ht="19.2" customHeight="1">
      <c r="A45" s="655"/>
      <c r="B45" s="127" t="s">
        <v>165</v>
      </c>
      <c r="C45" s="172"/>
      <c r="D45" s="71" t="s">
        <v>113</v>
      </c>
      <c r="E45" s="72"/>
      <c r="F45" s="174">
        <v>24.73</v>
      </c>
      <c r="G45" s="145">
        <v>1234</v>
      </c>
      <c r="H45" s="75">
        <f>F45*G45</f>
        <v>30516.82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2056.666666666667</v>
      </c>
      <c r="O45" s="177">
        <f t="shared" si="36"/>
        <v>411.33333333333337</v>
      </c>
      <c r="P45" s="81">
        <f t="shared" si="37"/>
        <v>1</v>
      </c>
      <c r="Q45" s="178">
        <f t="shared" si="38"/>
        <v>-88.666666666666629</v>
      </c>
      <c r="R45" s="179">
        <f t="shared" si="33"/>
        <v>0.82266666666666677</v>
      </c>
      <c r="S45" s="631"/>
      <c r="T45" s="80">
        <v>0.19513888888888886</v>
      </c>
      <c r="U45" s="80">
        <v>0.22013888888888886</v>
      </c>
      <c r="V45" s="153">
        <v>5</v>
      </c>
      <c r="W45" s="180">
        <f t="shared" si="39"/>
        <v>35.999999999999993</v>
      </c>
      <c r="X45" s="158"/>
      <c r="Y45" s="158"/>
      <c r="Z45" s="159"/>
      <c r="AA45" s="159"/>
      <c r="AB45" s="616"/>
      <c r="AC45" s="616"/>
      <c r="AD45" s="457"/>
      <c r="AE45" s="457"/>
      <c r="AF45" s="181">
        <f t="shared" si="34"/>
        <v>56.66666666666697</v>
      </c>
      <c r="AG45" s="464">
        <f t="shared" si="7"/>
        <v>1.0283333333333335</v>
      </c>
      <c r="AH45" s="648"/>
    </row>
    <row r="46" spans="1:37" s="182" customFormat="1" ht="19.2" customHeight="1">
      <c r="A46" s="655"/>
      <c r="B46" s="127" t="s">
        <v>163</v>
      </c>
      <c r="C46" s="172"/>
      <c r="D46" s="71" t="s">
        <v>114</v>
      </c>
      <c r="E46" s="72"/>
      <c r="F46" s="174">
        <v>28.26</v>
      </c>
      <c r="G46" s="145">
        <v>851</v>
      </c>
      <c r="H46" s="75">
        <f t="shared" ref="H46:H55" si="40">F46*G46</f>
        <v>24049.260000000002</v>
      </c>
      <c r="I46" s="183"/>
      <c r="J46" s="176">
        <v>7</v>
      </c>
      <c r="K46" s="163">
        <v>1500</v>
      </c>
      <c r="L46" s="177">
        <v>214.28571428571428</v>
      </c>
      <c r="M46" s="92">
        <v>7</v>
      </c>
      <c r="N46" s="163">
        <f t="shared" si="35"/>
        <v>1418.3333333333335</v>
      </c>
      <c r="O46" s="177">
        <f t="shared" si="36"/>
        <v>202.61904761904765</v>
      </c>
      <c r="P46" s="81">
        <f t="shared" si="37"/>
        <v>0</v>
      </c>
      <c r="Q46" s="178">
        <f t="shared" si="38"/>
        <v>-11.666666666666629</v>
      </c>
      <c r="R46" s="179">
        <f t="shared" si="33"/>
        <v>0.9455555555555557</v>
      </c>
      <c r="S46" s="631"/>
      <c r="T46" s="80">
        <v>0.22361111111111107</v>
      </c>
      <c r="U46" s="80">
        <v>0.24861111111111106</v>
      </c>
      <c r="V46" s="153">
        <v>5</v>
      </c>
      <c r="W46" s="180">
        <f t="shared" si="39"/>
        <v>35.999999999999993</v>
      </c>
      <c r="X46" s="158"/>
      <c r="Y46" s="158"/>
      <c r="Z46" s="159"/>
      <c r="AA46" s="159"/>
      <c r="AB46" s="616"/>
      <c r="AC46" s="616"/>
      <c r="AD46" s="457"/>
      <c r="AE46" s="457"/>
      <c r="AF46" s="181">
        <f t="shared" si="34"/>
        <v>-81.666666666666515</v>
      </c>
      <c r="AG46" s="464">
        <f t="shared" si="7"/>
        <v>0.9455555555555557</v>
      </c>
      <c r="AH46" s="648"/>
    </row>
    <row r="47" spans="1:37" s="182" customFormat="1" ht="19.2" customHeight="1">
      <c r="A47" s="655"/>
      <c r="B47" s="127" t="s">
        <v>163</v>
      </c>
      <c r="C47" s="172"/>
      <c r="D47" s="71" t="s">
        <v>115</v>
      </c>
      <c r="E47" s="184"/>
      <c r="F47" s="174">
        <v>28.47</v>
      </c>
      <c r="G47" s="163">
        <v>659</v>
      </c>
      <c r="H47" s="75">
        <f t="shared" si="40"/>
        <v>18761.73</v>
      </c>
      <c r="I47" s="183"/>
      <c r="J47" s="176">
        <v>7</v>
      </c>
      <c r="K47" s="163">
        <v>1500</v>
      </c>
      <c r="L47" s="177">
        <v>214.28571428571428</v>
      </c>
      <c r="M47" s="164">
        <v>7</v>
      </c>
      <c r="N47" s="163">
        <f t="shared" si="35"/>
        <v>1464.4444444444453</v>
      </c>
      <c r="O47" s="177">
        <f t="shared" si="36"/>
        <v>209.20634920634933</v>
      </c>
      <c r="P47" s="81">
        <f t="shared" si="37"/>
        <v>0</v>
      </c>
      <c r="Q47" s="178">
        <f t="shared" si="38"/>
        <v>-5.0793650793649476</v>
      </c>
      <c r="R47" s="179">
        <f t="shared" si="33"/>
        <v>0.97629629629629688</v>
      </c>
      <c r="S47" s="631"/>
      <c r="T47" s="80">
        <v>0.25208333333333327</v>
      </c>
      <c r="U47" s="80">
        <v>0.27083333333333326</v>
      </c>
      <c r="V47" s="163">
        <v>5</v>
      </c>
      <c r="W47" s="180">
        <f t="shared" si="39"/>
        <v>26.999999999999986</v>
      </c>
      <c r="X47" s="158"/>
      <c r="Y47" s="158"/>
      <c r="Z47" s="159"/>
      <c r="AA47" s="159"/>
      <c r="AB47" s="616"/>
      <c r="AC47" s="616"/>
      <c r="AD47" s="457"/>
      <c r="AE47" s="457"/>
      <c r="AF47" s="181">
        <f t="shared" si="34"/>
        <v>-35.555555555554747</v>
      </c>
      <c r="AG47" s="464">
        <f t="shared" si="7"/>
        <v>0.97629629629629688</v>
      </c>
      <c r="AH47" s="648"/>
    </row>
    <row r="48" spans="1:37" s="182" customFormat="1" ht="19.2" customHeight="1">
      <c r="A48" s="655"/>
      <c r="B48" s="127" t="s">
        <v>163</v>
      </c>
      <c r="C48" s="172"/>
      <c r="D48" s="71" t="s">
        <v>116</v>
      </c>
      <c r="E48" s="184"/>
      <c r="F48" s="174">
        <v>11.86</v>
      </c>
      <c r="G48" s="163">
        <v>1067</v>
      </c>
      <c r="H48" s="75">
        <f t="shared" si="40"/>
        <v>12654.619999999999</v>
      </c>
      <c r="I48" s="183"/>
      <c r="J48" s="176">
        <v>6</v>
      </c>
      <c r="K48" s="163">
        <v>1636</v>
      </c>
      <c r="L48" s="177">
        <v>272.66666666666669</v>
      </c>
      <c r="M48" s="164">
        <v>6</v>
      </c>
      <c r="N48" s="163">
        <f t="shared" si="35"/>
        <v>1422.6666666666667</v>
      </c>
      <c r="O48" s="177">
        <f t="shared" si="36"/>
        <v>237.11111111111111</v>
      </c>
      <c r="P48" s="81">
        <f t="shared" si="37"/>
        <v>0</v>
      </c>
      <c r="Q48" s="178">
        <f t="shared" si="38"/>
        <v>-35.555555555555571</v>
      </c>
      <c r="R48" s="179">
        <f t="shared" si="33"/>
        <v>0.86960065199673997</v>
      </c>
      <c r="S48" s="631"/>
      <c r="T48" s="80">
        <v>0.28819444444444436</v>
      </c>
      <c r="U48" s="80">
        <v>0.31944444444444436</v>
      </c>
      <c r="V48" s="145">
        <v>25</v>
      </c>
      <c r="W48" s="180">
        <f t="shared" si="39"/>
        <v>45</v>
      </c>
      <c r="X48" s="158">
        <v>0.27499999999999997</v>
      </c>
      <c r="Y48" s="158">
        <v>0.28750000000000003</v>
      </c>
      <c r="Z48" s="159"/>
      <c r="AA48" s="159"/>
      <c r="AB48" s="616"/>
      <c r="AC48" s="616"/>
      <c r="AD48" s="457"/>
      <c r="AE48" s="457"/>
      <c r="AF48" s="181">
        <f t="shared" si="34"/>
        <v>-213.33333333333326</v>
      </c>
      <c r="AG48" s="464">
        <f t="shared" si="7"/>
        <v>0.86960065199674008</v>
      </c>
      <c r="AH48" s="648"/>
    </row>
    <row r="49" spans="1:34" s="182" customFormat="1" ht="19.2" customHeight="1">
      <c r="A49" s="655"/>
      <c r="B49" s="127" t="s">
        <v>166</v>
      </c>
      <c r="C49" s="172"/>
      <c r="D49" s="71" t="s">
        <v>117</v>
      </c>
      <c r="E49" s="184"/>
      <c r="F49" s="174">
        <v>10.09</v>
      </c>
      <c r="G49" s="145">
        <v>3441.7200000000003</v>
      </c>
      <c r="H49" s="75">
        <f t="shared" si="40"/>
        <v>34726.9548</v>
      </c>
      <c r="I49" s="183"/>
      <c r="J49" s="176">
        <v>6</v>
      </c>
      <c r="K49" s="163">
        <v>1500</v>
      </c>
      <c r="L49" s="177">
        <v>250</v>
      </c>
      <c r="M49" s="164">
        <v>6</v>
      </c>
      <c r="N49" s="163">
        <f t="shared" si="35"/>
        <v>1454.247887323944</v>
      </c>
      <c r="O49" s="177">
        <f t="shared" si="36"/>
        <v>242.37464788732402</v>
      </c>
      <c r="P49" s="81">
        <f t="shared" si="37"/>
        <v>0</v>
      </c>
      <c r="Q49" s="178">
        <f t="shared" si="38"/>
        <v>-7.6253521126759836</v>
      </c>
      <c r="R49" s="179">
        <f t="shared" si="33"/>
        <v>0.96949859154929607</v>
      </c>
      <c r="S49" s="631"/>
      <c r="T49" s="80">
        <v>0.3249999999999999</v>
      </c>
      <c r="U49" s="80">
        <v>0.42361111111111099</v>
      </c>
      <c r="V49" s="145">
        <v>8</v>
      </c>
      <c r="W49" s="180">
        <f t="shared" si="39"/>
        <v>141.99999999999997</v>
      </c>
      <c r="X49" s="185"/>
      <c r="Y49" s="185"/>
      <c r="Z49" s="186"/>
      <c r="AA49" s="159"/>
      <c r="AB49" s="616"/>
      <c r="AC49" s="616"/>
      <c r="AD49" s="457"/>
      <c r="AE49" s="457"/>
      <c r="AF49" s="181">
        <f t="shared" si="34"/>
        <v>-45.752112676055958</v>
      </c>
      <c r="AG49" s="464">
        <f t="shared" si="7"/>
        <v>0.96949859154929607</v>
      </c>
      <c r="AH49" s="648"/>
    </row>
    <row r="50" spans="1:34" s="182" customFormat="1" ht="19.2" customHeight="1">
      <c r="A50" s="655"/>
      <c r="B50" s="127" t="s">
        <v>166</v>
      </c>
      <c r="C50" s="172"/>
      <c r="D50" s="71" t="s">
        <v>117</v>
      </c>
      <c r="E50" s="184"/>
      <c r="F50" s="174">
        <v>10.09</v>
      </c>
      <c r="G50" s="145">
        <v>3142.44</v>
      </c>
      <c r="H50" s="75">
        <f t="shared" si="40"/>
        <v>31707.2196</v>
      </c>
      <c r="I50" s="183"/>
      <c r="J50" s="176">
        <v>6</v>
      </c>
      <c r="K50" s="163">
        <v>1500</v>
      </c>
      <c r="L50" s="177">
        <v>250</v>
      </c>
      <c r="M50" s="164">
        <v>6</v>
      </c>
      <c r="N50" s="163">
        <f t="shared" si="35"/>
        <v>1439.2854961832068</v>
      </c>
      <c r="O50" s="177">
        <f t="shared" si="36"/>
        <v>239.88091603053445</v>
      </c>
      <c r="P50" s="81">
        <f t="shared" si="37"/>
        <v>0</v>
      </c>
      <c r="Q50" s="178">
        <f t="shared" si="38"/>
        <v>-10.119083969465549</v>
      </c>
      <c r="R50" s="179">
        <f t="shared" si="33"/>
        <v>0.95952366412213785</v>
      </c>
      <c r="S50" s="631"/>
      <c r="T50" s="80">
        <v>0.4631944444444443</v>
      </c>
      <c r="U50" s="80">
        <v>0.55416666666666647</v>
      </c>
      <c r="V50" s="145">
        <v>4</v>
      </c>
      <c r="W50" s="180">
        <f t="shared" si="39"/>
        <v>130.99999999999994</v>
      </c>
      <c r="X50" s="185"/>
      <c r="Y50" s="185"/>
      <c r="Z50" s="186"/>
      <c r="AA50" s="186"/>
      <c r="AB50" s="616"/>
      <c r="AC50" s="616"/>
      <c r="AD50" s="457"/>
      <c r="AE50" s="457"/>
      <c r="AF50" s="181">
        <f t="shared" si="34"/>
        <v>-60.71450381679324</v>
      </c>
      <c r="AG50" s="464">
        <f t="shared" si="7"/>
        <v>0.95952366412213785</v>
      </c>
      <c r="AH50" s="648"/>
    </row>
    <row r="51" spans="1:34" s="182" customFormat="1" ht="19.2" customHeight="1">
      <c r="A51" s="655"/>
      <c r="B51" s="127">
        <v>0</v>
      </c>
      <c r="C51" s="172"/>
      <c r="D51" s="165"/>
      <c r="E51" s="184"/>
      <c r="F51" s="174" t="s">
        <v>161</v>
      </c>
      <c r="G51" s="145"/>
      <c r="H51" s="75">
        <f t="shared" si="40"/>
        <v>0</v>
      </c>
      <c r="I51" s="183"/>
      <c r="J51" s="176"/>
      <c r="K51" s="163"/>
      <c r="L51" s="177"/>
      <c r="M51" s="164"/>
      <c r="N51" s="163"/>
      <c r="O51" s="177"/>
      <c r="P51" s="81"/>
      <c r="Q51" s="178"/>
      <c r="R51" s="179"/>
      <c r="S51" s="631"/>
      <c r="T51" s="167"/>
      <c r="U51" s="167"/>
      <c r="V51" s="145"/>
      <c r="W51" s="180">
        <f t="shared" si="39"/>
        <v>0</v>
      </c>
      <c r="X51" s="185"/>
      <c r="Y51" s="185"/>
      <c r="Z51" s="186"/>
      <c r="AA51" s="186"/>
      <c r="AB51" s="616"/>
      <c r="AC51" s="616"/>
      <c r="AD51" s="457"/>
      <c r="AE51" s="457"/>
      <c r="AF51" s="181">
        <f t="shared" si="34"/>
        <v>0</v>
      </c>
      <c r="AG51" s="464" t="e">
        <f t="shared" si="7"/>
        <v>#DIV/0!</v>
      </c>
      <c r="AH51" s="648"/>
    </row>
    <row r="52" spans="1:34" s="182" customFormat="1" ht="19.2" customHeight="1">
      <c r="A52" s="655"/>
      <c r="B52" s="127">
        <v>0</v>
      </c>
      <c r="C52" s="172"/>
      <c r="D52" s="165"/>
      <c r="E52" s="184"/>
      <c r="F52" s="174" t="s">
        <v>161</v>
      </c>
      <c r="G52" s="145"/>
      <c r="H52" s="75">
        <f t="shared" si="40"/>
        <v>0</v>
      </c>
      <c r="I52" s="183"/>
      <c r="J52" s="176"/>
      <c r="K52" s="163"/>
      <c r="L52" s="177"/>
      <c r="M52" s="164"/>
      <c r="N52" s="163"/>
      <c r="O52" s="177"/>
      <c r="P52" s="81"/>
      <c r="Q52" s="178"/>
      <c r="R52" s="179"/>
      <c r="S52" s="631"/>
      <c r="T52" s="167"/>
      <c r="U52" s="167"/>
      <c r="V52" s="145"/>
      <c r="W52" s="180">
        <f t="shared" si="39"/>
        <v>0</v>
      </c>
      <c r="X52" s="185"/>
      <c r="Y52" s="185"/>
      <c r="Z52" s="186"/>
      <c r="AA52" s="186"/>
      <c r="AB52" s="616"/>
      <c r="AC52" s="616"/>
      <c r="AD52" s="457"/>
      <c r="AE52" s="457"/>
      <c r="AF52" s="181">
        <f t="shared" si="34"/>
        <v>0</v>
      </c>
      <c r="AG52" s="464" t="e">
        <f t="shared" si="7"/>
        <v>#DIV/0!</v>
      </c>
      <c r="AH52" s="648"/>
    </row>
    <row r="53" spans="1:34" s="182" customFormat="1" ht="19.2" customHeight="1">
      <c r="A53" s="655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458"/>
      <c r="S53" s="631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616"/>
      <c r="AC53" s="616"/>
      <c r="AD53" s="457"/>
      <c r="AE53" s="457"/>
      <c r="AF53" s="181">
        <f t="shared" si="34"/>
        <v>0</v>
      </c>
      <c r="AG53" s="464" t="e">
        <f t="shared" si="7"/>
        <v>#DIV/0!</v>
      </c>
      <c r="AH53" s="648"/>
    </row>
    <row r="54" spans="1:34" s="182" customFormat="1" ht="19.2" customHeight="1">
      <c r="A54" s="655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458"/>
      <c r="S54" s="631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616"/>
      <c r="AC54" s="616"/>
      <c r="AD54" s="457"/>
      <c r="AE54" s="457"/>
      <c r="AF54" s="181">
        <f t="shared" si="34"/>
        <v>0</v>
      </c>
      <c r="AG54" s="464" t="e">
        <f t="shared" si="7"/>
        <v>#DIV/0!</v>
      </c>
      <c r="AH54" s="648"/>
    </row>
    <row r="55" spans="1:34" s="182" customFormat="1" ht="19.2" customHeight="1">
      <c r="A55" s="655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458"/>
      <c r="S55" s="631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616"/>
      <c r="AC55" s="616"/>
      <c r="AD55" s="457"/>
      <c r="AE55" s="457"/>
      <c r="AF55" s="181"/>
      <c r="AG55" s="464"/>
      <c r="AH55" s="648"/>
    </row>
    <row r="56" spans="1:34" ht="19.2" customHeight="1">
      <c r="A56" s="656"/>
      <c r="B56" s="190">
        <v>0</v>
      </c>
      <c r="C56" s="191" t="s">
        <v>450</v>
      </c>
      <c r="D56" s="653" t="s">
        <v>377</v>
      </c>
      <c r="E56" s="612"/>
      <c r="F56" s="133"/>
      <c r="G56" s="103"/>
      <c r="H56" s="134"/>
      <c r="I56" s="135"/>
      <c r="J56" s="103">
        <v>5.7142857142857144</v>
      </c>
      <c r="K56" s="103">
        <v>1662.2857142857142</v>
      </c>
      <c r="L56" s="136">
        <v>314.46258503401361</v>
      </c>
      <c r="M56" s="103">
        <f t="shared" ref="M56:O56" si="41">AVERAGE(M44:M55)</f>
        <v>6</v>
      </c>
      <c r="N56" s="103">
        <f t="shared" si="41"/>
        <v>1621.2825468502281</v>
      </c>
      <c r="O56" s="136">
        <f t="shared" si="41"/>
        <v>280.17029597919526</v>
      </c>
      <c r="P56" s="192">
        <f>M56-J56</f>
        <v>0.28571428571428559</v>
      </c>
      <c r="Q56" s="151">
        <f>N56-K56</f>
        <v>-41.003167435486148</v>
      </c>
      <c r="R56" s="193">
        <f t="shared" ref="R56:R60" si="42">O56/L56</f>
        <v>0.8909495415770714</v>
      </c>
      <c r="S56" s="631"/>
      <c r="T56" s="194"/>
      <c r="U56" s="194"/>
      <c r="V56" s="472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616"/>
      <c r="AC56" s="616"/>
      <c r="AD56" s="139">
        <f>SUM(AD44:AD55)</f>
        <v>0</v>
      </c>
      <c r="AE56" s="139">
        <f>SUM(AE44:AE55)</f>
        <v>0</v>
      </c>
      <c r="AF56" s="196">
        <f>N56-K56</f>
        <v>-41.003167435486148</v>
      </c>
      <c r="AG56" s="458">
        <f>N56/K56</f>
        <v>0.97533326125400455</v>
      </c>
      <c r="AH56" s="648"/>
    </row>
    <row r="57" spans="1:34" ht="19.2" customHeight="1">
      <c r="A57" s="643" t="s">
        <v>451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2904</v>
      </c>
      <c r="H57" s="116">
        <f t="shared" ref="H57:H66" si="43">F57*G57</f>
        <v>80963.520000000004</v>
      </c>
      <c r="I57" s="457"/>
      <c r="J57" s="129">
        <v>7</v>
      </c>
      <c r="K57" s="85">
        <v>1500</v>
      </c>
      <c r="L57" s="118">
        <v>214.28571428571428</v>
      </c>
      <c r="M57" s="467">
        <v>7</v>
      </c>
      <c r="N57" s="85">
        <f t="shared" ref="N57:N60" si="44">G57/W57*60</f>
        <v>1476.6101694915253</v>
      </c>
      <c r="O57" s="118">
        <f t="shared" ref="O57:O60" si="45">N57/M57</f>
        <v>210.94430992736076</v>
      </c>
      <c r="P57" s="197">
        <f t="shared" ref="P57:P60" si="46">M57-J57</f>
        <v>0</v>
      </c>
      <c r="Q57" s="79">
        <f t="shared" ref="Q57:Q60" si="47">O57-L57</f>
        <v>-3.3414043583535147</v>
      </c>
      <c r="R57" s="461">
        <f t="shared" si="42"/>
        <v>0.98440677966101697</v>
      </c>
      <c r="S57" s="631">
        <f>R69</f>
        <v>0.96791008239429022</v>
      </c>
      <c r="T57" s="198">
        <v>0.16666666666666666</v>
      </c>
      <c r="U57" s="198">
        <v>0.24861111111111112</v>
      </c>
      <c r="V57" s="459">
        <v>5</v>
      </c>
      <c r="W57" s="469">
        <f>(U57-T57)*24*60</f>
        <v>118.00000000000001</v>
      </c>
      <c r="X57" s="83"/>
      <c r="Y57" s="83"/>
      <c r="Z57" s="84"/>
      <c r="AA57" s="84"/>
      <c r="AB57" s="616"/>
      <c r="AC57" s="616"/>
      <c r="AD57" s="457"/>
      <c r="AE57" s="457">
        <v>1</v>
      </c>
      <c r="AF57" s="78">
        <f t="shared" si="6"/>
        <v>-23.389830508474688</v>
      </c>
      <c r="AG57" s="460">
        <f t="shared" si="7"/>
        <v>0.98440677966101686</v>
      </c>
      <c r="AH57" s="630">
        <f>AG69</f>
        <v>0.9683478088101144</v>
      </c>
    </row>
    <row r="58" spans="1:34" ht="19.2" customHeight="1">
      <c r="A58" s="644"/>
      <c r="B58" s="156" t="s">
        <v>163</v>
      </c>
      <c r="C58" s="457"/>
      <c r="D58" s="71" t="s">
        <v>119</v>
      </c>
      <c r="E58" s="72"/>
      <c r="F58" s="73">
        <v>28</v>
      </c>
      <c r="G58" s="74">
        <v>2626</v>
      </c>
      <c r="H58" s="75">
        <f t="shared" si="43"/>
        <v>73528</v>
      </c>
      <c r="I58" s="459"/>
      <c r="J58" s="76">
        <v>7</v>
      </c>
      <c r="K58" s="74">
        <v>1500</v>
      </c>
      <c r="L58" s="118">
        <v>214.28571428571428</v>
      </c>
      <c r="M58" s="470">
        <v>7</v>
      </c>
      <c r="N58" s="74">
        <f t="shared" si="44"/>
        <v>1445.5045871559632</v>
      </c>
      <c r="O58" s="77">
        <f t="shared" si="45"/>
        <v>206.50065530799475</v>
      </c>
      <c r="P58" s="197">
        <f t="shared" si="46"/>
        <v>0</v>
      </c>
      <c r="Q58" s="79">
        <f t="shared" si="47"/>
        <v>-7.7850589777195296</v>
      </c>
      <c r="R58" s="461">
        <f t="shared" si="42"/>
        <v>0.96366972477064217</v>
      </c>
      <c r="S58" s="631"/>
      <c r="T58" s="198">
        <v>0.25416666666666665</v>
      </c>
      <c r="U58" s="198">
        <v>0.3298611111111111</v>
      </c>
      <c r="V58" s="459">
        <v>8</v>
      </c>
      <c r="W58" s="469">
        <f>(U58-T58)*24*60</f>
        <v>109.00000000000001</v>
      </c>
      <c r="X58" s="83"/>
      <c r="Y58" s="83"/>
      <c r="Z58" s="84"/>
      <c r="AA58" s="84"/>
      <c r="AB58" s="649"/>
      <c r="AC58" s="650"/>
      <c r="AD58" s="457"/>
      <c r="AE58" s="457"/>
      <c r="AF58" s="78">
        <f t="shared" si="6"/>
        <v>-54.495412844036764</v>
      </c>
      <c r="AG58" s="461">
        <f t="shared" si="7"/>
        <v>0.96366972477064217</v>
      </c>
      <c r="AH58" s="631"/>
    </row>
    <row r="59" spans="1:34" ht="19.2" customHeight="1">
      <c r="A59" s="644"/>
      <c r="B59" s="156" t="s">
        <v>166</v>
      </c>
      <c r="C59" s="457"/>
      <c r="D59" s="71" t="s">
        <v>117</v>
      </c>
      <c r="E59" s="72"/>
      <c r="F59" s="73">
        <v>10.09</v>
      </c>
      <c r="G59" s="74">
        <v>3591.3599999999997</v>
      </c>
      <c r="H59" s="75">
        <f t="shared" si="43"/>
        <v>36236.822399999997</v>
      </c>
      <c r="I59" s="459"/>
      <c r="J59" s="76">
        <v>6</v>
      </c>
      <c r="K59" s="74">
        <v>1500</v>
      </c>
      <c r="L59" s="118">
        <v>250</v>
      </c>
      <c r="M59" s="470">
        <v>6</v>
      </c>
      <c r="N59" s="74">
        <f t="shared" si="44"/>
        <v>1446.1852348993293</v>
      </c>
      <c r="O59" s="77">
        <f t="shared" si="45"/>
        <v>241.03087248322154</v>
      </c>
      <c r="P59" s="197">
        <f t="shared" si="46"/>
        <v>0</v>
      </c>
      <c r="Q59" s="79">
        <f t="shared" si="47"/>
        <v>-8.9691275167784568</v>
      </c>
      <c r="R59" s="461">
        <f t="shared" si="42"/>
        <v>0.96412348993288621</v>
      </c>
      <c r="S59" s="631"/>
      <c r="T59" s="198">
        <v>0.34722222222222221</v>
      </c>
      <c r="U59" s="198">
        <v>0.4506944444444444</v>
      </c>
      <c r="V59" s="153">
        <v>25</v>
      </c>
      <c r="W59" s="469">
        <f t="shared" ref="W59:W69" si="48">(U59-T59)*24*60</f>
        <v>148.99999999999994</v>
      </c>
      <c r="X59" s="83">
        <v>0.3347222222222222</v>
      </c>
      <c r="Y59" s="83">
        <v>0.34583333333333338</v>
      </c>
      <c r="Z59" s="84"/>
      <c r="AA59" s="84"/>
      <c r="AB59" s="616"/>
      <c r="AC59" s="616"/>
      <c r="AD59" s="457"/>
      <c r="AE59" s="457"/>
      <c r="AF59" s="78">
        <f t="shared" si="6"/>
        <v>-53.814765100670684</v>
      </c>
      <c r="AG59" s="461">
        <f t="shared" si="7"/>
        <v>0.96412348993288621</v>
      </c>
      <c r="AH59" s="631"/>
    </row>
    <row r="60" spans="1:34" ht="19.2" customHeight="1">
      <c r="A60" s="644"/>
      <c r="B60" s="156" t="s">
        <v>166</v>
      </c>
      <c r="C60" s="457"/>
      <c r="D60" s="71" t="s">
        <v>117</v>
      </c>
      <c r="E60" s="72"/>
      <c r="F60" s="73">
        <v>10.09</v>
      </c>
      <c r="G60" s="74">
        <v>3292.08</v>
      </c>
      <c r="H60" s="75">
        <f t="shared" si="43"/>
        <v>33217.087200000002</v>
      </c>
      <c r="I60" s="459"/>
      <c r="J60" s="76">
        <v>6</v>
      </c>
      <c r="K60" s="74">
        <v>1500</v>
      </c>
      <c r="L60" s="118">
        <v>250</v>
      </c>
      <c r="M60" s="470">
        <v>6</v>
      </c>
      <c r="N60" s="74">
        <f t="shared" si="44"/>
        <v>1441.7868613138687</v>
      </c>
      <c r="O60" s="77">
        <f t="shared" si="45"/>
        <v>240.29781021897813</v>
      </c>
      <c r="P60" s="197">
        <f t="shared" si="46"/>
        <v>0</v>
      </c>
      <c r="Q60" s="79">
        <f t="shared" si="47"/>
        <v>-9.7021897810218718</v>
      </c>
      <c r="R60" s="461">
        <f t="shared" si="42"/>
        <v>0.96119124087591257</v>
      </c>
      <c r="S60" s="631"/>
      <c r="T60" s="198">
        <v>0.49097222222222214</v>
      </c>
      <c r="U60" s="198">
        <v>0.58611111111111103</v>
      </c>
      <c r="V60" s="153">
        <v>5</v>
      </c>
      <c r="W60" s="469">
        <f t="shared" si="48"/>
        <v>137</v>
      </c>
      <c r="X60" s="83"/>
      <c r="Y60" s="83"/>
      <c r="Z60" s="84"/>
      <c r="AA60" s="84"/>
      <c r="AB60" s="616"/>
      <c r="AC60" s="616"/>
      <c r="AD60" s="457"/>
      <c r="AE60" s="457"/>
      <c r="AF60" s="78">
        <f t="shared" si="6"/>
        <v>-58.213138686131288</v>
      </c>
      <c r="AG60" s="460">
        <f t="shared" si="7"/>
        <v>0.96119124087591246</v>
      </c>
      <c r="AH60" s="631"/>
    </row>
    <row r="61" spans="1:34" ht="19.2" customHeight="1">
      <c r="A61" s="644"/>
      <c r="B61" s="156">
        <v>0</v>
      </c>
      <c r="C61" s="457"/>
      <c r="D61" s="71"/>
      <c r="E61" s="72"/>
      <c r="F61" s="73" t="s">
        <v>161</v>
      </c>
      <c r="G61" s="74"/>
      <c r="H61" s="75">
        <f t="shared" si="43"/>
        <v>0</v>
      </c>
      <c r="I61" s="459"/>
      <c r="J61" s="76"/>
      <c r="K61" s="74"/>
      <c r="L61" s="118"/>
      <c r="M61" s="470"/>
      <c r="N61" s="74"/>
      <c r="O61" s="77"/>
      <c r="P61" s="197"/>
      <c r="Q61" s="79"/>
      <c r="R61" s="461"/>
      <c r="S61" s="631"/>
      <c r="T61" s="198"/>
      <c r="U61" s="198"/>
      <c r="V61" s="153"/>
      <c r="W61" s="469">
        <f t="shared" si="48"/>
        <v>0</v>
      </c>
      <c r="X61" s="83"/>
      <c r="Y61" s="83"/>
      <c r="Z61" s="84"/>
      <c r="AA61" s="84"/>
      <c r="AB61" s="616"/>
      <c r="AC61" s="616"/>
      <c r="AD61" s="457"/>
      <c r="AE61" s="457"/>
      <c r="AF61" s="78">
        <f t="shared" si="6"/>
        <v>0</v>
      </c>
      <c r="AG61" s="461" t="e">
        <f t="shared" si="7"/>
        <v>#DIV/0!</v>
      </c>
      <c r="AH61" s="631"/>
    </row>
    <row r="62" spans="1:34" ht="19.2" customHeight="1">
      <c r="A62" s="644"/>
      <c r="B62" s="156">
        <v>0</v>
      </c>
      <c r="C62" s="457"/>
      <c r="D62" s="71"/>
      <c r="E62" s="72"/>
      <c r="F62" s="73" t="s">
        <v>161</v>
      </c>
      <c r="G62" s="145"/>
      <c r="H62" s="75">
        <f t="shared" si="43"/>
        <v>0</v>
      </c>
      <c r="I62" s="459"/>
      <c r="J62" s="76"/>
      <c r="K62" s="74"/>
      <c r="L62" s="118"/>
      <c r="M62" s="92"/>
      <c r="N62" s="74"/>
      <c r="O62" s="77"/>
      <c r="P62" s="197"/>
      <c r="Q62" s="79"/>
      <c r="R62" s="461"/>
      <c r="S62" s="631"/>
      <c r="T62" s="199"/>
      <c r="U62" s="199"/>
      <c r="V62" s="153"/>
      <c r="W62" s="469">
        <f t="shared" si="48"/>
        <v>0</v>
      </c>
      <c r="X62" s="83"/>
      <c r="Y62" s="83"/>
      <c r="Z62" s="84"/>
      <c r="AA62" s="84"/>
      <c r="AB62" s="616"/>
      <c r="AC62" s="616"/>
      <c r="AD62" s="457"/>
      <c r="AE62" s="457"/>
      <c r="AF62" s="78">
        <f t="shared" si="6"/>
        <v>0</v>
      </c>
      <c r="AG62" s="461" t="e">
        <f t="shared" si="7"/>
        <v>#DIV/0!</v>
      </c>
      <c r="AH62" s="631"/>
    </row>
    <row r="63" spans="1:34" ht="19.2" customHeight="1">
      <c r="A63" s="644"/>
      <c r="B63" s="156">
        <v>0</v>
      </c>
      <c r="C63" s="457"/>
      <c r="D63" s="71"/>
      <c r="E63" s="72"/>
      <c r="F63" s="73" t="s">
        <v>161</v>
      </c>
      <c r="G63" s="145"/>
      <c r="H63" s="75">
        <f t="shared" si="43"/>
        <v>0</v>
      </c>
      <c r="I63" s="459"/>
      <c r="J63" s="76"/>
      <c r="K63" s="74"/>
      <c r="L63" s="118"/>
      <c r="M63" s="92" t="s">
        <v>15</v>
      </c>
      <c r="N63" s="74"/>
      <c r="O63" s="77"/>
      <c r="P63" s="197"/>
      <c r="Q63" s="79"/>
      <c r="R63" s="461"/>
      <c r="S63" s="631"/>
      <c r="T63" s="199"/>
      <c r="U63" s="199"/>
      <c r="V63" s="153"/>
      <c r="W63" s="469">
        <f t="shared" si="48"/>
        <v>0</v>
      </c>
      <c r="X63" s="83"/>
      <c r="Y63" s="83"/>
      <c r="Z63" s="84"/>
      <c r="AA63" s="84"/>
      <c r="AB63" s="616"/>
      <c r="AC63" s="616"/>
      <c r="AD63" s="457"/>
      <c r="AE63" s="457"/>
      <c r="AF63" s="78">
        <f t="shared" si="6"/>
        <v>0</v>
      </c>
      <c r="AG63" s="460" t="e">
        <f t="shared" si="7"/>
        <v>#DIV/0!</v>
      </c>
      <c r="AH63" s="631"/>
    </row>
    <row r="64" spans="1:34" ht="19.2" customHeight="1">
      <c r="A64" s="645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459"/>
      <c r="J64" s="202"/>
      <c r="K64" s="91"/>
      <c r="L64" s="118"/>
      <c r="M64" s="92"/>
      <c r="N64" s="74"/>
      <c r="O64" s="77"/>
      <c r="P64" s="197"/>
      <c r="Q64" s="79"/>
      <c r="R64" s="461"/>
      <c r="S64" s="631"/>
      <c r="T64" s="199"/>
      <c r="U64" s="199"/>
      <c r="V64" s="153"/>
      <c r="W64" s="469">
        <f t="shared" si="48"/>
        <v>0</v>
      </c>
      <c r="X64" s="459"/>
      <c r="Y64" s="459"/>
      <c r="Z64" s="84"/>
      <c r="AA64" s="84"/>
      <c r="AB64" s="616"/>
      <c r="AC64" s="616"/>
      <c r="AD64" s="457"/>
      <c r="AE64" s="457"/>
      <c r="AF64" s="78">
        <f t="shared" si="6"/>
        <v>0</v>
      </c>
      <c r="AG64" s="461" t="e">
        <f t="shared" si="7"/>
        <v>#DIV/0!</v>
      </c>
      <c r="AH64" s="631"/>
    </row>
    <row r="65" spans="1:37" ht="19.2" customHeight="1">
      <c r="A65" s="645"/>
      <c r="B65" s="127">
        <v>0</v>
      </c>
      <c r="C65" s="465"/>
      <c r="D65" s="71"/>
      <c r="E65" s="72"/>
      <c r="F65" s="73" t="s">
        <v>161</v>
      </c>
      <c r="G65" s="145"/>
      <c r="H65" s="75">
        <f t="shared" si="43"/>
        <v>0</v>
      </c>
      <c r="I65" s="459"/>
      <c r="J65" s="202"/>
      <c r="K65" s="91"/>
      <c r="L65" s="118"/>
      <c r="M65" s="92"/>
      <c r="N65" s="91"/>
      <c r="O65" s="108"/>
      <c r="P65" s="78"/>
      <c r="Q65" s="79"/>
      <c r="R65" s="461"/>
      <c r="S65" s="631"/>
      <c r="T65" s="199"/>
      <c r="U65" s="199"/>
      <c r="V65" s="153"/>
      <c r="W65" s="469">
        <f t="shared" si="48"/>
        <v>0</v>
      </c>
      <c r="X65" s="459"/>
      <c r="Y65" s="459"/>
      <c r="Z65" s="84"/>
      <c r="AA65" s="84"/>
      <c r="AB65" s="616"/>
      <c r="AC65" s="616"/>
      <c r="AD65" s="457"/>
      <c r="AE65" s="457"/>
      <c r="AF65" s="78">
        <f t="shared" si="6"/>
        <v>0</v>
      </c>
      <c r="AG65" s="461" t="e">
        <f t="shared" si="7"/>
        <v>#DIV/0!</v>
      </c>
      <c r="AH65" s="631"/>
    </row>
    <row r="66" spans="1:37" ht="19.2" customHeight="1">
      <c r="A66" s="645"/>
      <c r="B66" s="127">
        <v>0</v>
      </c>
      <c r="C66" s="465"/>
      <c r="D66" s="71"/>
      <c r="E66" s="72"/>
      <c r="F66" s="73" t="s">
        <v>161</v>
      </c>
      <c r="G66" s="145"/>
      <c r="H66" s="75">
        <f t="shared" si="43"/>
        <v>0</v>
      </c>
      <c r="I66" s="459"/>
      <c r="J66" s="202"/>
      <c r="K66" s="91"/>
      <c r="L66" s="118"/>
      <c r="M66" s="92"/>
      <c r="N66" s="91"/>
      <c r="O66" s="108"/>
      <c r="P66" s="78"/>
      <c r="Q66" s="79"/>
      <c r="R66" s="461"/>
      <c r="S66" s="631"/>
      <c r="T66" s="199"/>
      <c r="U66" s="199"/>
      <c r="V66" s="153"/>
      <c r="W66" s="469">
        <f t="shared" si="48"/>
        <v>0</v>
      </c>
      <c r="X66" s="459"/>
      <c r="Y66" s="459"/>
      <c r="Z66" s="84"/>
      <c r="AA66" s="84"/>
      <c r="AB66" s="616"/>
      <c r="AC66" s="616"/>
      <c r="AD66" s="457"/>
      <c r="AE66" s="457"/>
      <c r="AF66" s="78">
        <f t="shared" si="6"/>
        <v>0</v>
      </c>
      <c r="AG66" s="460" t="e">
        <f t="shared" si="7"/>
        <v>#DIV/0!</v>
      </c>
      <c r="AH66" s="631"/>
    </row>
    <row r="67" spans="1:37" ht="19.2" customHeight="1">
      <c r="A67" s="645"/>
      <c r="B67" s="127">
        <v>0</v>
      </c>
      <c r="C67" s="465"/>
      <c r="D67" s="71"/>
      <c r="E67" s="72"/>
      <c r="F67" s="73" t="s">
        <v>161</v>
      </c>
      <c r="G67" s="145"/>
      <c r="H67" s="75">
        <f>F67*G67</f>
        <v>0</v>
      </c>
      <c r="I67" s="459"/>
      <c r="J67" s="202"/>
      <c r="K67" s="91"/>
      <c r="L67" s="118"/>
      <c r="M67" s="92"/>
      <c r="N67" s="91"/>
      <c r="O67" s="108"/>
      <c r="P67" s="78"/>
      <c r="Q67" s="79"/>
      <c r="R67" s="461"/>
      <c r="S67" s="631"/>
      <c r="T67" s="199"/>
      <c r="U67" s="199"/>
      <c r="V67" s="153"/>
      <c r="W67" s="469">
        <f t="shared" si="48"/>
        <v>0</v>
      </c>
      <c r="X67" s="459"/>
      <c r="Y67" s="459"/>
      <c r="Z67" s="84"/>
      <c r="AA67" s="84"/>
      <c r="AB67" s="616"/>
      <c r="AC67" s="616"/>
      <c r="AD67" s="457"/>
      <c r="AE67" s="457"/>
      <c r="AF67" s="78">
        <f t="shared" si="6"/>
        <v>0</v>
      </c>
      <c r="AG67" s="461" t="e">
        <f t="shared" si="7"/>
        <v>#DIV/0!</v>
      </c>
      <c r="AH67" s="631"/>
    </row>
    <row r="68" spans="1:37" ht="19.2" customHeight="1">
      <c r="A68" s="645"/>
      <c r="B68" s="459">
        <v>0</v>
      </c>
      <c r="C68" s="465"/>
      <c r="D68" s="71"/>
      <c r="E68" s="72"/>
      <c r="F68" s="174" t="s">
        <v>161</v>
      </c>
      <c r="G68" s="145"/>
      <c r="H68" s="75">
        <f>F68*G68</f>
        <v>0</v>
      </c>
      <c r="I68" s="459"/>
      <c r="J68" s="202"/>
      <c r="K68" s="91"/>
      <c r="L68" s="118"/>
      <c r="M68" s="92"/>
      <c r="N68" s="91"/>
      <c r="O68" s="108"/>
      <c r="P68" s="78"/>
      <c r="Q68" s="79"/>
      <c r="R68" s="461"/>
      <c r="S68" s="631"/>
      <c r="T68" s="199"/>
      <c r="U68" s="199"/>
      <c r="V68" s="153"/>
      <c r="W68" s="469">
        <f t="shared" si="48"/>
        <v>0</v>
      </c>
      <c r="X68" s="459"/>
      <c r="Y68" s="459"/>
      <c r="Z68" s="84"/>
      <c r="AA68" s="84"/>
      <c r="AB68" s="616"/>
      <c r="AC68" s="616"/>
      <c r="AD68" s="457"/>
      <c r="AE68" s="457"/>
      <c r="AF68" s="78"/>
      <c r="AG68" s="461"/>
      <c r="AH68" s="631"/>
    </row>
    <row r="69" spans="1:37" ht="19.2" customHeight="1">
      <c r="A69" s="645"/>
      <c r="B69" s="203">
        <v>0</v>
      </c>
      <c r="C69" s="204" t="s">
        <v>452</v>
      </c>
      <c r="D69" s="612" t="s">
        <v>377</v>
      </c>
      <c r="E69" s="612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1452.5217132151715</v>
      </c>
      <c r="O69" s="102">
        <f t="shared" si="49"/>
        <v>224.6934119843888</v>
      </c>
      <c r="P69" s="78">
        <f>M69-J69</f>
        <v>0</v>
      </c>
      <c r="Q69" s="79">
        <f>N69-K69</f>
        <v>-47.47828678482847</v>
      </c>
      <c r="R69" s="209">
        <f t="shared" ref="R69:R75" si="50">O69/L69</f>
        <v>0.96791008239429022</v>
      </c>
      <c r="S69" s="631"/>
      <c r="T69" s="210"/>
      <c r="U69" s="210"/>
      <c r="V69" s="74"/>
      <c r="W69" s="469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616"/>
      <c r="AC69" s="616"/>
      <c r="AD69" s="139">
        <f>SUM(AD57:AD68)</f>
        <v>0</v>
      </c>
      <c r="AE69" s="139">
        <f>SUM(AE57:AE68)</f>
        <v>1</v>
      </c>
      <c r="AF69" s="78">
        <f t="shared" si="6"/>
        <v>-47.47828678482847</v>
      </c>
      <c r="AG69" s="461">
        <f t="shared" si="7"/>
        <v>0.9683478088101144</v>
      </c>
      <c r="AH69" s="631"/>
    </row>
    <row r="70" spans="1:37" ht="19.2" customHeight="1">
      <c r="A70" s="646" t="s">
        <v>453</v>
      </c>
      <c r="B70" s="459" t="s">
        <v>166</v>
      </c>
      <c r="C70" s="127"/>
      <c r="D70" s="71" t="s">
        <v>120</v>
      </c>
      <c r="E70" s="72"/>
      <c r="F70" s="73">
        <v>54.09</v>
      </c>
      <c r="G70" s="85">
        <v>347.8</v>
      </c>
      <c r="H70" s="75">
        <f>F70*G70</f>
        <v>18812.502</v>
      </c>
      <c r="I70" s="459"/>
      <c r="J70" s="76">
        <v>16</v>
      </c>
      <c r="K70" s="74">
        <v>1500</v>
      </c>
      <c r="L70" s="77">
        <v>93.75</v>
      </c>
      <c r="M70" s="470">
        <v>17</v>
      </c>
      <c r="N70" s="74">
        <f t="shared" ref="N70:N75" si="51">G70/W70*60</f>
        <v>1304.2499999999984</v>
      </c>
      <c r="O70" s="77">
        <f t="shared" ref="O70:O75" si="52">N70/M70</f>
        <v>76.720588235294031</v>
      </c>
      <c r="P70" s="78">
        <f t="shared" ref="P70:P75" si="53">M70-J70</f>
        <v>1</v>
      </c>
      <c r="Q70" s="79">
        <f t="shared" ref="Q70:Q75" si="54">O70-L70</f>
        <v>-17.029411764705969</v>
      </c>
      <c r="R70" s="461">
        <f t="shared" si="50"/>
        <v>0.81835294117646962</v>
      </c>
      <c r="S70" s="631">
        <f>R82</f>
        <v>0.89409844705606556</v>
      </c>
      <c r="T70" s="198">
        <v>0.25</v>
      </c>
      <c r="U70" s="198">
        <v>0.26111111111111113</v>
      </c>
      <c r="V70" s="459">
        <v>5</v>
      </c>
      <c r="W70" s="469">
        <f>(U70-T70)*24*60</f>
        <v>16.000000000000021</v>
      </c>
      <c r="X70" s="459"/>
      <c r="Y70" s="459"/>
      <c r="Z70" s="84"/>
      <c r="AA70" s="84"/>
      <c r="AB70" s="616"/>
      <c r="AC70" s="616"/>
      <c r="AD70" s="457"/>
      <c r="AE70" s="457"/>
      <c r="AF70" s="78">
        <f t="shared" si="6"/>
        <v>-195.75000000000159</v>
      </c>
      <c r="AG70" s="461">
        <f t="shared" si="7"/>
        <v>0.86949999999999894</v>
      </c>
      <c r="AH70" s="631">
        <f>AG82</f>
        <v>0.9037330732693728</v>
      </c>
      <c r="AJ70" s="62" t="str">
        <f>A70</f>
        <v>四度三組
(ET-55)</v>
      </c>
      <c r="AK70" s="404">
        <f>AVERAGE(AK71:AK81)</f>
        <v>6.4000000000000394</v>
      </c>
    </row>
    <row r="71" spans="1:37" ht="19.2" customHeight="1">
      <c r="A71" s="646"/>
      <c r="B71" s="459" t="s">
        <v>167</v>
      </c>
      <c r="C71" s="70"/>
      <c r="D71" s="211" t="s">
        <v>121</v>
      </c>
      <c r="E71" s="72"/>
      <c r="F71" s="73">
        <v>77.34</v>
      </c>
      <c r="G71" s="74">
        <v>1351</v>
      </c>
      <c r="H71" s="75">
        <f>F71*G71</f>
        <v>104486.34000000001</v>
      </c>
      <c r="I71" s="459"/>
      <c r="J71" s="76">
        <v>18</v>
      </c>
      <c r="K71" s="212">
        <v>1440</v>
      </c>
      <c r="L71" s="77">
        <v>80</v>
      </c>
      <c r="M71" s="467">
        <v>18</v>
      </c>
      <c r="N71" s="74">
        <f t="shared" si="51"/>
        <v>1328.8524590163929</v>
      </c>
      <c r="O71" s="77">
        <f t="shared" si="52"/>
        <v>73.825136612021822</v>
      </c>
      <c r="P71" s="78">
        <f t="shared" si="53"/>
        <v>0</v>
      </c>
      <c r="Q71" s="79">
        <f t="shared" si="54"/>
        <v>-6.1748633879781778</v>
      </c>
      <c r="R71" s="461">
        <f t="shared" si="50"/>
        <v>0.92281420765027278</v>
      </c>
      <c r="S71" s="631"/>
      <c r="T71" s="198">
        <v>0.26666666666666666</v>
      </c>
      <c r="U71" s="198">
        <v>0.30902777777777779</v>
      </c>
      <c r="V71" s="459">
        <v>8</v>
      </c>
      <c r="W71" s="469">
        <f t="shared" ref="W71:W81" si="55">(U71-T71)*24*60</f>
        <v>61.000000000000021</v>
      </c>
      <c r="X71" s="83"/>
      <c r="Y71" s="83"/>
      <c r="Z71" s="84"/>
      <c r="AA71" s="84"/>
      <c r="AB71" s="616"/>
      <c r="AC71" s="616"/>
      <c r="AD71" s="457"/>
      <c r="AE71" s="457"/>
      <c r="AF71" s="78">
        <f>N71-K71</f>
        <v>-111.14754098360709</v>
      </c>
      <c r="AG71" s="461">
        <f>N71/K71</f>
        <v>0.92281420765027289</v>
      </c>
      <c r="AH71" s="631"/>
      <c r="AJ71" s="405">
        <f t="shared" ref="AJ71:AJ81" si="56">IF((IF(V71&lt;10,V71,(X71-U70)*1440))=0,"",IF(V71&lt;10,V71,(X71-U70)*1440))</f>
        <v>8</v>
      </c>
      <c r="AK71" s="406">
        <f>IF(AJ71&gt;4,AJ71,"")</f>
        <v>8</v>
      </c>
    </row>
    <row r="72" spans="1:37" ht="19.2" customHeight="1">
      <c r="A72" s="646"/>
      <c r="B72" s="459" t="s">
        <v>167</v>
      </c>
      <c r="C72" s="94"/>
      <c r="D72" s="211" t="s">
        <v>128</v>
      </c>
      <c r="E72" s="72"/>
      <c r="F72" s="73">
        <v>69.260000000000005</v>
      </c>
      <c r="G72" s="74">
        <v>1247</v>
      </c>
      <c r="H72" s="75">
        <f t="shared" ref="H72:H76" si="57">F72*G72</f>
        <v>86367.22</v>
      </c>
      <c r="I72" s="459"/>
      <c r="J72" s="129">
        <v>20</v>
      </c>
      <c r="K72" s="85">
        <v>1385</v>
      </c>
      <c r="L72" s="118">
        <v>69.25</v>
      </c>
      <c r="M72" s="470">
        <v>20</v>
      </c>
      <c r="N72" s="74">
        <f t="shared" si="51"/>
        <v>1312.6315789473695</v>
      </c>
      <c r="O72" s="77">
        <f t="shared" si="52"/>
        <v>65.631578947368467</v>
      </c>
      <c r="P72" s="78">
        <f t="shared" si="53"/>
        <v>0</v>
      </c>
      <c r="Q72" s="79">
        <f t="shared" si="54"/>
        <v>-3.6184210526315326</v>
      </c>
      <c r="R72" s="461">
        <f t="shared" si="50"/>
        <v>0.94774843245297424</v>
      </c>
      <c r="S72" s="631"/>
      <c r="T72" s="198">
        <v>0.31319444444444444</v>
      </c>
      <c r="U72" s="198">
        <v>0.35277777777777775</v>
      </c>
      <c r="V72" s="459">
        <v>6</v>
      </c>
      <c r="W72" s="469">
        <f t="shared" si="55"/>
        <v>56.999999999999957</v>
      </c>
      <c r="X72" s="83"/>
      <c r="Y72" s="83"/>
      <c r="Z72" s="84"/>
      <c r="AA72" s="84"/>
      <c r="AB72" s="616"/>
      <c r="AC72" s="616"/>
      <c r="AD72" s="457"/>
      <c r="AE72" s="457"/>
      <c r="AF72" s="78">
        <f>N72-K72</f>
        <v>-72.368421052630538</v>
      </c>
      <c r="AG72" s="461">
        <f>N72/K72</f>
        <v>0.94774843245297435</v>
      </c>
      <c r="AH72" s="631"/>
      <c r="AJ72" s="405">
        <f t="shared" si="56"/>
        <v>6</v>
      </c>
      <c r="AK72" s="406">
        <f t="shared" ref="AK72:AK81" si="58">IF(AJ72&gt;4,AJ72,"")</f>
        <v>6</v>
      </c>
    </row>
    <row r="73" spans="1:37" ht="19.2" customHeight="1">
      <c r="A73" s="646"/>
      <c r="B73" s="459" t="s">
        <v>167</v>
      </c>
      <c r="C73" s="213"/>
      <c r="D73" s="214" t="s">
        <v>122</v>
      </c>
      <c r="E73" s="215"/>
      <c r="F73" s="73">
        <v>53.36</v>
      </c>
      <c r="G73" s="74">
        <v>3471.06</v>
      </c>
      <c r="H73" s="75">
        <f t="shared" si="57"/>
        <v>185215.7616</v>
      </c>
      <c r="I73" s="457"/>
      <c r="J73" s="216">
        <v>19</v>
      </c>
      <c r="K73" s="217">
        <v>1636</v>
      </c>
      <c r="L73" s="118">
        <v>86.10526315789474</v>
      </c>
      <c r="M73" s="470">
        <v>19</v>
      </c>
      <c r="N73" s="74">
        <f t="shared" si="51"/>
        <v>1379.2291390728474</v>
      </c>
      <c r="O73" s="77">
        <f t="shared" si="52"/>
        <v>72.591007319623543</v>
      </c>
      <c r="P73" s="78">
        <f t="shared" si="53"/>
        <v>0</v>
      </c>
      <c r="Q73" s="79">
        <f t="shared" si="54"/>
        <v>-13.514255838271197</v>
      </c>
      <c r="R73" s="461">
        <f t="shared" si="50"/>
        <v>0.84304959601029783</v>
      </c>
      <c r="S73" s="631"/>
      <c r="T73" s="198">
        <v>0.36874999999999997</v>
      </c>
      <c r="U73" s="198">
        <v>0.47361111111111109</v>
      </c>
      <c r="V73" s="459">
        <v>23</v>
      </c>
      <c r="W73" s="469">
        <f t="shared" si="55"/>
        <v>151.00000000000003</v>
      </c>
      <c r="X73" s="218">
        <v>0.35694444444444445</v>
      </c>
      <c r="Y73" s="218">
        <v>0.36805555555555558</v>
      </c>
      <c r="Z73" s="159"/>
      <c r="AA73" s="159"/>
      <c r="AB73" s="616"/>
      <c r="AC73" s="616"/>
      <c r="AD73" s="457"/>
      <c r="AE73" s="457"/>
      <c r="AF73" s="78">
        <f>N73-K73</f>
        <v>-256.77086092715263</v>
      </c>
      <c r="AG73" s="461">
        <f>N73/K73</f>
        <v>0.84304959601029794</v>
      </c>
      <c r="AH73" s="631"/>
      <c r="AJ73" s="405">
        <f t="shared" si="56"/>
        <v>6.0000000000000586</v>
      </c>
      <c r="AK73" s="406">
        <f t="shared" si="58"/>
        <v>6.0000000000000586</v>
      </c>
    </row>
    <row r="74" spans="1:37" ht="19.2" customHeight="1">
      <c r="A74" s="646"/>
      <c r="B74" s="459" t="s">
        <v>167</v>
      </c>
      <c r="C74" s="213"/>
      <c r="D74" s="214" t="s">
        <v>125</v>
      </c>
      <c r="E74" s="215"/>
      <c r="F74" s="73">
        <v>53.76</v>
      </c>
      <c r="G74" s="212">
        <v>2189</v>
      </c>
      <c r="H74" s="75">
        <f t="shared" si="57"/>
        <v>117680.64</v>
      </c>
      <c r="I74" s="459"/>
      <c r="J74" s="76">
        <v>16</v>
      </c>
      <c r="K74" s="74">
        <v>1440</v>
      </c>
      <c r="L74" s="77">
        <v>90</v>
      </c>
      <c r="M74" s="470">
        <v>16</v>
      </c>
      <c r="N74" s="74">
        <f t="shared" si="51"/>
        <v>1340.2040816326535</v>
      </c>
      <c r="O74" s="77">
        <f t="shared" si="52"/>
        <v>83.762755102040842</v>
      </c>
      <c r="P74" s="78">
        <f t="shared" si="53"/>
        <v>0</v>
      </c>
      <c r="Q74" s="79">
        <f t="shared" si="54"/>
        <v>-6.2372448979591582</v>
      </c>
      <c r="R74" s="461">
        <f t="shared" si="50"/>
        <v>0.93069727891156495</v>
      </c>
      <c r="S74" s="631"/>
      <c r="T74" s="198">
        <v>0.51458333333333328</v>
      </c>
      <c r="U74" s="198">
        <v>0.58263888888888882</v>
      </c>
      <c r="V74" s="459">
        <v>6</v>
      </c>
      <c r="W74" s="469">
        <f t="shared" si="55"/>
        <v>97.999999999999972</v>
      </c>
      <c r="X74" s="218"/>
      <c r="Y74" s="218"/>
      <c r="Z74" s="159"/>
      <c r="AA74" s="159"/>
      <c r="AB74" s="616"/>
      <c r="AC74" s="616"/>
      <c r="AD74" s="457"/>
      <c r="AE74" s="457"/>
      <c r="AF74" s="78">
        <f t="shared" ref="AF74:AF80" si="59">N74-K74</f>
        <v>-99.79591836734653</v>
      </c>
      <c r="AG74" s="461">
        <f t="shared" ref="AG74:AG80" si="60">N74/K74</f>
        <v>0.93069727891156495</v>
      </c>
      <c r="AH74" s="631"/>
      <c r="AJ74" s="405">
        <f t="shared" si="56"/>
        <v>6</v>
      </c>
      <c r="AK74" s="406">
        <f t="shared" si="58"/>
        <v>6</v>
      </c>
    </row>
    <row r="75" spans="1:37" ht="19.2" customHeight="1">
      <c r="A75" s="646"/>
      <c r="B75" s="459" t="s">
        <v>167</v>
      </c>
      <c r="C75" s="94"/>
      <c r="D75" s="214" t="s">
        <v>124</v>
      </c>
      <c r="E75" s="215"/>
      <c r="F75" s="73">
        <v>47.51</v>
      </c>
      <c r="G75" s="212">
        <v>1678</v>
      </c>
      <c r="H75" s="75">
        <f t="shared" si="57"/>
        <v>79721.78</v>
      </c>
      <c r="I75" s="459"/>
      <c r="J75" s="129">
        <v>17</v>
      </c>
      <c r="K75" s="85">
        <v>1440</v>
      </c>
      <c r="L75" s="118">
        <v>84.705882352941174</v>
      </c>
      <c r="M75" s="470">
        <v>17</v>
      </c>
      <c r="N75" s="74">
        <f t="shared" si="51"/>
        <v>1324.7368421052622</v>
      </c>
      <c r="O75" s="77">
        <f t="shared" si="52"/>
        <v>77.925696594427194</v>
      </c>
      <c r="P75" s="78">
        <f t="shared" si="53"/>
        <v>0</v>
      </c>
      <c r="Q75" s="79">
        <f t="shared" si="54"/>
        <v>-6.78018575851398</v>
      </c>
      <c r="R75" s="461">
        <f t="shared" si="50"/>
        <v>0.91995614035087658</v>
      </c>
      <c r="S75" s="631"/>
      <c r="T75" s="198">
        <v>0.5972222222222221</v>
      </c>
      <c r="U75" s="198">
        <v>0.64999999999999991</v>
      </c>
      <c r="V75" s="459">
        <v>21</v>
      </c>
      <c r="W75" s="469">
        <f t="shared" si="55"/>
        <v>76.000000000000057</v>
      </c>
      <c r="X75" s="218">
        <v>0.58680555555555558</v>
      </c>
      <c r="Y75" s="218">
        <v>0.59583333333333333</v>
      </c>
      <c r="Z75" s="159"/>
      <c r="AA75" s="159"/>
      <c r="AB75" s="616"/>
      <c r="AC75" s="616"/>
      <c r="AD75" s="457"/>
      <c r="AE75" s="457"/>
      <c r="AF75" s="78">
        <f t="shared" si="59"/>
        <v>-115.26315789473779</v>
      </c>
      <c r="AG75" s="461">
        <f t="shared" si="60"/>
        <v>0.91995614035087658</v>
      </c>
      <c r="AH75" s="631"/>
      <c r="AJ75" s="405">
        <f t="shared" si="56"/>
        <v>6.0000000000001386</v>
      </c>
      <c r="AK75" s="406">
        <f t="shared" si="58"/>
        <v>6.0000000000001386</v>
      </c>
    </row>
    <row r="76" spans="1:37" ht="19.2" customHeight="1">
      <c r="A76" s="646"/>
      <c r="B76" s="459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459"/>
      <c r="J76" s="76"/>
      <c r="K76" s="74"/>
      <c r="L76" s="77"/>
      <c r="M76" s="467"/>
      <c r="N76" s="74"/>
      <c r="O76" s="77"/>
      <c r="P76" s="78"/>
      <c r="Q76" s="79"/>
      <c r="R76" s="461"/>
      <c r="S76" s="631"/>
      <c r="T76" s="198"/>
      <c r="U76" s="198"/>
      <c r="V76" s="459"/>
      <c r="W76" s="469">
        <f t="shared" si="55"/>
        <v>0</v>
      </c>
      <c r="X76" s="218"/>
      <c r="Y76" s="218"/>
      <c r="Z76" s="159"/>
      <c r="AA76" s="159"/>
      <c r="AB76" s="616"/>
      <c r="AC76" s="616"/>
      <c r="AD76" s="457"/>
      <c r="AE76" s="457"/>
      <c r="AF76" s="78">
        <f t="shared" si="59"/>
        <v>0</v>
      </c>
      <c r="AG76" s="461" t="e">
        <f t="shared" si="60"/>
        <v>#DIV/0!</v>
      </c>
      <c r="AH76" s="631"/>
      <c r="AJ76" s="405" t="str">
        <f t="shared" si="56"/>
        <v/>
      </c>
      <c r="AK76" s="406" t="str">
        <f t="shared" si="58"/>
        <v/>
      </c>
    </row>
    <row r="77" spans="1:37" ht="19.2" customHeight="1">
      <c r="A77" s="646"/>
      <c r="B77" s="459">
        <v>0</v>
      </c>
      <c r="C77" s="465"/>
      <c r="D77" s="71"/>
      <c r="E77" s="72"/>
      <c r="F77" s="73" t="s">
        <v>161</v>
      </c>
      <c r="G77" s="212"/>
      <c r="H77" s="75"/>
      <c r="I77" s="457"/>
      <c r="J77" s="76"/>
      <c r="K77" s="212"/>
      <c r="L77" s="77"/>
      <c r="M77" s="467"/>
      <c r="N77" s="74"/>
      <c r="O77" s="77"/>
      <c r="P77" s="78"/>
      <c r="Q77" s="79"/>
      <c r="R77" s="461"/>
      <c r="S77" s="631"/>
      <c r="T77" s="198"/>
      <c r="U77" s="198"/>
      <c r="V77" s="459"/>
      <c r="W77" s="469">
        <f t="shared" si="55"/>
        <v>0</v>
      </c>
      <c r="X77" s="218"/>
      <c r="Y77" s="218"/>
      <c r="Z77" s="159"/>
      <c r="AA77" s="159"/>
      <c r="AB77" s="616"/>
      <c r="AC77" s="616"/>
      <c r="AD77" s="457"/>
      <c r="AE77" s="457"/>
      <c r="AF77" s="78">
        <f t="shared" si="59"/>
        <v>0</v>
      </c>
      <c r="AG77" s="461" t="e">
        <f t="shared" si="60"/>
        <v>#DIV/0!</v>
      </c>
      <c r="AH77" s="631"/>
      <c r="AJ77" s="405" t="str">
        <f t="shared" si="56"/>
        <v/>
      </c>
      <c r="AK77" s="406" t="str">
        <f t="shared" si="58"/>
        <v/>
      </c>
    </row>
    <row r="78" spans="1:37" ht="19.2" customHeight="1">
      <c r="A78" s="646"/>
      <c r="B78" s="459">
        <v>0</v>
      </c>
      <c r="C78" s="465"/>
      <c r="D78" s="71"/>
      <c r="E78" s="72"/>
      <c r="F78" s="73" t="s">
        <v>161</v>
      </c>
      <c r="G78" s="85"/>
      <c r="H78" s="75"/>
      <c r="I78" s="457"/>
      <c r="J78" s="129"/>
      <c r="K78" s="85"/>
      <c r="L78" s="118"/>
      <c r="M78" s="467"/>
      <c r="N78" s="74"/>
      <c r="O78" s="77"/>
      <c r="P78" s="78"/>
      <c r="Q78" s="79"/>
      <c r="R78" s="461"/>
      <c r="S78" s="631"/>
      <c r="T78" s="198"/>
      <c r="U78" s="198"/>
      <c r="V78" s="459"/>
      <c r="W78" s="469">
        <f t="shared" si="55"/>
        <v>0</v>
      </c>
      <c r="X78" s="218"/>
      <c r="Y78" s="218"/>
      <c r="Z78" s="159"/>
      <c r="AA78" s="159"/>
      <c r="AB78" s="616"/>
      <c r="AC78" s="616"/>
      <c r="AD78" s="457"/>
      <c r="AE78" s="457"/>
      <c r="AF78" s="78">
        <f t="shared" si="59"/>
        <v>0</v>
      </c>
      <c r="AG78" s="461" t="e">
        <f t="shared" si="60"/>
        <v>#DIV/0!</v>
      </c>
      <c r="AH78" s="631"/>
      <c r="AJ78" s="405" t="str">
        <f t="shared" si="56"/>
        <v/>
      </c>
      <c r="AK78" s="406" t="str">
        <f t="shared" si="58"/>
        <v/>
      </c>
    </row>
    <row r="79" spans="1:37" ht="19.2" customHeight="1">
      <c r="A79" s="646"/>
      <c r="B79" s="459">
        <v>0</v>
      </c>
      <c r="C79" s="213"/>
      <c r="D79" s="214"/>
      <c r="E79" s="215"/>
      <c r="F79" s="73" t="s">
        <v>161</v>
      </c>
      <c r="G79" s="85"/>
      <c r="H79" s="75"/>
      <c r="I79" s="457"/>
      <c r="J79" s="129"/>
      <c r="K79" s="85"/>
      <c r="L79" s="118"/>
      <c r="M79" s="467"/>
      <c r="N79" s="85"/>
      <c r="O79" s="219"/>
      <c r="P79" s="140"/>
      <c r="Q79" s="220"/>
      <c r="R79" s="141"/>
      <c r="S79" s="631"/>
      <c r="T79" s="198"/>
      <c r="U79" s="198"/>
      <c r="V79" s="459"/>
      <c r="W79" s="469">
        <f t="shared" si="55"/>
        <v>0</v>
      </c>
      <c r="X79" s="218"/>
      <c r="Y79" s="218"/>
      <c r="Z79" s="159"/>
      <c r="AA79" s="159"/>
      <c r="AB79" s="616"/>
      <c r="AC79" s="616"/>
      <c r="AD79" s="457"/>
      <c r="AE79" s="457"/>
      <c r="AF79" s="78">
        <f t="shared" si="59"/>
        <v>0</v>
      </c>
      <c r="AG79" s="461" t="e">
        <f t="shared" si="60"/>
        <v>#DIV/0!</v>
      </c>
      <c r="AH79" s="631"/>
      <c r="AJ79" s="405" t="str">
        <f t="shared" si="56"/>
        <v/>
      </c>
      <c r="AK79" s="406" t="str">
        <f t="shared" si="58"/>
        <v/>
      </c>
    </row>
    <row r="80" spans="1:37" ht="19.2" customHeight="1">
      <c r="A80" s="646"/>
      <c r="B80" s="459">
        <v>0</v>
      </c>
      <c r="C80" s="465"/>
      <c r="D80" s="71"/>
      <c r="E80" s="72"/>
      <c r="F80" s="73" t="s">
        <v>161</v>
      </c>
      <c r="G80" s="85"/>
      <c r="H80" s="75"/>
      <c r="I80" s="457"/>
      <c r="J80" s="129"/>
      <c r="K80" s="85"/>
      <c r="L80" s="118"/>
      <c r="M80" s="467"/>
      <c r="N80" s="85"/>
      <c r="O80" s="221"/>
      <c r="P80" s="84"/>
      <c r="Q80" s="119"/>
      <c r="R80" s="463"/>
      <c r="S80" s="631"/>
      <c r="T80" s="198"/>
      <c r="U80" s="198"/>
      <c r="V80" s="459"/>
      <c r="W80" s="469">
        <f t="shared" si="55"/>
        <v>0</v>
      </c>
      <c r="X80" s="218"/>
      <c r="Y80" s="218"/>
      <c r="Z80" s="159"/>
      <c r="AA80" s="159"/>
      <c r="AB80" s="616"/>
      <c r="AC80" s="616"/>
      <c r="AD80" s="457"/>
      <c r="AE80" s="457"/>
      <c r="AF80" s="78">
        <f t="shared" si="59"/>
        <v>0</v>
      </c>
      <c r="AG80" s="461" t="e">
        <f t="shared" si="60"/>
        <v>#DIV/0!</v>
      </c>
      <c r="AH80" s="631"/>
      <c r="AJ80" s="405" t="str">
        <f t="shared" si="56"/>
        <v/>
      </c>
      <c r="AK80" s="406" t="str">
        <f t="shared" si="58"/>
        <v/>
      </c>
    </row>
    <row r="81" spans="1:37" ht="19.2" customHeight="1">
      <c r="A81" s="646"/>
      <c r="B81" s="459">
        <v>0</v>
      </c>
      <c r="C81" s="465"/>
      <c r="D81" s="71"/>
      <c r="E81" s="72"/>
      <c r="F81" s="73" t="s">
        <v>161</v>
      </c>
      <c r="G81" s="85"/>
      <c r="H81" s="116"/>
      <c r="I81" s="457"/>
      <c r="J81" s="129"/>
      <c r="K81" s="85"/>
      <c r="L81" s="118"/>
      <c r="M81" s="467"/>
      <c r="N81" s="85"/>
      <c r="O81" s="221"/>
      <c r="P81" s="84"/>
      <c r="Q81" s="119"/>
      <c r="R81" s="463"/>
      <c r="S81" s="631"/>
      <c r="T81" s="198"/>
      <c r="U81" s="198"/>
      <c r="V81" s="459"/>
      <c r="W81" s="469">
        <f t="shared" si="55"/>
        <v>0</v>
      </c>
      <c r="X81" s="218"/>
      <c r="Y81" s="218"/>
      <c r="Z81" s="159"/>
      <c r="AA81" s="159"/>
      <c r="AB81" s="616"/>
      <c r="AC81" s="616"/>
      <c r="AD81" s="457"/>
      <c r="AE81" s="457"/>
      <c r="AF81" s="78"/>
      <c r="AG81" s="160"/>
      <c r="AH81" s="631"/>
      <c r="AJ81" s="405" t="str">
        <f t="shared" si="56"/>
        <v/>
      </c>
      <c r="AK81" s="406" t="str">
        <f t="shared" si="58"/>
        <v/>
      </c>
    </row>
    <row r="82" spans="1:37" ht="19.2" customHeight="1">
      <c r="A82" s="647"/>
      <c r="B82" s="203">
        <v>0</v>
      </c>
      <c r="C82" s="132" t="s">
        <v>454</v>
      </c>
      <c r="D82" s="612" t="s">
        <v>377</v>
      </c>
      <c r="E82" s="612"/>
      <c r="F82" s="222"/>
      <c r="G82" s="103"/>
      <c r="H82" s="134"/>
      <c r="I82" s="135"/>
      <c r="J82" s="103">
        <v>17.666666666666668</v>
      </c>
      <c r="K82" s="103">
        <v>1473.5</v>
      </c>
      <c r="L82" s="136">
        <v>83.968524251805988</v>
      </c>
      <c r="M82" s="103">
        <f t="shared" ref="M82:O82" si="61">AVERAGE(M70:M81)</f>
        <v>17.833333333333332</v>
      </c>
      <c r="N82" s="103">
        <f t="shared" si="61"/>
        <v>1331.6506834624208</v>
      </c>
      <c r="O82" s="223">
        <f t="shared" si="61"/>
        <v>75.076127135129312</v>
      </c>
      <c r="P82" s="150">
        <f>M82-J82</f>
        <v>0.1666666666666643</v>
      </c>
      <c r="Q82" s="151">
        <f>N82-K82</f>
        <v>-141.84931653757917</v>
      </c>
      <c r="R82" s="209">
        <f>O82/L82</f>
        <v>0.89409844705606556</v>
      </c>
      <c r="S82" s="631"/>
      <c r="T82" s="198"/>
      <c r="U82" s="198"/>
      <c r="V82" s="459"/>
      <c r="W82" s="74"/>
      <c r="X82" s="77"/>
      <c r="Y82" s="77"/>
      <c r="Z82" s="138">
        <f>SUM(Z70:Z81)</f>
        <v>0</v>
      </c>
      <c r="AA82" s="138">
        <f>SUM(AA70:AA81)</f>
        <v>0</v>
      </c>
      <c r="AB82" s="616"/>
      <c r="AC82" s="616"/>
      <c r="AD82" s="139">
        <f>SUM(AD70:AD81)</f>
        <v>0</v>
      </c>
      <c r="AE82" s="139">
        <f>SUM(AE70:AE81)</f>
        <v>0</v>
      </c>
      <c r="AF82" s="78">
        <f>N82-K82</f>
        <v>-141.84931653757917</v>
      </c>
      <c r="AG82" s="461">
        <f>N82/K82</f>
        <v>0.9037330732693728</v>
      </c>
      <c r="AH82" s="631"/>
    </row>
    <row r="83" spans="1:37" ht="19.2" customHeight="1">
      <c r="A83" s="639" t="s">
        <v>455</v>
      </c>
      <c r="B83" s="142" t="s">
        <v>163</v>
      </c>
      <c r="C83" s="465"/>
      <c r="D83" s="225" t="s">
        <v>100</v>
      </c>
      <c r="E83" s="72"/>
      <c r="F83" s="174">
        <v>27.5</v>
      </c>
      <c r="G83" s="74">
        <v>233</v>
      </c>
      <c r="H83" s="116">
        <f t="shared" ref="H83:H94" si="62">F83*G83</f>
        <v>6407.5</v>
      </c>
      <c r="I83" s="459"/>
      <c r="J83" s="129">
        <v>12</v>
      </c>
      <c r="K83" s="85">
        <v>2000</v>
      </c>
      <c r="L83" s="118">
        <v>166.66666666666666</v>
      </c>
      <c r="M83" s="467">
        <v>10</v>
      </c>
      <c r="N83" s="85">
        <f t="shared" ref="N83:N90" si="63">G83/W83*60</f>
        <v>1270.9090909090955</v>
      </c>
      <c r="O83" s="221">
        <f t="shared" ref="O83:O90" si="64">N83/M83</f>
        <v>127.09090909090955</v>
      </c>
      <c r="P83" s="84">
        <f t="shared" ref="P83:P90" si="65">M83-J83</f>
        <v>-2</v>
      </c>
      <c r="Q83" s="119">
        <f t="shared" ref="Q83:Q90" si="66">O83-L83</f>
        <v>-39.575757575757109</v>
      </c>
      <c r="R83" s="224">
        <f t="shared" ref="R83:R90" si="67">O83/L83</f>
        <v>0.7625454545454573</v>
      </c>
      <c r="S83" s="631">
        <f>R95</f>
        <v>0.84589683782154368</v>
      </c>
      <c r="T83" s="198">
        <v>0.33333333333333331</v>
      </c>
      <c r="U83" s="198">
        <v>0.34097222222222218</v>
      </c>
      <c r="V83" s="459">
        <v>5</v>
      </c>
      <c r="W83" s="469">
        <f t="shared" ref="W83:W93" si="68">(U83-T83)*24*60</f>
        <v>10.999999999999961</v>
      </c>
      <c r="X83" s="83"/>
      <c r="Y83" s="83"/>
      <c r="Z83" s="84"/>
      <c r="AA83" s="84"/>
      <c r="AB83" s="616"/>
      <c r="AC83" s="616"/>
      <c r="AD83" s="457"/>
      <c r="AE83" s="457"/>
      <c r="AF83" s="78">
        <f t="shared" ref="AF83:AF173" si="69">N83-K83</f>
        <v>-729.09090909090446</v>
      </c>
      <c r="AG83" s="461">
        <f t="shared" ref="AG83:AG173" si="70">N83/K83</f>
        <v>0.63545454545454771</v>
      </c>
      <c r="AH83" s="631">
        <f>AG95</f>
        <v>0.82982405707881191</v>
      </c>
      <c r="AJ83" s="62" t="str">
        <f>A83</f>
        <v>四度四組
(ET-55)</v>
      </c>
      <c r="AK83" s="404">
        <f>AVERAGE(AK84:AK94)</f>
        <v>6.4285714285714288</v>
      </c>
    </row>
    <row r="84" spans="1:37" ht="19.2" customHeight="1">
      <c r="A84" s="640"/>
      <c r="B84" s="142" t="s">
        <v>167</v>
      </c>
      <c r="C84" s="157"/>
      <c r="D84" s="225" t="s">
        <v>126</v>
      </c>
      <c r="E84" s="72"/>
      <c r="F84" s="174">
        <v>61.11</v>
      </c>
      <c r="G84" s="74">
        <v>2283</v>
      </c>
      <c r="H84" s="116">
        <f t="shared" si="62"/>
        <v>139514.13</v>
      </c>
      <c r="I84" s="459"/>
      <c r="J84" s="129">
        <v>16</v>
      </c>
      <c r="K84" s="85">
        <v>1440</v>
      </c>
      <c r="L84" s="118">
        <v>90</v>
      </c>
      <c r="M84" s="467">
        <v>16</v>
      </c>
      <c r="N84" s="85">
        <f t="shared" si="63"/>
        <v>1304.5714285714282</v>
      </c>
      <c r="O84" s="221">
        <f t="shared" si="64"/>
        <v>81.535714285714263</v>
      </c>
      <c r="P84" s="84">
        <f t="shared" si="65"/>
        <v>0</v>
      </c>
      <c r="Q84" s="119">
        <f t="shared" si="66"/>
        <v>-8.4642857142857366</v>
      </c>
      <c r="R84" s="224">
        <f t="shared" si="67"/>
        <v>0.90595238095238073</v>
      </c>
      <c r="S84" s="631"/>
      <c r="T84" s="198">
        <v>0.34652777777777771</v>
      </c>
      <c r="U84" s="198">
        <v>0.4194444444444444</v>
      </c>
      <c r="V84" s="459">
        <v>8</v>
      </c>
      <c r="W84" s="469">
        <f t="shared" si="68"/>
        <v>105.00000000000003</v>
      </c>
      <c r="X84" s="83"/>
      <c r="Y84" s="83"/>
      <c r="Z84" s="84"/>
      <c r="AA84" s="84"/>
      <c r="AB84" s="616"/>
      <c r="AC84" s="616"/>
      <c r="AD84" s="457"/>
      <c r="AE84" s="457"/>
      <c r="AF84" s="78">
        <f t="shared" si="69"/>
        <v>-135.42857142857179</v>
      </c>
      <c r="AG84" s="461">
        <f t="shared" si="70"/>
        <v>0.90595238095238073</v>
      </c>
      <c r="AH84" s="631"/>
      <c r="AJ84" s="405">
        <f t="shared" ref="AJ84:AJ94" si="71">IF((IF(V84&lt;10,V84,(X84-U83)*1440))=0,"",IF(V84&lt;10,V84,(X84-U83)*1440))</f>
        <v>8</v>
      </c>
      <c r="AK84" s="406">
        <f>IF(AJ84&gt;4,AJ84,"")</f>
        <v>8</v>
      </c>
    </row>
    <row r="85" spans="1:37" ht="19.2" customHeight="1">
      <c r="A85" s="640"/>
      <c r="B85" s="142" t="s">
        <v>167</v>
      </c>
      <c r="C85" s="127"/>
      <c r="D85" s="225" t="s">
        <v>127</v>
      </c>
      <c r="E85" s="72"/>
      <c r="F85" s="174">
        <v>61.09</v>
      </c>
      <c r="G85" s="74">
        <v>1863</v>
      </c>
      <c r="H85" s="116">
        <f t="shared" si="62"/>
        <v>113810.67000000001</v>
      </c>
      <c r="I85" s="459"/>
      <c r="J85" s="129">
        <v>17</v>
      </c>
      <c r="K85" s="85">
        <v>1440</v>
      </c>
      <c r="L85" s="118">
        <v>84.705882352941174</v>
      </c>
      <c r="M85" s="467">
        <v>17</v>
      </c>
      <c r="N85" s="85">
        <f t="shared" si="63"/>
        <v>1299.7674418604647</v>
      </c>
      <c r="O85" s="221">
        <f t="shared" si="64"/>
        <v>76.456908344733222</v>
      </c>
      <c r="P85" s="84">
        <f t="shared" si="65"/>
        <v>0</v>
      </c>
      <c r="Q85" s="119">
        <f t="shared" si="66"/>
        <v>-8.2489740082079521</v>
      </c>
      <c r="R85" s="224">
        <f t="shared" si="67"/>
        <v>0.90261627906976727</v>
      </c>
      <c r="S85" s="631"/>
      <c r="T85" s="198">
        <v>0.42361111111111105</v>
      </c>
      <c r="U85" s="198">
        <v>0.48333333333333328</v>
      </c>
      <c r="V85" s="459">
        <v>6</v>
      </c>
      <c r="W85" s="469">
        <f t="shared" si="68"/>
        <v>86.000000000000014</v>
      </c>
      <c r="X85" s="83"/>
      <c r="Y85" s="83"/>
      <c r="Z85" s="84"/>
      <c r="AA85" s="84"/>
      <c r="AB85" s="616"/>
      <c r="AC85" s="616"/>
      <c r="AD85" s="457"/>
      <c r="AE85" s="457"/>
      <c r="AF85" s="78">
        <f t="shared" si="69"/>
        <v>-140.23255813953529</v>
      </c>
      <c r="AG85" s="461">
        <f t="shared" si="70"/>
        <v>0.90261627906976716</v>
      </c>
      <c r="AH85" s="631"/>
      <c r="AJ85" s="405">
        <f t="shared" si="71"/>
        <v>6</v>
      </c>
      <c r="AK85" s="406">
        <f t="shared" ref="AK85:AK94" si="72">IF(AJ85&gt;4,AJ85,"")</f>
        <v>6</v>
      </c>
    </row>
    <row r="86" spans="1:37" ht="19.2" customHeight="1">
      <c r="A86" s="640"/>
      <c r="B86" s="142" t="s">
        <v>163</v>
      </c>
      <c r="C86" s="127"/>
      <c r="D86" s="225" t="s">
        <v>131</v>
      </c>
      <c r="E86" s="72"/>
      <c r="F86" s="174">
        <v>28.26</v>
      </c>
      <c r="G86" s="74">
        <v>369</v>
      </c>
      <c r="H86" s="116">
        <f t="shared" si="62"/>
        <v>10427.94</v>
      </c>
      <c r="I86" s="459"/>
      <c r="J86" s="129">
        <v>19</v>
      </c>
      <c r="K86" s="85">
        <v>1200</v>
      </c>
      <c r="L86" s="118">
        <v>63.157894736842103</v>
      </c>
      <c r="M86" s="467">
        <v>19</v>
      </c>
      <c r="N86" s="85">
        <f t="shared" si="63"/>
        <v>962.60869565217058</v>
      </c>
      <c r="O86" s="221">
        <f t="shared" si="64"/>
        <v>50.663615560640558</v>
      </c>
      <c r="P86" s="84">
        <f t="shared" si="65"/>
        <v>0</v>
      </c>
      <c r="Q86" s="119">
        <f t="shared" si="66"/>
        <v>-12.494279176201545</v>
      </c>
      <c r="R86" s="224">
        <f t="shared" si="67"/>
        <v>0.80217391304347552</v>
      </c>
      <c r="S86" s="631"/>
      <c r="T86" s="198">
        <v>0.52499999999999991</v>
      </c>
      <c r="U86" s="198">
        <v>0.54097222222222219</v>
      </c>
      <c r="V86" s="459">
        <v>7</v>
      </c>
      <c r="W86" s="469">
        <f t="shared" si="68"/>
        <v>23.000000000000078</v>
      </c>
      <c r="X86" s="83"/>
      <c r="Y86" s="83"/>
      <c r="Z86" s="84"/>
      <c r="AA86" s="84"/>
      <c r="AB86" s="616"/>
      <c r="AC86" s="616"/>
      <c r="AD86" s="457"/>
      <c r="AE86" s="457"/>
      <c r="AF86" s="78">
        <f>N86-K86</f>
        <v>-237.39130434782942</v>
      </c>
      <c r="AG86" s="461">
        <f>N86/K86</f>
        <v>0.80217391304347552</v>
      </c>
      <c r="AH86" s="631"/>
      <c r="AJ86" s="405">
        <f t="shared" si="71"/>
        <v>7</v>
      </c>
      <c r="AK86" s="406">
        <f t="shared" si="72"/>
        <v>7</v>
      </c>
    </row>
    <row r="87" spans="1:37" ht="19.2" customHeight="1">
      <c r="A87" s="640"/>
      <c r="B87" s="142" t="s">
        <v>167</v>
      </c>
      <c r="C87" s="465"/>
      <c r="D87" s="71" t="s">
        <v>122</v>
      </c>
      <c r="E87" s="72"/>
      <c r="F87" s="174">
        <v>53.36</v>
      </c>
      <c r="G87" s="85">
        <v>761.93999999999994</v>
      </c>
      <c r="H87" s="116">
        <f t="shared" si="62"/>
        <v>40657.118399999999</v>
      </c>
      <c r="I87" s="459"/>
      <c r="J87" s="129">
        <v>19</v>
      </c>
      <c r="K87" s="85">
        <v>1636</v>
      </c>
      <c r="L87" s="118">
        <v>86.10526315789474</v>
      </c>
      <c r="M87" s="467">
        <v>19</v>
      </c>
      <c r="N87" s="85">
        <f t="shared" si="63"/>
        <v>1306.1828571428557</v>
      </c>
      <c r="O87" s="221">
        <f t="shared" si="64"/>
        <v>68.746466165413452</v>
      </c>
      <c r="P87" s="84">
        <f t="shared" si="65"/>
        <v>0</v>
      </c>
      <c r="Q87" s="119">
        <f t="shared" si="66"/>
        <v>-17.358796992481288</v>
      </c>
      <c r="R87" s="224">
        <f t="shared" si="67"/>
        <v>0.79840027942717329</v>
      </c>
      <c r="S87" s="631"/>
      <c r="T87" s="198">
        <v>0.54513888888888884</v>
      </c>
      <c r="U87" s="198">
        <v>0.56944444444444442</v>
      </c>
      <c r="V87" s="459">
        <v>6</v>
      </c>
      <c r="W87" s="469">
        <f t="shared" si="68"/>
        <v>35.000000000000036</v>
      </c>
      <c r="X87" s="83"/>
      <c r="Y87" s="83"/>
      <c r="Z87" s="84"/>
      <c r="AA87" s="84"/>
      <c r="AB87" s="616"/>
      <c r="AC87" s="616"/>
      <c r="AD87" s="457"/>
      <c r="AE87" s="457"/>
      <c r="AF87" s="78">
        <f>N87-K87</f>
        <v>-329.81714285714429</v>
      </c>
      <c r="AG87" s="461">
        <f>N87/K87</f>
        <v>0.7984002794271734</v>
      </c>
      <c r="AH87" s="631"/>
      <c r="AJ87" s="405">
        <f t="shared" si="71"/>
        <v>6</v>
      </c>
      <c r="AK87" s="406">
        <f t="shared" si="72"/>
        <v>6</v>
      </c>
    </row>
    <row r="88" spans="1:37" ht="19.2" customHeight="1">
      <c r="A88" s="640"/>
      <c r="B88" s="142" t="s">
        <v>163</v>
      </c>
      <c r="C88" s="465"/>
      <c r="D88" s="71" t="s">
        <v>111</v>
      </c>
      <c r="E88" s="72"/>
      <c r="F88" s="174">
        <v>43.14</v>
      </c>
      <c r="G88" s="148">
        <v>208.32000000000002</v>
      </c>
      <c r="H88" s="116">
        <f t="shared" si="62"/>
        <v>8986.9248000000007</v>
      </c>
      <c r="I88" s="459">
        <v>1</v>
      </c>
      <c r="J88" s="129">
        <v>17</v>
      </c>
      <c r="K88" s="85">
        <v>1500</v>
      </c>
      <c r="L88" s="118">
        <v>88.235294117647058</v>
      </c>
      <c r="M88" s="467">
        <v>17</v>
      </c>
      <c r="N88" s="85">
        <f t="shared" si="63"/>
        <v>1249.9200000000046</v>
      </c>
      <c r="O88" s="221">
        <f t="shared" si="64"/>
        <v>73.524705882353217</v>
      </c>
      <c r="P88" s="84">
        <f t="shared" si="65"/>
        <v>0</v>
      </c>
      <c r="Q88" s="119">
        <f t="shared" si="66"/>
        <v>-14.710588235293841</v>
      </c>
      <c r="R88" s="224">
        <f t="shared" si="67"/>
        <v>0.83328000000000313</v>
      </c>
      <c r="S88" s="631"/>
      <c r="T88" s="198">
        <v>0.57291666666666663</v>
      </c>
      <c r="U88" s="198">
        <v>0.57986111111111105</v>
      </c>
      <c r="V88" s="459">
        <v>5</v>
      </c>
      <c r="W88" s="469">
        <f t="shared" si="68"/>
        <v>9.9999999999999645</v>
      </c>
      <c r="X88" s="83"/>
      <c r="Y88" s="83"/>
      <c r="Z88" s="84"/>
      <c r="AA88" s="84"/>
      <c r="AB88" s="616"/>
      <c r="AC88" s="616"/>
      <c r="AD88" s="457"/>
      <c r="AE88" s="457"/>
      <c r="AF88" s="78">
        <f>N88-K88</f>
        <v>-250.07999999999538</v>
      </c>
      <c r="AG88" s="461">
        <f>N88/K88</f>
        <v>0.83328000000000313</v>
      </c>
      <c r="AH88" s="631"/>
      <c r="AJ88" s="405">
        <f t="shared" si="71"/>
        <v>5</v>
      </c>
      <c r="AK88" s="406">
        <f t="shared" si="72"/>
        <v>5</v>
      </c>
    </row>
    <row r="89" spans="1:37" ht="19.2" customHeight="1">
      <c r="A89" s="640"/>
      <c r="B89" s="142" t="s">
        <v>164</v>
      </c>
      <c r="C89" s="465"/>
      <c r="D89" s="71" t="s">
        <v>105</v>
      </c>
      <c r="E89" s="72"/>
      <c r="F89" s="174">
        <v>49.91</v>
      </c>
      <c r="G89" s="148">
        <v>541.4</v>
      </c>
      <c r="H89" s="116">
        <f t="shared" si="62"/>
        <v>27021.273999999998</v>
      </c>
      <c r="I89" s="459">
        <v>1</v>
      </c>
      <c r="J89" s="129">
        <v>17</v>
      </c>
      <c r="K89" s="85">
        <v>1565</v>
      </c>
      <c r="L89" s="118">
        <v>92.058823529411768</v>
      </c>
      <c r="M89" s="467">
        <v>17</v>
      </c>
      <c r="N89" s="85">
        <f t="shared" si="63"/>
        <v>1412.3478260869615</v>
      </c>
      <c r="O89" s="221">
        <f t="shared" si="64"/>
        <v>83.079283887468321</v>
      </c>
      <c r="P89" s="84">
        <f t="shared" si="65"/>
        <v>0</v>
      </c>
      <c r="Q89" s="119">
        <f t="shared" si="66"/>
        <v>-8.9795396419434468</v>
      </c>
      <c r="R89" s="224">
        <f t="shared" si="67"/>
        <v>0.90245867481594977</v>
      </c>
      <c r="S89" s="631"/>
      <c r="T89" s="198">
        <v>0.58541666666666659</v>
      </c>
      <c r="U89" s="198">
        <v>0.60138888888888875</v>
      </c>
      <c r="V89" s="459">
        <v>8</v>
      </c>
      <c r="W89" s="469">
        <f t="shared" si="68"/>
        <v>22.999999999999918</v>
      </c>
      <c r="X89" s="83"/>
      <c r="Y89" s="83"/>
      <c r="Z89" s="84"/>
      <c r="AA89" s="84"/>
      <c r="AB89" s="616"/>
      <c r="AC89" s="616"/>
      <c r="AD89" s="457"/>
      <c r="AE89" s="457"/>
      <c r="AF89" s="78">
        <f>N89-K89</f>
        <v>-152.6521739130385</v>
      </c>
      <c r="AG89" s="461">
        <f>N89/K89</f>
        <v>0.90245867481594988</v>
      </c>
      <c r="AH89" s="631"/>
      <c r="AJ89" s="405">
        <f t="shared" si="71"/>
        <v>8</v>
      </c>
      <c r="AK89" s="406">
        <f t="shared" si="72"/>
        <v>8</v>
      </c>
    </row>
    <row r="90" spans="1:37" ht="19.2" customHeight="1">
      <c r="A90" s="640"/>
      <c r="B90" s="142" t="s">
        <v>166</v>
      </c>
      <c r="C90" s="465"/>
      <c r="D90" s="71" t="s">
        <v>143</v>
      </c>
      <c r="E90" s="72"/>
      <c r="F90" s="174">
        <v>50.67</v>
      </c>
      <c r="G90" s="74">
        <v>1454</v>
      </c>
      <c r="H90" s="116">
        <f t="shared" si="62"/>
        <v>73674.180000000008</v>
      </c>
      <c r="I90" s="226"/>
      <c r="J90" s="129">
        <v>18</v>
      </c>
      <c r="K90" s="85">
        <v>1500</v>
      </c>
      <c r="L90" s="118">
        <v>83.333333333333329</v>
      </c>
      <c r="M90" s="467">
        <v>18</v>
      </c>
      <c r="N90" s="85">
        <f t="shared" si="63"/>
        <v>1384.7619047619062</v>
      </c>
      <c r="O90" s="221">
        <f t="shared" si="64"/>
        <v>76.931216931217008</v>
      </c>
      <c r="P90" s="84">
        <f t="shared" si="65"/>
        <v>0</v>
      </c>
      <c r="Q90" s="119">
        <f t="shared" si="66"/>
        <v>-6.4021164021163202</v>
      </c>
      <c r="R90" s="224">
        <f t="shared" si="67"/>
        <v>0.9231746031746042</v>
      </c>
      <c r="S90" s="631"/>
      <c r="T90" s="198">
        <v>0.70833333333333337</v>
      </c>
      <c r="U90" s="198">
        <v>0.75208333333333333</v>
      </c>
      <c r="V90" s="459">
        <v>5</v>
      </c>
      <c r="W90" s="469">
        <f t="shared" si="68"/>
        <v>62.999999999999936</v>
      </c>
      <c r="X90" s="227"/>
      <c r="Y90" s="227"/>
      <c r="Z90" s="84"/>
      <c r="AA90" s="84"/>
      <c r="AB90" s="616"/>
      <c r="AC90" s="616"/>
      <c r="AD90" s="457"/>
      <c r="AE90" s="457">
        <v>1</v>
      </c>
      <c r="AF90" s="78">
        <f t="shared" si="69"/>
        <v>-115.23809523809382</v>
      </c>
      <c r="AG90" s="461">
        <f t="shared" si="70"/>
        <v>0.92317460317460409</v>
      </c>
      <c r="AH90" s="631"/>
      <c r="AJ90" s="405">
        <f t="shared" si="71"/>
        <v>5</v>
      </c>
      <c r="AK90" s="406">
        <f t="shared" si="72"/>
        <v>5</v>
      </c>
    </row>
    <row r="91" spans="1:37" ht="19.2" customHeight="1">
      <c r="A91" s="640"/>
      <c r="B91" s="142">
        <v>0</v>
      </c>
      <c r="C91" s="465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467"/>
      <c r="N91" s="85"/>
      <c r="O91" s="221"/>
      <c r="P91" s="84"/>
      <c r="Q91" s="119"/>
      <c r="R91" s="224"/>
      <c r="S91" s="632"/>
      <c r="T91" s="198"/>
      <c r="U91" s="198"/>
      <c r="V91" s="459"/>
      <c r="W91" s="469">
        <f t="shared" si="68"/>
        <v>0</v>
      </c>
      <c r="X91" s="149"/>
      <c r="Y91" s="149"/>
      <c r="Z91" s="84"/>
      <c r="AA91" s="84"/>
      <c r="AB91" s="616"/>
      <c r="AC91" s="616"/>
      <c r="AD91" s="457"/>
      <c r="AE91" s="457"/>
      <c r="AF91" s="78">
        <f t="shared" si="69"/>
        <v>0</v>
      </c>
      <c r="AG91" s="461" t="e">
        <f t="shared" si="70"/>
        <v>#DIV/0!</v>
      </c>
      <c r="AH91" s="632"/>
      <c r="AJ91" s="405" t="str">
        <f t="shared" si="71"/>
        <v/>
      </c>
      <c r="AK91" s="406" t="str">
        <f t="shared" si="72"/>
        <v/>
      </c>
    </row>
    <row r="92" spans="1:37" ht="19.2" customHeight="1">
      <c r="A92" s="640"/>
      <c r="B92" s="142">
        <v>0</v>
      </c>
      <c r="C92" s="465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632"/>
      <c r="T92" s="198"/>
      <c r="U92" s="198"/>
      <c r="V92" s="459"/>
      <c r="W92" s="469">
        <f t="shared" si="68"/>
        <v>0</v>
      </c>
      <c r="X92" s="218"/>
      <c r="Y92" s="218"/>
      <c r="Z92" s="159"/>
      <c r="AA92" s="159"/>
      <c r="AB92" s="616"/>
      <c r="AC92" s="616"/>
      <c r="AD92" s="457"/>
      <c r="AE92" s="457"/>
      <c r="AF92" s="78">
        <f t="shared" si="69"/>
        <v>0</v>
      </c>
      <c r="AG92" s="461" t="e">
        <f t="shared" si="70"/>
        <v>#DIV/0!</v>
      </c>
      <c r="AH92" s="632"/>
      <c r="AJ92" s="405" t="str">
        <f t="shared" si="71"/>
        <v/>
      </c>
      <c r="AK92" s="406" t="str">
        <f t="shared" si="72"/>
        <v/>
      </c>
    </row>
    <row r="93" spans="1:37" ht="19.2" customHeight="1">
      <c r="A93" s="640"/>
      <c r="B93" s="471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467"/>
      <c r="N93" s="85"/>
      <c r="O93" s="118"/>
      <c r="P93" s="84"/>
      <c r="Q93" s="119"/>
      <c r="R93" s="458"/>
      <c r="S93" s="641"/>
      <c r="T93" s="232"/>
      <c r="U93" s="232"/>
      <c r="V93" s="471"/>
      <c r="W93" s="469">
        <f t="shared" si="68"/>
        <v>0</v>
      </c>
      <c r="X93" s="233"/>
      <c r="Y93" s="233"/>
      <c r="Z93" s="159"/>
      <c r="AA93" s="159"/>
      <c r="AB93" s="616"/>
      <c r="AC93" s="616"/>
      <c r="AD93" s="457"/>
      <c r="AE93" s="457"/>
      <c r="AF93" s="78">
        <f t="shared" si="69"/>
        <v>0</v>
      </c>
      <c r="AG93" s="461" t="e">
        <f t="shared" si="70"/>
        <v>#DIV/0!</v>
      </c>
      <c r="AH93" s="632"/>
      <c r="AJ93" s="405" t="str">
        <f t="shared" si="71"/>
        <v/>
      </c>
      <c r="AK93" s="406" t="str">
        <f t="shared" si="72"/>
        <v/>
      </c>
    </row>
    <row r="94" spans="1:37" ht="19.2" customHeight="1">
      <c r="A94" s="640"/>
      <c r="B94" s="471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458"/>
      <c r="S94" s="641"/>
      <c r="T94" s="232"/>
      <c r="U94" s="232"/>
      <c r="V94" s="471"/>
      <c r="W94" s="469">
        <f>(U94-T94)*24*60</f>
        <v>0</v>
      </c>
      <c r="X94" s="233"/>
      <c r="Y94" s="233"/>
      <c r="Z94" s="159"/>
      <c r="AA94" s="159"/>
      <c r="AB94" s="616"/>
      <c r="AC94" s="616"/>
      <c r="AD94" s="457"/>
      <c r="AE94" s="457"/>
      <c r="AF94" s="78">
        <f t="shared" si="69"/>
        <v>0</v>
      </c>
      <c r="AG94" s="461" t="e">
        <f t="shared" si="70"/>
        <v>#DIV/0!</v>
      </c>
      <c r="AH94" s="632"/>
      <c r="AJ94" s="405" t="str">
        <f t="shared" si="71"/>
        <v/>
      </c>
      <c r="AK94" s="406" t="str">
        <f t="shared" si="72"/>
        <v/>
      </c>
    </row>
    <row r="95" spans="1:37" ht="19.2" customHeight="1">
      <c r="A95" s="640"/>
      <c r="B95" s="236">
        <v>0</v>
      </c>
      <c r="C95" s="132" t="s">
        <v>456</v>
      </c>
      <c r="D95" s="612" t="s">
        <v>377</v>
      </c>
      <c r="E95" s="612"/>
      <c r="F95" s="98"/>
      <c r="G95" s="99"/>
      <c r="H95" s="237"/>
      <c r="I95" s="135"/>
      <c r="J95" s="238">
        <v>16.875</v>
      </c>
      <c r="K95" s="238">
        <v>1535.125</v>
      </c>
      <c r="L95" s="239">
        <v>94.282894736842096</v>
      </c>
      <c r="M95" s="238">
        <f t="shared" ref="M95:O95" si="73">AVERAGE(M83:M94)</f>
        <v>16.625</v>
      </c>
      <c r="N95" s="238">
        <f t="shared" si="73"/>
        <v>1273.8836556231111</v>
      </c>
      <c r="O95" s="239">
        <f t="shared" si="73"/>
        <v>79.753602518556193</v>
      </c>
      <c r="P95" s="240">
        <f>M95-J95</f>
        <v>-0.25</v>
      </c>
      <c r="Q95" s="241">
        <f t="shared" ref="Q95:Q101" si="74">O95-L95</f>
        <v>-14.529292218285903</v>
      </c>
      <c r="R95" s="242">
        <f>O95/L95</f>
        <v>0.84589683782154368</v>
      </c>
      <c r="S95" s="632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616"/>
      <c r="AC95" s="616"/>
      <c r="AD95" s="139">
        <f>SUM(AD83:AD94)</f>
        <v>0</v>
      </c>
      <c r="AE95" s="139">
        <f>SUM(AE83:AE94)</f>
        <v>1</v>
      </c>
      <c r="AF95" s="104">
        <f t="shared" si="69"/>
        <v>-261.24134437688895</v>
      </c>
      <c r="AG95" s="462">
        <f t="shared" si="70"/>
        <v>0.82982405707881191</v>
      </c>
      <c r="AH95" s="632"/>
    </row>
    <row r="96" spans="1:37" ht="19.2" customHeight="1">
      <c r="A96" s="642" t="s">
        <v>457</v>
      </c>
      <c r="B96" s="459" t="s">
        <v>163</v>
      </c>
      <c r="C96" s="127"/>
      <c r="D96" s="128" t="s">
        <v>111</v>
      </c>
      <c r="E96" s="72"/>
      <c r="F96" s="73">
        <v>43.14</v>
      </c>
      <c r="G96" s="74">
        <v>1279.68</v>
      </c>
      <c r="H96" s="75">
        <f t="shared" ref="H96:H105" si="75">F96*G96</f>
        <v>55205.395200000006</v>
      </c>
      <c r="I96" s="459"/>
      <c r="J96" s="76">
        <v>17</v>
      </c>
      <c r="K96" s="74">
        <v>1500</v>
      </c>
      <c r="L96" s="77">
        <v>88.235294117647058</v>
      </c>
      <c r="M96" s="470">
        <v>17</v>
      </c>
      <c r="N96" s="74">
        <f t="shared" ref="N96:N101" si="76">G96/W96*60</f>
        <v>1347.0315789473675</v>
      </c>
      <c r="O96" s="77">
        <f t="shared" ref="O96:O101" si="77">N96/M96</f>
        <v>79.237151702786321</v>
      </c>
      <c r="P96" s="78">
        <f t="shared" ref="P96:P101" si="78">M96-J96</f>
        <v>0</v>
      </c>
      <c r="Q96" s="79">
        <f t="shared" si="74"/>
        <v>-8.9981424148607374</v>
      </c>
      <c r="R96" s="461">
        <f t="shared" ref="R96:R101" si="79">O96/L96</f>
        <v>0.89802105263157828</v>
      </c>
      <c r="S96" s="631">
        <f>R108</f>
        <v>0.88477696471661094</v>
      </c>
      <c r="T96" s="80">
        <v>0.33333333333333331</v>
      </c>
      <c r="U96" s="80">
        <v>0.37291666666666667</v>
      </c>
      <c r="V96" s="457">
        <v>5</v>
      </c>
      <c r="W96" s="120">
        <f t="shared" ref="W96:W133" si="80">(U96-T96)*24*60</f>
        <v>57.000000000000036</v>
      </c>
      <c r="X96" s="126"/>
      <c r="Y96" s="126"/>
      <c r="Z96" s="84"/>
      <c r="AA96" s="84"/>
      <c r="AB96" s="616"/>
      <c r="AC96" s="616"/>
      <c r="AD96" s="457"/>
      <c r="AE96" s="457"/>
      <c r="AF96" s="84">
        <f t="shared" si="69"/>
        <v>-152.96842105263249</v>
      </c>
      <c r="AG96" s="458">
        <f t="shared" si="70"/>
        <v>0.89802105263157839</v>
      </c>
      <c r="AH96" s="615">
        <f>AG108</f>
        <v>0.88262394184060766</v>
      </c>
    </row>
    <row r="97" spans="1:37" s="252" customFormat="1" ht="19.2" customHeight="1">
      <c r="A97" s="642"/>
      <c r="B97" s="459" t="s">
        <v>163</v>
      </c>
      <c r="C97" s="243"/>
      <c r="D97" s="244" t="s">
        <v>130</v>
      </c>
      <c r="E97" s="87"/>
      <c r="F97" s="245">
        <v>29.113149847094796</v>
      </c>
      <c r="G97" s="246">
        <v>2341</v>
      </c>
      <c r="H97" s="247">
        <f t="shared" si="75"/>
        <v>68153.883792048917</v>
      </c>
      <c r="I97" s="153"/>
      <c r="J97" s="76">
        <v>20</v>
      </c>
      <c r="K97" s="74">
        <v>1385</v>
      </c>
      <c r="L97" s="77">
        <v>69.25</v>
      </c>
      <c r="M97" s="129">
        <v>20</v>
      </c>
      <c r="N97" s="74">
        <f t="shared" si="76"/>
        <v>1132.7419354838705</v>
      </c>
      <c r="O97" s="77">
        <f t="shared" si="77"/>
        <v>56.637096774193523</v>
      </c>
      <c r="P97" s="78">
        <f t="shared" si="78"/>
        <v>0</v>
      </c>
      <c r="Q97" s="79">
        <f t="shared" si="74"/>
        <v>-12.612903225806477</v>
      </c>
      <c r="R97" s="461">
        <f t="shared" si="79"/>
        <v>0.81786421334575488</v>
      </c>
      <c r="S97" s="631"/>
      <c r="T97" s="248">
        <v>0.37708333333333333</v>
      </c>
      <c r="U97" s="248">
        <v>0.46319444444444446</v>
      </c>
      <c r="V97" s="249">
        <v>6</v>
      </c>
      <c r="W97" s="120">
        <f t="shared" si="80"/>
        <v>124.00000000000004</v>
      </c>
      <c r="X97" s="83"/>
      <c r="Y97" s="83"/>
      <c r="Z97" s="84"/>
      <c r="AA97" s="84"/>
      <c r="AB97" s="616"/>
      <c r="AC97" s="616"/>
      <c r="AD97" s="249"/>
      <c r="AE97" s="249"/>
      <c r="AF97" s="250">
        <f t="shared" si="69"/>
        <v>-252.25806451612948</v>
      </c>
      <c r="AG97" s="251">
        <f t="shared" si="70"/>
        <v>0.81786421334575488</v>
      </c>
      <c r="AH97" s="615"/>
      <c r="AJ97" s="62"/>
      <c r="AK97" s="62"/>
    </row>
    <row r="98" spans="1:37" s="255" customFormat="1" ht="19.2" customHeight="1">
      <c r="A98" s="642"/>
      <c r="B98" s="459" t="s">
        <v>166</v>
      </c>
      <c r="C98" s="86"/>
      <c r="D98" s="71" t="s">
        <v>123</v>
      </c>
      <c r="E98" s="114"/>
      <c r="F98" s="245">
        <v>51.44</v>
      </c>
      <c r="G98" s="85">
        <v>911</v>
      </c>
      <c r="H98" s="247">
        <f t="shared" si="75"/>
        <v>46861.84</v>
      </c>
      <c r="I98" s="457"/>
      <c r="J98" s="76">
        <v>20</v>
      </c>
      <c r="K98" s="74">
        <v>1440</v>
      </c>
      <c r="L98" s="77">
        <v>72</v>
      </c>
      <c r="M98" s="129">
        <v>20</v>
      </c>
      <c r="N98" s="74">
        <f t="shared" si="76"/>
        <v>1188.2608695652175</v>
      </c>
      <c r="O98" s="77">
        <f t="shared" si="77"/>
        <v>59.413043478260875</v>
      </c>
      <c r="P98" s="78">
        <f t="shared" si="78"/>
        <v>0</v>
      </c>
      <c r="Q98" s="79">
        <f t="shared" si="74"/>
        <v>-12.586956521739125</v>
      </c>
      <c r="R98" s="461">
        <f t="shared" si="79"/>
        <v>0.82518115942028991</v>
      </c>
      <c r="S98" s="631"/>
      <c r="T98" s="80">
        <v>0.46805555555555556</v>
      </c>
      <c r="U98" s="80">
        <v>0.5</v>
      </c>
      <c r="V98" s="457">
        <v>7</v>
      </c>
      <c r="W98" s="120">
        <f t="shared" si="80"/>
        <v>46</v>
      </c>
      <c r="X98" s="253"/>
      <c r="Y98" s="253"/>
      <c r="Z98" s="254"/>
      <c r="AA98" s="254"/>
      <c r="AB98" s="616"/>
      <c r="AC98" s="616"/>
      <c r="AD98" s="457"/>
      <c r="AE98" s="457"/>
      <c r="AF98" s="250">
        <f t="shared" si="69"/>
        <v>-251.73913043478251</v>
      </c>
      <c r="AG98" s="458">
        <f t="shared" si="70"/>
        <v>0.82518115942028991</v>
      </c>
      <c r="AH98" s="615"/>
      <c r="AJ98" s="62"/>
      <c r="AK98" s="62"/>
    </row>
    <row r="99" spans="1:37" ht="19.2" customHeight="1">
      <c r="A99" s="642"/>
      <c r="B99" s="459" t="s">
        <v>166</v>
      </c>
      <c r="C99" s="112"/>
      <c r="D99" s="113" t="s">
        <v>192</v>
      </c>
      <c r="E99" s="114"/>
      <c r="F99" s="245">
        <v>56.43</v>
      </c>
      <c r="G99" s="85">
        <v>1394</v>
      </c>
      <c r="H99" s="247">
        <f t="shared" si="75"/>
        <v>78663.42</v>
      </c>
      <c r="I99" s="457"/>
      <c r="J99" s="76">
        <v>19</v>
      </c>
      <c r="K99" s="74">
        <v>1385</v>
      </c>
      <c r="L99" s="77">
        <v>72.89473684210526</v>
      </c>
      <c r="M99" s="470">
        <v>19</v>
      </c>
      <c r="N99" s="74">
        <f t="shared" si="76"/>
        <v>1306.8750000000016</v>
      </c>
      <c r="O99" s="77">
        <f t="shared" si="77"/>
        <v>68.782894736842195</v>
      </c>
      <c r="P99" s="78">
        <f t="shared" si="78"/>
        <v>0</v>
      </c>
      <c r="Q99" s="79">
        <f t="shared" si="74"/>
        <v>-4.1118421052630652</v>
      </c>
      <c r="R99" s="461">
        <f t="shared" si="79"/>
        <v>0.94359205776173416</v>
      </c>
      <c r="S99" s="631"/>
      <c r="T99" s="80">
        <v>0.54097222222222219</v>
      </c>
      <c r="U99" s="80">
        <v>0.58541666666666659</v>
      </c>
      <c r="V99" s="457">
        <v>6</v>
      </c>
      <c r="W99" s="120">
        <f t="shared" si="80"/>
        <v>63.999999999999929</v>
      </c>
      <c r="X99" s="218"/>
      <c r="Y99" s="218"/>
      <c r="Z99" s="159"/>
      <c r="AA99" s="159"/>
      <c r="AB99" s="616"/>
      <c r="AC99" s="616"/>
      <c r="AD99" s="457"/>
      <c r="AE99" s="457"/>
      <c r="AF99" s="250">
        <f t="shared" si="69"/>
        <v>-78.124999999998408</v>
      </c>
      <c r="AG99" s="251">
        <f t="shared" si="70"/>
        <v>0.94359205776173405</v>
      </c>
      <c r="AH99" s="615"/>
    </row>
    <row r="100" spans="1:37" s="255" customFormat="1" ht="19.2" customHeight="1">
      <c r="A100" s="642"/>
      <c r="B100" s="459" t="s">
        <v>166</v>
      </c>
      <c r="C100" s="86"/>
      <c r="D100" s="71" t="s">
        <v>196</v>
      </c>
      <c r="E100" s="114"/>
      <c r="F100" s="245">
        <v>57.3</v>
      </c>
      <c r="G100" s="85">
        <v>1704</v>
      </c>
      <c r="H100" s="247">
        <f t="shared" si="75"/>
        <v>97639.2</v>
      </c>
      <c r="I100" s="457"/>
      <c r="J100" s="76">
        <v>19</v>
      </c>
      <c r="K100" s="74">
        <v>1440</v>
      </c>
      <c r="L100" s="77">
        <v>75.78947368421052</v>
      </c>
      <c r="M100" s="129">
        <v>19</v>
      </c>
      <c r="N100" s="74">
        <f t="shared" si="76"/>
        <v>1294.1772151898726</v>
      </c>
      <c r="O100" s="77">
        <f t="shared" si="77"/>
        <v>68.114590273151194</v>
      </c>
      <c r="P100" s="78">
        <f t="shared" si="78"/>
        <v>0</v>
      </c>
      <c r="Q100" s="79">
        <f t="shared" si="74"/>
        <v>-7.6748834110593265</v>
      </c>
      <c r="R100" s="461">
        <f t="shared" si="79"/>
        <v>0.89873417721518944</v>
      </c>
      <c r="S100" s="631"/>
      <c r="T100" s="248">
        <v>0.60138888888888875</v>
      </c>
      <c r="U100" s="248">
        <v>0.65624999999999989</v>
      </c>
      <c r="V100" s="249">
        <v>23</v>
      </c>
      <c r="W100" s="120">
        <f t="shared" si="80"/>
        <v>79.000000000000043</v>
      </c>
      <c r="X100" s="256">
        <v>0.59027777777777779</v>
      </c>
      <c r="Y100" s="256">
        <v>0.60069444444444442</v>
      </c>
      <c r="Z100" s="254"/>
      <c r="AA100" s="254"/>
      <c r="AB100" s="616"/>
      <c r="AC100" s="616"/>
      <c r="AD100" s="457"/>
      <c r="AE100" s="457"/>
      <c r="AF100" s="250">
        <f t="shared" si="69"/>
        <v>-145.82278481012736</v>
      </c>
      <c r="AG100" s="458">
        <f t="shared" si="70"/>
        <v>0.89873417721518933</v>
      </c>
      <c r="AH100" s="615"/>
      <c r="AJ100" s="62"/>
      <c r="AK100" s="62"/>
    </row>
    <row r="101" spans="1:37" s="255" customFormat="1" ht="19.2" customHeight="1">
      <c r="A101" s="642"/>
      <c r="B101" s="459" t="s">
        <v>166</v>
      </c>
      <c r="C101" s="86"/>
      <c r="D101" s="113" t="s">
        <v>134</v>
      </c>
      <c r="E101" s="114"/>
      <c r="F101" s="245">
        <v>55.56</v>
      </c>
      <c r="G101" s="85">
        <v>1072</v>
      </c>
      <c r="H101" s="247">
        <f t="shared" si="75"/>
        <v>59560.32</v>
      </c>
      <c r="I101" s="457"/>
      <c r="J101" s="76">
        <v>16</v>
      </c>
      <c r="K101" s="74">
        <v>1440</v>
      </c>
      <c r="L101" s="77">
        <v>90</v>
      </c>
      <c r="M101" s="129">
        <v>16</v>
      </c>
      <c r="N101" s="74">
        <f t="shared" si="76"/>
        <v>1312.6530612244901</v>
      </c>
      <c r="O101" s="77">
        <f t="shared" si="77"/>
        <v>82.040816326530631</v>
      </c>
      <c r="P101" s="78">
        <f t="shared" si="78"/>
        <v>0</v>
      </c>
      <c r="Q101" s="79">
        <f t="shared" si="74"/>
        <v>-7.9591836734693686</v>
      </c>
      <c r="R101" s="461">
        <f t="shared" si="79"/>
        <v>0.91156462585034037</v>
      </c>
      <c r="S101" s="631"/>
      <c r="T101" s="248">
        <v>0.70833333333333337</v>
      </c>
      <c r="U101" s="80">
        <v>0.74236111111111114</v>
      </c>
      <c r="V101" s="249">
        <v>7</v>
      </c>
      <c r="W101" s="120">
        <f t="shared" si="80"/>
        <v>48.999999999999986</v>
      </c>
      <c r="X101" s="257"/>
      <c r="Y101" s="257"/>
      <c r="Z101" s="254"/>
      <c r="AA101" s="254"/>
      <c r="AB101" s="616"/>
      <c r="AC101" s="616"/>
      <c r="AD101" s="457"/>
      <c r="AE101" s="457"/>
      <c r="AF101" s="250">
        <f t="shared" si="69"/>
        <v>-127.3469387755099</v>
      </c>
      <c r="AG101" s="251">
        <f t="shared" si="70"/>
        <v>0.91156462585034037</v>
      </c>
      <c r="AH101" s="615"/>
      <c r="AJ101" s="62"/>
      <c r="AK101" s="62"/>
    </row>
    <row r="102" spans="1:37" s="255" customFormat="1" ht="19.2" customHeight="1">
      <c r="A102" s="642"/>
      <c r="B102" s="459">
        <v>0</v>
      </c>
      <c r="C102" s="213"/>
      <c r="D102" s="113"/>
      <c r="E102" s="215"/>
      <c r="F102" s="245" t="s">
        <v>161</v>
      </c>
      <c r="G102" s="85"/>
      <c r="H102" s="247">
        <f t="shared" si="75"/>
        <v>0</v>
      </c>
      <c r="I102" s="459"/>
      <c r="J102" s="76"/>
      <c r="K102" s="74"/>
      <c r="L102" s="77"/>
      <c r="M102" s="129"/>
      <c r="N102" s="74"/>
      <c r="O102" s="77"/>
      <c r="P102" s="78"/>
      <c r="Q102" s="79"/>
      <c r="R102" s="461"/>
      <c r="S102" s="631"/>
      <c r="T102" s="248"/>
      <c r="U102" s="248"/>
      <c r="V102" s="249"/>
      <c r="W102" s="120">
        <f t="shared" si="80"/>
        <v>0</v>
      </c>
      <c r="X102" s="257"/>
      <c r="Y102" s="257"/>
      <c r="Z102" s="254"/>
      <c r="AA102" s="254"/>
      <c r="AB102" s="616"/>
      <c r="AC102" s="616"/>
      <c r="AD102" s="457"/>
      <c r="AE102" s="457"/>
      <c r="AF102" s="250">
        <f t="shared" si="69"/>
        <v>0</v>
      </c>
      <c r="AG102" s="458" t="e">
        <f t="shared" si="70"/>
        <v>#DIV/0!</v>
      </c>
      <c r="AH102" s="615"/>
      <c r="AJ102" s="62"/>
      <c r="AK102" s="62"/>
    </row>
    <row r="103" spans="1:37" s="255" customFormat="1" ht="19.2" customHeight="1">
      <c r="A103" s="642"/>
      <c r="B103" s="459">
        <v>0</v>
      </c>
      <c r="C103" s="258"/>
      <c r="D103" s="113"/>
      <c r="E103" s="114"/>
      <c r="F103" s="245" t="s">
        <v>161</v>
      </c>
      <c r="G103" s="85"/>
      <c r="H103" s="247">
        <f t="shared" si="75"/>
        <v>0</v>
      </c>
      <c r="I103" s="259"/>
      <c r="J103" s="76"/>
      <c r="K103" s="74"/>
      <c r="L103" s="77"/>
      <c r="M103" s="129"/>
      <c r="N103" s="74"/>
      <c r="O103" s="77"/>
      <c r="P103" s="78"/>
      <c r="Q103" s="79"/>
      <c r="R103" s="461"/>
      <c r="S103" s="631"/>
      <c r="T103" s="248"/>
      <c r="U103" s="248"/>
      <c r="V103" s="249"/>
      <c r="W103" s="120">
        <f t="shared" si="80"/>
        <v>0</v>
      </c>
      <c r="X103" s="257"/>
      <c r="Y103" s="257"/>
      <c r="Z103" s="254"/>
      <c r="AA103" s="254"/>
      <c r="AB103" s="616"/>
      <c r="AC103" s="616"/>
      <c r="AD103" s="457"/>
      <c r="AE103" s="457"/>
      <c r="AF103" s="84">
        <f t="shared" si="69"/>
        <v>0</v>
      </c>
      <c r="AG103" s="458" t="e">
        <f t="shared" si="70"/>
        <v>#DIV/0!</v>
      </c>
      <c r="AH103" s="615"/>
      <c r="AJ103" s="62"/>
      <c r="AK103" s="62"/>
    </row>
    <row r="104" spans="1:37" s="255" customFormat="1" ht="19.2" customHeight="1">
      <c r="A104" s="642"/>
      <c r="B104" s="459">
        <v>0</v>
      </c>
      <c r="C104" s="260"/>
      <c r="D104" s="113"/>
      <c r="E104" s="114"/>
      <c r="F104" s="245" t="s">
        <v>161</v>
      </c>
      <c r="G104" s="246"/>
      <c r="H104" s="247">
        <f t="shared" si="75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461"/>
      <c r="S104" s="632"/>
      <c r="T104" s="248"/>
      <c r="U104" s="248"/>
      <c r="V104" s="249"/>
      <c r="W104" s="120">
        <f t="shared" si="80"/>
        <v>0</v>
      </c>
      <c r="X104" s="257"/>
      <c r="Y104" s="257"/>
      <c r="Z104" s="254"/>
      <c r="AA104" s="254"/>
      <c r="AB104" s="616"/>
      <c r="AC104" s="616"/>
      <c r="AD104" s="457"/>
      <c r="AE104" s="457"/>
      <c r="AF104" s="250">
        <f t="shared" si="69"/>
        <v>0</v>
      </c>
      <c r="AG104" s="251" t="e">
        <f t="shared" si="70"/>
        <v>#DIV/0!</v>
      </c>
      <c r="AH104" s="615"/>
      <c r="AJ104" s="62"/>
      <c r="AK104" s="62"/>
    </row>
    <row r="105" spans="1:37" s="255" customFormat="1" ht="19.2" customHeight="1">
      <c r="A105" s="642"/>
      <c r="B105" s="459">
        <v>0</v>
      </c>
      <c r="C105" s="260"/>
      <c r="D105" s="113"/>
      <c r="E105" s="114"/>
      <c r="F105" s="245" t="s">
        <v>161</v>
      </c>
      <c r="G105" s="246"/>
      <c r="H105" s="247">
        <f t="shared" si="75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461"/>
      <c r="S105" s="632"/>
      <c r="T105" s="248"/>
      <c r="U105" s="248"/>
      <c r="V105" s="249"/>
      <c r="W105" s="120">
        <f t="shared" si="80"/>
        <v>0</v>
      </c>
      <c r="X105" s="257"/>
      <c r="Y105" s="257"/>
      <c r="Z105" s="254"/>
      <c r="AA105" s="254"/>
      <c r="AB105" s="616"/>
      <c r="AC105" s="616"/>
      <c r="AD105" s="457"/>
      <c r="AE105" s="457"/>
      <c r="AF105" s="84">
        <f t="shared" si="69"/>
        <v>0</v>
      </c>
      <c r="AG105" s="458" t="e">
        <f t="shared" si="70"/>
        <v>#DIV/0!</v>
      </c>
      <c r="AH105" s="615"/>
      <c r="AJ105" s="62"/>
      <c r="AK105" s="62"/>
    </row>
    <row r="106" spans="1:37" s="255" customFormat="1" ht="19.2" customHeight="1">
      <c r="A106" s="642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461"/>
      <c r="S106" s="641"/>
      <c r="T106" s="248"/>
      <c r="U106" s="248"/>
      <c r="V106" s="249"/>
      <c r="W106" s="120">
        <f t="shared" si="80"/>
        <v>0</v>
      </c>
      <c r="X106" s="257"/>
      <c r="Y106" s="257"/>
      <c r="Z106" s="254"/>
      <c r="AA106" s="254"/>
      <c r="AB106" s="616"/>
      <c r="AC106" s="616"/>
      <c r="AD106" s="457"/>
      <c r="AE106" s="457"/>
      <c r="AF106" s="84">
        <f t="shared" si="69"/>
        <v>0</v>
      </c>
      <c r="AG106" s="458" t="e">
        <f t="shared" si="70"/>
        <v>#DIV/0!</v>
      </c>
      <c r="AH106" s="615"/>
      <c r="AJ106" s="62"/>
      <c r="AK106" s="62"/>
    </row>
    <row r="107" spans="1:37" s="255" customFormat="1" ht="19.2" customHeight="1">
      <c r="A107" s="642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458"/>
      <c r="S107" s="641"/>
      <c r="T107" s="248"/>
      <c r="U107" s="248"/>
      <c r="V107" s="249"/>
      <c r="W107" s="120">
        <f t="shared" si="80"/>
        <v>0</v>
      </c>
      <c r="X107" s="257"/>
      <c r="Y107" s="257"/>
      <c r="Z107" s="254"/>
      <c r="AA107" s="254"/>
      <c r="AB107" s="616"/>
      <c r="AC107" s="616"/>
      <c r="AD107" s="457"/>
      <c r="AE107" s="457"/>
      <c r="AF107" s="254"/>
      <c r="AG107" s="458"/>
      <c r="AH107" s="615"/>
      <c r="AJ107" s="62"/>
      <c r="AK107" s="62"/>
    </row>
    <row r="108" spans="1:37" ht="19.2" customHeight="1">
      <c r="A108" s="642"/>
      <c r="B108" s="142">
        <v>0</v>
      </c>
      <c r="C108" s="132" t="s">
        <v>458</v>
      </c>
      <c r="D108" s="612" t="s">
        <v>377</v>
      </c>
      <c r="E108" s="612"/>
      <c r="F108" s="263"/>
      <c r="G108" s="103"/>
      <c r="H108" s="134"/>
      <c r="I108" s="135"/>
      <c r="J108" s="103">
        <v>18.5</v>
      </c>
      <c r="K108" s="103">
        <v>1431.6666666666667</v>
      </c>
      <c r="L108" s="136">
        <v>78.028250773993804</v>
      </c>
      <c r="M108" s="103">
        <f t="shared" ref="M108:O108" si="81">AVERAGE(M96:M107)</f>
        <v>18.5</v>
      </c>
      <c r="N108" s="103">
        <f t="shared" si="81"/>
        <v>1263.6232767351366</v>
      </c>
      <c r="O108" s="136">
        <f t="shared" si="81"/>
        <v>69.03759888196079</v>
      </c>
      <c r="P108" s="84">
        <f t="shared" ref="P108:P116" si="82">M108-J108</f>
        <v>0</v>
      </c>
      <c r="Q108" s="119">
        <f t="shared" ref="Q108:Q116" si="83">O108-L108</f>
        <v>-8.9906518920330143</v>
      </c>
      <c r="R108" s="137">
        <f t="shared" ref="R108:R116" si="84">O108/L108</f>
        <v>0.88477696471661094</v>
      </c>
      <c r="S108" s="632"/>
      <c r="T108" s="80"/>
      <c r="U108" s="80"/>
      <c r="V108" s="85"/>
      <c r="W108" s="120">
        <f t="shared" si="80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616"/>
      <c r="AC108" s="616"/>
      <c r="AD108" s="139">
        <f>SUM(AD96:AD107)</f>
        <v>0</v>
      </c>
      <c r="AE108" s="139">
        <f>SUM(AE96:AE107)</f>
        <v>0</v>
      </c>
      <c r="AF108" s="84">
        <f t="shared" si="69"/>
        <v>-168.0433899315301</v>
      </c>
      <c r="AG108" s="458">
        <f t="shared" si="70"/>
        <v>0.88262394184060766</v>
      </c>
      <c r="AH108" s="615"/>
    </row>
    <row r="109" spans="1:37" ht="19.2" customHeight="1">
      <c r="A109" s="633" t="s">
        <v>459</v>
      </c>
      <c r="B109" s="459" t="s">
        <v>165</v>
      </c>
      <c r="C109" s="465"/>
      <c r="D109" s="264" t="s">
        <v>133</v>
      </c>
      <c r="E109" s="72"/>
      <c r="F109" s="73">
        <v>29.965493443754308</v>
      </c>
      <c r="G109" s="74">
        <v>1348</v>
      </c>
      <c r="H109" s="75">
        <f t="shared" ref="H109:H119" si="85">F109*G109</f>
        <v>40393.485162180805</v>
      </c>
      <c r="I109" s="459"/>
      <c r="J109" s="76">
        <v>18</v>
      </c>
      <c r="K109" s="74">
        <v>1200</v>
      </c>
      <c r="L109" s="77">
        <v>66.666666666666671</v>
      </c>
      <c r="M109" s="470">
        <v>18</v>
      </c>
      <c r="N109" s="74">
        <f t="shared" ref="N109:N116" si="86">G109/W109*60</f>
        <v>1064.2105263157887</v>
      </c>
      <c r="O109" s="77">
        <f t="shared" ref="O109:O116" si="87">N109/M109</f>
        <v>59.122807017543813</v>
      </c>
      <c r="P109" s="78">
        <f t="shared" si="82"/>
        <v>0</v>
      </c>
      <c r="Q109" s="79">
        <f t="shared" si="83"/>
        <v>-7.543859649122858</v>
      </c>
      <c r="R109" s="461">
        <f t="shared" si="84"/>
        <v>0.8868421052631571</v>
      </c>
      <c r="S109" s="636">
        <f>R121</f>
        <v>0.93599110649563699</v>
      </c>
      <c r="T109" s="265">
        <v>0.5</v>
      </c>
      <c r="U109" s="265">
        <v>0.55277777777777781</v>
      </c>
      <c r="V109" s="266">
        <v>5</v>
      </c>
      <c r="W109" s="469">
        <f t="shared" si="80"/>
        <v>76.000000000000057</v>
      </c>
      <c r="X109" s="83"/>
      <c r="Y109" s="83"/>
      <c r="Z109" s="84"/>
      <c r="AA109" s="84"/>
      <c r="AB109" s="616"/>
      <c r="AC109" s="616"/>
      <c r="AD109" s="457"/>
      <c r="AE109" s="457"/>
      <c r="AF109" s="78">
        <f t="shared" si="69"/>
        <v>-135.78947368421132</v>
      </c>
      <c r="AG109" s="160">
        <f t="shared" si="70"/>
        <v>0.88684210526315721</v>
      </c>
      <c r="AH109" s="615">
        <f>AG121</f>
        <v>0.93483671651480149</v>
      </c>
      <c r="AJ109" s="62" t="str">
        <f>A109</f>
        <v>綜合一組
(ET-55)</v>
      </c>
      <c r="AK109" s="404">
        <f>AVERAGE(AK110:AK120)</f>
        <v>6.2857142857142829</v>
      </c>
    </row>
    <row r="110" spans="1:37" ht="19.2" customHeight="1">
      <c r="A110" s="634"/>
      <c r="B110" s="459" t="s">
        <v>165</v>
      </c>
      <c r="C110" s="213"/>
      <c r="D110" s="71" t="s">
        <v>110</v>
      </c>
      <c r="E110" s="215"/>
      <c r="F110" s="73">
        <v>35.83</v>
      </c>
      <c r="G110" s="212">
        <v>1446.1999999999998</v>
      </c>
      <c r="H110" s="75">
        <f t="shared" si="85"/>
        <v>51817.34599999999</v>
      </c>
      <c r="I110" s="459">
        <v>1</v>
      </c>
      <c r="J110" s="76">
        <v>11</v>
      </c>
      <c r="K110" s="74">
        <v>2250</v>
      </c>
      <c r="L110" s="77">
        <v>204.54545454545453</v>
      </c>
      <c r="M110" s="470">
        <v>11</v>
      </c>
      <c r="N110" s="74">
        <f t="shared" si="86"/>
        <v>2116.3902439024382</v>
      </c>
      <c r="O110" s="77">
        <f t="shared" si="87"/>
        <v>192.39911308203983</v>
      </c>
      <c r="P110" s="78">
        <f t="shared" si="82"/>
        <v>0</v>
      </c>
      <c r="Q110" s="79">
        <f t="shared" si="83"/>
        <v>-12.1463414634147</v>
      </c>
      <c r="R110" s="461">
        <f t="shared" si="84"/>
        <v>0.94061788617886144</v>
      </c>
      <c r="S110" s="622"/>
      <c r="T110" s="265">
        <v>0.55763888888888891</v>
      </c>
      <c r="U110" s="265">
        <v>0.58611111111111114</v>
      </c>
      <c r="V110" s="266">
        <v>7</v>
      </c>
      <c r="W110" s="469">
        <f t="shared" si="80"/>
        <v>41.000000000000014</v>
      </c>
      <c r="X110" s="227"/>
      <c r="Y110" s="227"/>
      <c r="Z110" s="84"/>
      <c r="AA110" s="84"/>
      <c r="AB110" s="616"/>
      <c r="AC110" s="616"/>
      <c r="AD110" s="457"/>
      <c r="AE110" s="457">
        <v>1</v>
      </c>
      <c r="AF110" s="78">
        <f t="shared" si="69"/>
        <v>-133.60975609756179</v>
      </c>
      <c r="AG110" s="160">
        <f t="shared" si="70"/>
        <v>0.94061788617886144</v>
      </c>
      <c r="AH110" s="615"/>
      <c r="AJ110" s="405">
        <f t="shared" ref="AJ110:AJ120" si="88">IF((IF(V110&lt;10,V110,(X110-U109)*1440))=0,"",IF(V110&lt;10,V110,(X110-U109)*1440))</f>
        <v>7</v>
      </c>
      <c r="AK110" s="406">
        <f>IF(AJ110&gt;4,AJ110,"")</f>
        <v>7</v>
      </c>
    </row>
    <row r="111" spans="1:37" ht="19.2" customHeight="1">
      <c r="A111" s="634"/>
      <c r="B111" s="459" t="s">
        <v>165</v>
      </c>
      <c r="C111" s="213"/>
      <c r="D111" s="214" t="s">
        <v>159</v>
      </c>
      <c r="E111" s="215"/>
      <c r="F111" s="73">
        <v>34.229999999999997</v>
      </c>
      <c r="G111" s="85">
        <v>774</v>
      </c>
      <c r="H111" s="75">
        <f t="shared" si="85"/>
        <v>26494.019999999997</v>
      </c>
      <c r="I111" s="457">
        <v>1</v>
      </c>
      <c r="J111" s="76">
        <v>11</v>
      </c>
      <c r="K111" s="74">
        <v>2250</v>
      </c>
      <c r="L111" s="77">
        <v>204.54545454545453</v>
      </c>
      <c r="M111" s="267">
        <v>11</v>
      </c>
      <c r="N111" s="74">
        <f t="shared" si="86"/>
        <v>2110.9090909090983</v>
      </c>
      <c r="O111" s="77">
        <f t="shared" si="87"/>
        <v>191.90082644628166</v>
      </c>
      <c r="P111" s="78">
        <f t="shared" si="82"/>
        <v>0</v>
      </c>
      <c r="Q111" s="79">
        <f t="shared" si="83"/>
        <v>-12.644628099172877</v>
      </c>
      <c r="R111" s="461">
        <f t="shared" si="84"/>
        <v>0.93818181818182145</v>
      </c>
      <c r="S111" s="622"/>
      <c r="T111" s="265">
        <v>0.59027777777777779</v>
      </c>
      <c r="U111" s="265">
        <v>0.60555555555555551</v>
      </c>
      <c r="V111" s="266">
        <v>6</v>
      </c>
      <c r="W111" s="469">
        <f t="shared" si="80"/>
        <v>21.999999999999922</v>
      </c>
      <c r="X111" s="83"/>
      <c r="Y111" s="83"/>
      <c r="Z111" s="84"/>
      <c r="AA111" s="84"/>
      <c r="AB111" s="616"/>
      <c r="AC111" s="616"/>
      <c r="AD111" s="457"/>
      <c r="AE111" s="457"/>
      <c r="AF111" s="78">
        <f t="shared" si="69"/>
        <v>-139.09090909090173</v>
      </c>
      <c r="AG111" s="160">
        <f t="shared" si="70"/>
        <v>0.93818181818182145</v>
      </c>
      <c r="AH111" s="615"/>
      <c r="AJ111" s="405">
        <f t="shared" si="88"/>
        <v>6</v>
      </c>
      <c r="AK111" s="406">
        <f t="shared" ref="AK111:AK120" si="89">IF(AJ111&gt;4,AJ111,"")</f>
        <v>6</v>
      </c>
    </row>
    <row r="112" spans="1:37" ht="19.2" customHeight="1">
      <c r="A112" s="634"/>
      <c r="B112" s="459" t="s">
        <v>166</v>
      </c>
      <c r="C112" s="213"/>
      <c r="D112" s="214" t="s">
        <v>135</v>
      </c>
      <c r="E112" s="114"/>
      <c r="F112" s="73">
        <v>58.17</v>
      </c>
      <c r="G112" s="85">
        <v>1056</v>
      </c>
      <c r="H112" s="75">
        <f t="shared" si="85"/>
        <v>61427.520000000004</v>
      </c>
      <c r="I112" s="457"/>
      <c r="J112" s="76">
        <v>14</v>
      </c>
      <c r="K112" s="74">
        <v>1440</v>
      </c>
      <c r="L112" s="77">
        <v>102.85714285714286</v>
      </c>
      <c r="M112" s="470">
        <v>14</v>
      </c>
      <c r="N112" s="74">
        <f t="shared" si="86"/>
        <v>1377.391304347826</v>
      </c>
      <c r="O112" s="77">
        <f t="shared" si="87"/>
        <v>98.385093167701854</v>
      </c>
      <c r="P112" s="78">
        <f t="shared" si="82"/>
        <v>0</v>
      </c>
      <c r="Q112" s="79">
        <f t="shared" si="83"/>
        <v>-4.4720496894410076</v>
      </c>
      <c r="R112" s="461">
        <f t="shared" si="84"/>
        <v>0.9565217391304347</v>
      </c>
      <c r="S112" s="622"/>
      <c r="T112" s="265">
        <v>0.70833333333333337</v>
      </c>
      <c r="U112" s="265">
        <v>0.74027777777777781</v>
      </c>
      <c r="V112" s="266">
        <v>5</v>
      </c>
      <c r="W112" s="469">
        <f t="shared" si="80"/>
        <v>46</v>
      </c>
      <c r="X112" s="253"/>
      <c r="Y112" s="253"/>
      <c r="Z112" s="84"/>
      <c r="AA112" s="84"/>
      <c r="AB112" s="616"/>
      <c r="AC112" s="616"/>
      <c r="AD112" s="457"/>
      <c r="AE112" s="457"/>
      <c r="AF112" s="78">
        <f t="shared" si="69"/>
        <v>-62.608695652173992</v>
      </c>
      <c r="AG112" s="160">
        <f t="shared" si="70"/>
        <v>0.9565217391304347</v>
      </c>
      <c r="AH112" s="615"/>
      <c r="AJ112" s="405">
        <f t="shared" si="88"/>
        <v>5</v>
      </c>
      <c r="AK112" s="406">
        <f t="shared" si="89"/>
        <v>5</v>
      </c>
    </row>
    <row r="113" spans="1:37" s="255" customFormat="1" ht="19.2" customHeight="1">
      <c r="A113" s="634"/>
      <c r="B113" s="459" t="s">
        <v>166</v>
      </c>
      <c r="C113" s="213"/>
      <c r="D113" s="214" t="s">
        <v>136</v>
      </c>
      <c r="E113" s="114"/>
      <c r="F113" s="73">
        <v>54.09</v>
      </c>
      <c r="G113" s="85">
        <v>645</v>
      </c>
      <c r="H113" s="75">
        <f t="shared" si="85"/>
        <v>34888.050000000003</v>
      </c>
      <c r="I113" s="457"/>
      <c r="J113" s="76">
        <v>14</v>
      </c>
      <c r="K113" s="74">
        <v>1440</v>
      </c>
      <c r="L113" s="77">
        <v>102.85714285714286</v>
      </c>
      <c r="M113" s="467">
        <v>14</v>
      </c>
      <c r="N113" s="74">
        <f t="shared" si="86"/>
        <v>1334.482758620687</v>
      </c>
      <c r="O113" s="77">
        <f t="shared" si="87"/>
        <v>95.32019704433479</v>
      </c>
      <c r="P113" s="78">
        <f t="shared" si="82"/>
        <v>0</v>
      </c>
      <c r="Q113" s="79">
        <f t="shared" si="83"/>
        <v>-7.5369458128080709</v>
      </c>
      <c r="R113" s="461">
        <f t="shared" si="84"/>
        <v>0.9267241379310327</v>
      </c>
      <c r="S113" s="622"/>
      <c r="T113" s="265">
        <v>0.74513888888888891</v>
      </c>
      <c r="U113" s="265">
        <v>0.76527777777777783</v>
      </c>
      <c r="V113" s="266">
        <v>7</v>
      </c>
      <c r="W113" s="469">
        <f t="shared" si="80"/>
        <v>29.000000000000057</v>
      </c>
      <c r="X113" s="253"/>
      <c r="Y113" s="253"/>
      <c r="Z113" s="254"/>
      <c r="AA113" s="254"/>
      <c r="AB113" s="616"/>
      <c r="AC113" s="616"/>
      <c r="AD113" s="258"/>
      <c r="AE113" s="258"/>
      <c r="AF113" s="78">
        <f t="shared" si="69"/>
        <v>-105.51724137931296</v>
      </c>
      <c r="AG113" s="160">
        <f t="shared" si="70"/>
        <v>0.9267241379310327</v>
      </c>
      <c r="AH113" s="615"/>
      <c r="AJ113" s="405">
        <f t="shared" si="88"/>
        <v>7</v>
      </c>
      <c r="AK113" s="406">
        <f t="shared" si="89"/>
        <v>7</v>
      </c>
    </row>
    <row r="114" spans="1:37" s="255" customFormat="1" ht="19.2" customHeight="1">
      <c r="A114" s="634"/>
      <c r="B114" s="459" t="s">
        <v>166</v>
      </c>
      <c r="C114" s="213"/>
      <c r="D114" s="113" t="s">
        <v>156</v>
      </c>
      <c r="E114" s="72"/>
      <c r="F114" s="73">
        <v>51.06</v>
      </c>
      <c r="G114" s="74">
        <v>1394</v>
      </c>
      <c r="H114" s="75">
        <f t="shared" si="85"/>
        <v>71177.64</v>
      </c>
      <c r="I114" s="457"/>
      <c r="J114" s="76">
        <v>16</v>
      </c>
      <c r="K114" s="74">
        <v>1500</v>
      </c>
      <c r="L114" s="77">
        <v>93.75</v>
      </c>
      <c r="M114" s="467">
        <v>16</v>
      </c>
      <c r="N114" s="74">
        <f t="shared" si="86"/>
        <v>1371.1475409836078</v>
      </c>
      <c r="O114" s="77">
        <f t="shared" si="87"/>
        <v>85.696721311475486</v>
      </c>
      <c r="P114" s="78">
        <f t="shared" si="82"/>
        <v>0</v>
      </c>
      <c r="Q114" s="79">
        <f t="shared" si="83"/>
        <v>-8.0532786885245145</v>
      </c>
      <c r="R114" s="461">
        <f t="shared" si="84"/>
        <v>0.91409836065573846</v>
      </c>
      <c r="S114" s="622"/>
      <c r="T114" s="265">
        <v>0.76875000000000004</v>
      </c>
      <c r="U114" s="265">
        <v>0.81111111111111112</v>
      </c>
      <c r="V114" s="266">
        <v>5</v>
      </c>
      <c r="W114" s="469">
        <f t="shared" si="80"/>
        <v>60.999999999999943</v>
      </c>
      <c r="X114" s="253"/>
      <c r="Y114" s="253"/>
      <c r="Z114" s="254"/>
      <c r="AA114" s="254"/>
      <c r="AB114" s="616"/>
      <c r="AC114" s="616"/>
      <c r="AD114" s="258"/>
      <c r="AE114" s="258"/>
      <c r="AF114" s="78">
        <f t="shared" si="69"/>
        <v>-128.85245901639223</v>
      </c>
      <c r="AG114" s="160">
        <f t="shared" si="70"/>
        <v>0.91409836065573846</v>
      </c>
      <c r="AH114" s="615"/>
      <c r="AJ114" s="405">
        <f t="shared" si="88"/>
        <v>5</v>
      </c>
      <c r="AK114" s="406">
        <f t="shared" si="89"/>
        <v>5</v>
      </c>
    </row>
    <row r="115" spans="1:37" s="255" customFormat="1" ht="19.2" customHeight="1">
      <c r="A115" s="634"/>
      <c r="B115" s="459" t="s">
        <v>166</v>
      </c>
      <c r="C115" s="213"/>
      <c r="D115" s="113" t="s">
        <v>150</v>
      </c>
      <c r="E115" s="114"/>
      <c r="F115" s="73">
        <v>50.67</v>
      </c>
      <c r="G115" s="268">
        <v>969</v>
      </c>
      <c r="H115" s="75">
        <f t="shared" si="85"/>
        <v>49099.23</v>
      </c>
      <c r="I115" s="457"/>
      <c r="J115" s="76">
        <v>17</v>
      </c>
      <c r="K115" s="74">
        <v>1440</v>
      </c>
      <c r="L115" s="77">
        <v>84.705882352941174</v>
      </c>
      <c r="M115" s="467">
        <v>17</v>
      </c>
      <c r="N115" s="74">
        <f t="shared" si="86"/>
        <v>1384.2857142857138</v>
      </c>
      <c r="O115" s="77">
        <f t="shared" si="87"/>
        <v>81.428571428571402</v>
      </c>
      <c r="P115" s="78">
        <f t="shared" si="82"/>
        <v>0</v>
      </c>
      <c r="Q115" s="79">
        <f t="shared" si="83"/>
        <v>-3.2773109243697718</v>
      </c>
      <c r="R115" s="461">
        <f t="shared" si="84"/>
        <v>0.9613095238095235</v>
      </c>
      <c r="S115" s="622"/>
      <c r="T115" s="265">
        <v>0.81666666666666665</v>
      </c>
      <c r="U115" s="265">
        <v>0.84583333333333333</v>
      </c>
      <c r="V115" s="266">
        <v>8</v>
      </c>
      <c r="W115" s="469">
        <f t="shared" si="80"/>
        <v>42.000000000000014</v>
      </c>
      <c r="X115" s="253"/>
      <c r="Y115" s="253"/>
      <c r="Z115" s="254"/>
      <c r="AA115" s="254"/>
      <c r="AB115" s="616"/>
      <c r="AC115" s="616"/>
      <c r="AD115" s="258"/>
      <c r="AE115" s="258"/>
      <c r="AF115" s="78">
        <f t="shared" si="69"/>
        <v>-55.714285714286234</v>
      </c>
      <c r="AG115" s="160">
        <f t="shared" si="70"/>
        <v>0.9613095238095235</v>
      </c>
      <c r="AH115" s="615"/>
      <c r="AJ115" s="405">
        <f t="shared" si="88"/>
        <v>8</v>
      </c>
      <c r="AK115" s="406">
        <f t="shared" si="89"/>
        <v>8</v>
      </c>
    </row>
    <row r="116" spans="1:37" s="255" customFormat="1" ht="19.2" customHeight="1">
      <c r="A116" s="634"/>
      <c r="B116" s="459" t="s">
        <v>166</v>
      </c>
      <c r="C116" s="86"/>
      <c r="D116" s="113" t="s">
        <v>151</v>
      </c>
      <c r="E116" s="114"/>
      <c r="F116" s="73">
        <v>50.49</v>
      </c>
      <c r="G116" s="268">
        <v>1221</v>
      </c>
      <c r="H116" s="75">
        <f t="shared" si="85"/>
        <v>61648.29</v>
      </c>
      <c r="I116" s="457"/>
      <c r="J116" s="76">
        <v>14</v>
      </c>
      <c r="K116" s="74">
        <v>1440</v>
      </c>
      <c r="L116" s="77">
        <v>102.85714285714286</v>
      </c>
      <c r="M116" s="467">
        <v>14</v>
      </c>
      <c r="N116" s="74">
        <f t="shared" si="86"/>
        <v>1356.6666666666672</v>
      </c>
      <c r="O116" s="77">
        <f t="shared" si="87"/>
        <v>96.904761904761941</v>
      </c>
      <c r="P116" s="78">
        <f t="shared" si="82"/>
        <v>0</v>
      </c>
      <c r="Q116" s="79">
        <f t="shared" si="83"/>
        <v>-5.9523809523809206</v>
      </c>
      <c r="R116" s="461">
        <f t="shared" si="84"/>
        <v>0.94212962962962998</v>
      </c>
      <c r="S116" s="622"/>
      <c r="T116" s="265">
        <v>0.86180555555555549</v>
      </c>
      <c r="U116" s="265">
        <v>0.89930555555555547</v>
      </c>
      <c r="V116" s="266">
        <v>23</v>
      </c>
      <c r="W116" s="469">
        <f t="shared" si="80"/>
        <v>53.999999999999972</v>
      </c>
      <c r="X116" s="253">
        <v>0.85</v>
      </c>
      <c r="Y116" s="253">
        <v>0.86111111111111116</v>
      </c>
      <c r="Z116" s="254"/>
      <c r="AA116" s="254"/>
      <c r="AB116" s="616"/>
      <c r="AC116" s="616"/>
      <c r="AD116" s="258"/>
      <c r="AE116" s="258"/>
      <c r="AF116" s="78">
        <f t="shared" si="69"/>
        <v>-83.333333333332803</v>
      </c>
      <c r="AG116" s="160">
        <f t="shared" si="70"/>
        <v>0.94212962962962998</v>
      </c>
      <c r="AH116" s="615"/>
      <c r="AJ116" s="405">
        <f t="shared" si="88"/>
        <v>5.9999999999999787</v>
      </c>
      <c r="AK116" s="406">
        <f t="shared" si="89"/>
        <v>5.9999999999999787</v>
      </c>
    </row>
    <row r="117" spans="1:37" s="255" customFormat="1" ht="19.2" customHeight="1">
      <c r="A117" s="634"/>
      <c r="B117" s="459">
        <v>0</v>
      </c>
      <c r="C117" s="86"/>
      <c r="D117" s="113"/>
      <c r="E117" s="114"/>
      <c r="F117" s="73" t="s">
        <v>161</v>
      </c>
      <c r="G117" s="268"/>
      <c r="H117" s="75">
        <f t="shared" si="85"/>
        <v>0</v>
      </c>
      <c r="I117" s="457"/>
      <c r="J117" s="76"/>
      <c r="K117" s="74"/>
      <c r="L117" s="77"/>
      <c r="M117" s="467"/>
      <c r="N117" s="74"/>
      <c r="O117" s="77"/>
      <c r="P117" s="78"/>
      <c r="Q117" s="79"/>
      <c r="R117" s="461"/>
      <c r="S117" s="622"/>
      <c r="T117" s="265"/>
      <c r="U117" s="265"/>
      <c r="V117" s="266"/>
      <c r="W117" s="469">
        <f t="shared" si="80"/>
        <v>0</v>
      </c>
      <c r="X117" s="253"/>
      <c r="Y117" s="253"/>
      <c r="Z117" s="254"/>
      <c r="AA117" s="254"/>
      <c r="AB117" s="616"/>
      <c r="AC117" s="616"/>
      <c r="AD117" s="258"/>
      <c r="AE117" s="258"/>
      <c r="AF117" s="78">
        <f t="shared" si="69"/>
        <v>0</v>
      </c>
      <c r="AG117" s="160" t="e">
        <f t="shared" si="70"/>
        <v>#DIV/0!</v>
      </c>
      <c r="AH117" s="615"/>
      <c r="AJ117" s="405" t="str">
        <f t="shared" si="88"/>
        <v/>
      </c>
      <c r="AK117" s="406" t="str">
        <f t="shared" si="89"/>
        <v/>
      </c>
    </row>
    <row r="118" spans="1:37" s="255" customFormat="1" ht="19.2" customHeight="1">
      <c r="A118" s="634"/>
      <c r="B118" s="459">
        <v>0</v>
      </c>
      <c r="C118" s="200"/>
      <c r="D118" s="113"/>
      <c r="E118" s="72"/>
      <c r="F118" s="73" t="s">
        <v>161</v>
      </c>
      <c r="G118" s="74"/>
      <c r="H118" s="75">
        <f t="shared" si="85"/>
        <v>0</v>
      </c>
      <c r="I118" s="457"/>
      <c r="J118" s="76"/>
      <c r="K118" s="74"/>
      <c r="L118" s="77"/>
      <c r="M118" s="467"/>
      <c r="N118" s="74"/>
      <c r="O118" s="77"/>
      <c r="P118" s="78"/>
      <c r="Q118" s="79"/>
      <c r="R118" s="461"/>
      <c r="S118" s="622"/>
      <c r="T118" s="265"/>
      <c r="U118" s="265"/>
      <c r="V118" s="266"/>
      <c r="W118" s="469">
        <f t="shared" si="80"/>
        <v>0</v>
      </c>
      <c r="X118" s="253"/>
      <c r="Y118" s="253"/>
      <c r="Z118" s="254"/>
      <c r="AA118" s="254"/>
      <c r="AB118" s="616"/>
      <c r="AC118" s="616"/>
      <c r="AD118" s="258"/>
      <c r="AE118" s="258"/>
      <c r="AF118" s="78">
        <f t="shared" si="69"/>
        <v>0</v>
      </c>
      <c r="AG118" s="160" t="e">
        <f t="shared" si="70"/>
        <v>#DIV/0!</v>
      </c>
      <c r="AH118" s="615"/>
      <c r="AJ118" s="405" t="str">
        <f t="shared" si="88"/>
        <v/>
      </c>
      <c r="AK118" s="406" t="str">
        <f t="shared" si="89"/>
        <v/>
      </c>
    </row>
    <row r="119" spans="1:37" s="255" customFormat="1" ht="19.2" customHeight="1">
      <c r="A119" s="634"/>
      <c r="B119" s="459">
        <v>0</v>
      </c>
      <c r="C119" s="260"/>
      <c r="D119" s="113"/>
      <c r="E119" s="114"/>
      <c r="F119" s="73" t="s">
        <v>161</v>
      </c>
      <c r="G119" s="268"/>
      <c r="H119" s="75">
        <f t="shared" si="85"/>
        <v>0</v>
      </c>
      <c r="I119" s="457"/>
      <c r="J119" s="76"/>
      <c r="K119" s="74"/>
      <c r="L119" s="77"/>
      <c r="M119" s="467"/>
      <c r="N119" s="74"/>
      <c r="O119" s="77"/>
      <c r="P119" s="78"/>
      <c r="Q119" s="79"/>
      <c r="R119" s="461"/>
      <c r="S119" s="622"/>
      <c r="T119" s="265"/>
      <c r="U119" s="265"/>
      <c r="V119" s="266"/>
      <c r="W119" s="469">
        <f t="shared" si="80"/>
        <v>0</v>
      </c>
      <c r="X119" s="253"/>
      <c r="Y119" s="253"/>
      <c r="Z119" s="254"/>
      <c r="AA119" s="254"/>
      <c r="AB119" s="616"/>
      <c r="AC119" s="616"/>
      <c r="AD119" s="258"/>
      <c r="AE119" s="258"/>
      <c r="AF119" s="78">
        <f t="shared" si="69"/>
        <v>0</v>
      </c>
      <c r="AG119" s="160" t="e">
        <f t="shared" si="70"/>
        <v>#DIV/0!</v>
      </c>
      <c r="AH119" s="615"/>
      <c r="AJ119" s="405" t="str">
        <f t="shared" si="88"/>
        <v/>
      </c>
      <c r="AK119" s="406" t="str">
        <f t="shared" si="89"/>
        <v/>
      </c>
    </row>
    <row r="120" spans="1:37" s="255" customFormat="1" ht="19.2" customHeight="1">
      <c r="A120" s="634"/>
      <c r="B120" s="459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457"/>
      <c r="J120" s="216"/>
      <c r="K120" s="270"/>
      <c r="L120" s="77"/>
      <c r="M120" s="467"/>
      <c r="N120" s="217"/>
      <c r="O120" s="262"/>
      <c r="P120" s="197"/>
      <c r="Q120" s="79"/>
      <c r="R120" s="461"/>
      <c r="S120" s="622"/>
      <c r="T120" s="265"/>
      <c r="U120" s="265"/>
      <c r="V120" s="266"/>
      <c r="W120" s="469">
        <f t="shared" si="80"/>
        <v>0</v>
      </c>
      <c r="X120" s="253"/>
      <c r="Y120" s="253"/>
      <c r="Z120" s="254"/>
      <c r="AA120" s="254"/>
      <c r="AB120" s="616"/>
      <c r="AC120" s="616"/>
      <c r="AD120" s="258"/>
      <c r="AE120" s="258"/>
      <c r="AF120" s="78">
        <f t="shared" si="69"/>
        <v>0</v>
      </c>
      <c r="AG120" s="160" t="e">
        <f t="shared" si="70"/>
        <v>#DIV/0!</v>
      </c>
      <c r="AH120" s="615"/>
      <c r="AJ120" s="405" t="str">
        <f t="shared" si="88"/>
        <v/>
      </c>
      <c r="AK120" s="406" t="str">
        <f t="shared" si="89"/>
        <v/>
      </c>
    </row>
    <row r="121" spans="1:37" ht="19.2" customHeight="1">
      <c r="A121" s="635"/>
      <c r="B121" s="156">
        <v>0</v>
      </c>
      <c r="C121" s="132" t="s">
        <v>460</v>
      </c>
      <c r="D121" s="271" t="s">
        <v>377</v>
      </c>
      <c r="E121" s="272"/>
      <c r="F121" s="205"/>
      <c r="G121" s="273"/>
      <c r="H121" s="274"/>
      <c r="I121" s="275"/>
      <c r="J121" s="238">
        <v>14.375</v>
      </c>
      <c r="K121" s="238">
        <v>1620</v>
      </c>
      <c r="L121" s="239">
        <v>120.3481108352432</v>
      </c>
      <c r="M121" s="238">
        <f>AVERAGE(M109:M120)</f>
        <v>14.375</v>
      </c>
      <c r="N121" s="238">
        <f t="shared" ref="N121:O121" si="90">AVERAGE(N109:N120)</f>
        <v>1514.4354807539785</v>
      </c>
      <c r="O121" s="239">
        <f t="shared" si="90"/>
        <v>112.64476142533884</v>
      </c>
      <c r="P121" s="78">
        <f t="shared" ref="P121:P129" si="91">M121-J121</f>
        <v>0</v>
      </c>
      <c r="Q121" s="79">
        <f t="shared" ref="Q121:Q129" si="92">O121-L121</f>
        <v>-7.7033494099043622</v>
      </c>
      <c r="R121" s="209">
        <f t="shared" ref="R121:R129" si="93">O121/L121</f>
        <v>0.93599110649563699</v>
      </c>
      <c r="S121" s="630"/>
      <c r="T121" s="198"/>
      <c r="U121" s="198"/>
      <c r="V121" s="74"/>
      <c r="W121" s="469">
        <f t="shared" si="80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616"/>
      <c r="AC121" s="616"/>
      <c r="AD121" s="139">
        <f>SUM(AD109:AD120)</f>
        <v>0</v>
      </c>
      <c r="AE121" s="139">
        <f>SUM(AE109:AE120)</f>
        <v>1</v>
      </c>
      <c r="AF121" s="78">
        <f>N121-K121</f>
        <v>-105.56451924602152</v>
      </c>
      <c r="AG121" s="160">
        <f>N121/K121</f>
        <v>0.93483671651480149</v>
      </c>
      <c r="AH121" s="615"/>
    </row>
    <row r="122" spans="1:37" ht="19.2" customHeight="1">
      <c r="A122" s="637" t="s">
        <v>461</v>
      </c>
      <c r="B122" s="168" t="s">
        <v>167</v>
      </c>
      <c r="C122" s="200"/>
      <c r="D122" s="214" t="s">
        <v>138</v>
      </c>
      <c r="E122" s="72"/>
      <c r="F122" s="73">
        <v>59.54</v>
      </c>
      <c r="G122" s="74">
        <v>1039</v>
      </c>
      <c r="H122" s="75">
        <f t="shared" ref="H122:H132" si="94">F122*G122</f>
        <v>61862.06</v>
      </c>
      <c r="I122" s="459"/>
      <c r="J122" s="76">
        <v>18</v>
      </c>
      <c r="K122" s="74">
        <v>1385</v>
      </c>
      <c r="L122" s="77">
        <v>76.944444444444443</v>
      </c>
      <c r="M122" s="470">
        <v>18</v>
      </c>
      <c r="N122" s="212">
        <f t="shared" ref="N122:N129" si="95">G122/W122*60</f>
        <v>1298.7500000000005</v>
      </c>
      <c r="O122" s="276">
        <f t="shared" ref="O122:O129" si="96">N122/M122</f>
        <v>72.1527777777778</v>
      </c>
      <c r="P122" s="140">
        <f t="shared" si="91"/>
        <v>0</v>
      </c>
      <c r="Q122" s="220">
        <f t="shared" si="92"/>
        <v>-4.791666666666643</v>
      </c>
      <c r="R122" s="141">
        <f t="shared" si="93"/>
        <v>0.9377256317689534</v>
      </c>
      <c r="S122" s="631">
        <f>R134</f>
        <v>0.9604306735219087</v>
      </c>
      <c r="T122" s="198">
        <v>0.5</v>
      </c>
      <c r="U122" s="198">
        <v>0.53333333333333333</v>
      </c>
      <c r="V122" s="266">
        <v>5</v>
      </c>
      <c r="W122" s="469">
        <f t="shared" si="80"/>
        <v>47.999999999999986</v>
      </c>
      <c r="X122" s="83"/>
      <c r="Y122" s="83"/>
      <c r="Z122" s="84"/>
      <c r="AA122" s="84"/>
      <c r="AB122" s="616"/>
      <c r="AC122" s="616"/>
      <c r="AD122" s="457"/>
      <c r="AE122" s="457"/>
      <c r="AF122" s="78">
        <f t="shared" si="69"/>
        <v>-86.249999999999545</v>
      </c>
      <c r="AG122" s="461">
        <f t="shared" si="70"/>
        <v>0.9377256317689534</v>
      </c>
      <c r="AH122" s="630">
        <f>AG134</f>
        <v>0.96080978545420259</v>
      </c>
      <c r="AJ122" s="62" t="str">
        <f>A122</f>
        <v>綜合二組
(ET-55)</v>
      </c>
      <c r="AK122" s="404">
        <f>AVERAGE(AK123:AK133)</f>
        <v>5.8571428571428736</v>
      </c>
    </row>
    <row r="123" spans="1:37" ht="19.2" customHeight="1">
      <c r="A123" s="637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1320</v>
      </c>
      <c r="H123" s="75">
        <f t="shared" si="94"/>
        <v>77444.400000000009</v>
      </c>
      <c r="I123" s="457"/>
      <c r="J123" s="76">
        <v>19</v>
      </c>
      <c r="K123" s="74">
        <v>1440</v>
      </c>
      <c r="L123" s="77">
        <v>75.78947368421052</v>
      </c>
      <c r="M123" s="467">
        <v>19</v>
      </c>
      <c r="N123" s="85">
        <f t="shared" si="95"/>
        <v>1365.5172413793114</v>
      </c>
      <c r="O123" s="118">
        <f t="shared" si="96"/>
        <v>71.86932849364797</v>
      </c>
      <c r="P123" s="84">
        <f t="shared" si="91"/>
        <v>0</v>
      </c>
      <c r="Q123" s="119">
        <f t="shared" si="92"/>
        <v>-3.9201451905625504</v>
      </c>
      <c r="R123" s="458">
        <f t="shared" si="93"/>
        <v>0.9482758620689663</v>
      </c>
      <c r="S123" s="631"/>
      <c r="T123" s="198">
        <v>0.53749999999999998</v>
      </c>
      <c r="U123" s="198">
        <v>0.57777777777777772</v>
      </c>
      <c r="V123" s="266">
        <v>6</v>
      </c>
      <c r="W123" s="469">
        <f t="shared" si="80"/>
        <v>57.999999999999957</v>
      </c>
      <c r="X123" s="83"/>
      <c r="Y123" s="83"/>
      <c r="Z123" s="84"/>
      <c r="AA123" s="84"/>
      <c r="AB123" s="616"/>
      <c r="AC123" s="616"/>
      <c r="AD123" s="457"/>
      <c r="AE123" s="457"/>
      <c r="AF123" s="78">
        <f t="shared" si="69"/>
        <v>-74.482758620688628</v>
      </c>
      <c r="AG123" s="461">
        <f t="shared" si="70"/>
        <v>0.94827586206896619</v>
      </c>
      <c r="AH123" s="631"/>
      <c r="AJ123" s="405">
        <f t="shared" ref="AJ123:AJ133" si="97">IF((IF(V123&lt;10,V123,(X123-U122)*1440))=0,"",IF(V123&lt;10,V123,(X123-U122)*1440))</f>
        <v>6</v>
      </c>
      <c r="AK123" s="406">
        <f>IF(AJ123&gt;4,AJ123,"")</f>
        <v>6</v>
      </c>
    </row>
    <row r="124" spans="1:37" ht="19.2" customHeight="1">
      <c r="A124" s="637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1813</v>
      </c>
      <c r="H124" s="75">
        <f t="shared" si="94"/>
        <v>107909.76000000001</v>
      </c>
      <c r="I124" s="277"/>
      <c r="J124" s="76">
        <v>21</v>
      </c>
      <c r="K124" s="74">
        <v>1385</v>
      </c>
      <c r="L124" s="77">
        <v>65.952380952380949</v>
      </c>
      <c r="M124" s="470">
        <v>21</v>
      </c>
      <c r="N124" s="212">
        <f t="shared" si="95"/>
        <v>1294.9999999999995</v>
      </c>
      <c r="O124" s="276">
        <f t="shared" si="96"/>
        <v>61.666666666666643</v>
      </c>
      <c r="P124" s="140">
        <f t="shared" si="91"/>
        <v>0</v>
      </c>
      <c r="Q124" s="220">
        <f t="shared" si="92"/>
        <v>-4.285714285714306</v>
      </c>
      <c r="R124" s="141">
        <f t="shared" si="93"/>
        <v>0.93501805054151599</v>
      </c>
      <c r="S124" s="638"/>
      <c r="T124" s="198">
        <v>0.59375</v>
      </c>
      <c r="U124" s="198">
        <v>0.65208333333333335</v>
      </c>
      <c r="V124" s="266">
        <v>23</v>
      </c>
      <c r="W124" s="469">
        <f t="shared" si="80"/>
        <v>84.000000000000028</v>
      </c>
      <c r="X124" s="227">
        <v>0.58194444444444449</v>
      </c>
      <c r="Y124" s="227">
        <v>0.59305555555555556</v>
      </c>
      <c r="Z124" s="84"/>
      <c r="AA124" s="84"/>
      <c r="AB124" s="616"/>
      <c r="AC124" s="616"/>
      <c r="AD124" s="457"/>
      <c r="AE124" s="457"/>
      <c r="AF124" s="140">
        <f t="shared" si="69"/>
        <v>-90.000000000000455</v>
      </c>
      <c r="AG124" s="141">
        <f t="shared" si="70"/>
        <v>0.93501805054151588</v>
      </c>
      <c r="AH124" s="631"/>
      <c r="AJ124" s="405">
        <f t="shared" si="97"/>
        <v>6.0000000000001386</v>
      </c>
      <c r="AK124" s="406">
        <f t="shared" ref="AK124:AK133" si="98">IF(AJ124&gt;4,AJ124,"")</f>
        <v>6.0000000000001386</v>
      </c>
    </row>
    <row r="125" spans="1:37" ht="19.2" customHeight="1">
      <c r="A125" s="637"/>
      <c r="B125" s="168" t="s">
        <v>166</v>
      </c>
      <c r="C125" s="127"/>
      <c r="D125" s="71" t="s">
        <v>190</v>
      </c>
      <c r="E125" s="72"/>
      <c r="F125" s="73">
        <v>47.6</v>
      </c>
      <c r="G125" s="74">
        <v>2275</v>
      </c>
      <c r="H125" s="75">
        <f t="shared" si="94"/>
        <v>108290</v>
      </c>
      <c r="I125" s="459"/>
      <c r="J125" s="76">
        <v>21</v>
      </c>
      <c r="K125" s="74">
        <v>1440</v>
      </c>
      <c r="L125" s="77">
        <v>68.571428571428569</v>
      </c>
      <c r="M125" s="470">
        <v>21</v>
      </c>
      <c r="N125" s="212">
        <f t="shared" si="95"/>
        <v>1436.8421052631579</v>
      </c>
      <c r="O125" s="276">
        <f t="shared" si="96"/>
        <v>68.421052631578945</v>
      </c>
      <c r="P125" s="140">
        <f t="shared" si="91"/>
        <v>0</v>
      </c>
      <c r="Q125" s="220">
        <f t="shared" si="92"/>
        <v>-0.15037593984962427</v>
      </c>
      <c r="R125" s="141">
        <f t="shared" si="93"/>
        <v>0.9978070175438597</v>
      </c>
      <c r="S125" s="638"/>
      <c r="T125" s="198">
        <v>0.70833333333333337</v>
      </c>
      <c r="U125" s="198">
        <v>0.77430555555555558</v>
      </c>
      <c r="V125" s="266">
        <v>5</v>
      </c>
      <c r="W125" s="469">
        <f t="shared" si="80"/>
        <v>94.999999999999986</v>
      </c>
      <c r="X125" s="93"/>
      <c r="Y125" s="93"/>
      <c r="Z125" s="84"/>
      <c r="AA125" s="84"/>
      <c r="AB125" s="616"/>
      <c r="AC125" s="616"/>
      <c r="AD125" s="457"/>
      <c r="AE125" s="457"/>
      <c r="AF125" s="78">
        <f t="shared" si="69"/>
        <v>-3.1578947368420813</v>
      </c>
      <c r="AG125" s="461">
        <f t="shared" si="70"/>
        <v>0.9978070175438597</v>
      </c>
      <c r="AH125" s="632"/>
      <c r="AJ125" s="405">
        <f t="shared" si="97"/>
        <v>5</v>
      </c>
      <c r="AK125" s="406">
        <f t="shared" si="98"/>
        <v>5</v>
      </c>
    </row>
    <row r="126" spans="1:37" ht="19.2" customHeight="1">
      <c r="A126" s="637"/>
      <c r="B126" s="168" t="s">
        <v>166</v>
      </c>
      <c r="C126" s="457"/>
      <c r="D126" s="278" t="s">
        <v>141</v>
      </c>
      <c r="E126" s="215"/>
      <c r="F126" s="73">
        <v>56.79</v>
      </c>
      <c r="G126" s="85">
        <v>1225</v>
      </c>
      <c r="H126" s="75">
        <f t="shared" si="94"/>
        <v>69567.75</v>
      </c>
      <c r="I126" s="457"/>
      <c r="J126" s="76">
        <v>18</v>
      </c>
      <c r="K126" s="74">
        <v>1636</v>
      </c>
      <c r="L126" s="77">
        <v>90.888888888888886</v>
      </c>
      <c r="M126" s="467">
        <v>18</v>
      </c>
      <c r="N126" s="85">
        <f t="shared" si="95"/>
        <v>1563.8297872340427</v>
      </c>
      <c r="O126" s="118">
        <f t="shared" si="96"/>
        <v>86.879432624113477</v>
      </c>
      <c r="P126" s="84">
        <f t="shared" si="91"/>
        <v>0</v>
      </c>
      <c r="Q126" s="119">
        <f t="shared" si="92"/>
        <v>-4.0094562647754088</v>
      </c>
      <c r="R126" s="458">
        <f t="shared" si="93"/>
        <v>0.95588617801591846</v>
      </c>
      <c r="S126" s="638"/>
      <c r="T126" s="198">
        <v>0.77986111111111112</v>
      </c>
      <c r="U126" s="198">
        <v>0.8125</v>
      </c>
      <c r="V126" s="266">
        <v>8</v>
      </c>
      <c r="W126" s="469">
        <f t="shared" si="80"/>
        <v>46.999999999999993</v>
      </c>
      <c r="X126" s="93"/>
      <c r="Y126" s="93"/>
      <c r="Z126" s="84"/>
      <c r="AA126" s="84"/>
      <c r="AB126" s="616"/>
      <c r="AC126" s="616"/>
      <c r="AD126" s="457"/>
      <c r="AE126" s="457"/>
      <c r="AF126" s="140">
        <f t="shared" si="69"/>
        <v>-72.170212765957331</v>
      </c>
      <c r="AG126" s="141">
        <f t="shared" si="70"/>
        <v>0.95588617801591846</v>
      </c>
      <c r="AH126" s="632"/>
      <c r="AJ126" s="405">
        <f t="shared" si="97"/>
        <v>8</v>
      </c>
      <c r="AK126" s="406">
        <f t="shared" si="98"/>
        <v>8</v>
      </c>
    </row>
    <row r="127" spans="1:37" ht="19.2" customHeight="1">
      <c r="A127" s="637"/>
      <c r="B127" s="168" t="s">
        <v>166</v>
      </c>
      <c r="C127" s="260"/>
      <c r="D127" s="279" t="s">
        <v>142</v>
      </c>
      <c r="E127" s="114"/>
      <c r="F127" s="73">
        <v>56.87</v>
      </c>
      <c r="G127" s="246">
        <v>1102</v>
      </c>
      <c r="H127" s="75">
        <f t="shared" si="94"/>
        <v>62670.74</v>
      </c>
      <c r="I127" s="258"/>
      <c r="J127" s="76">
        <v>18</v>
      </c>
      <c r="K127" s="74">
        <v>1636</v>
      </c>
      <c r="L127" s="77">
        <v>90.888888888888886</v>
      </c>
      <c r="M127" s="470">
        <v>18</v>
      </c>
      <c r="N127" s="85">
        <f t="shared" si="95"/>
        <v>1612.6829268292677</v>
      </c>
      <c r="O127" s="118">
        <f t="shared" si="96"/>
        <v>89.593495934959321</v>
      </c>
      <c r="P127" s="84">
        <f t="shared" si="91"/>
        <v>0</v>
      </c>
      <c r="Q127" s="119">
        <f t="shared" si="92"/>
        <v>-1.2953929539295643</v>
      </c>
      <c r="R127" s="458">
        <f t="shared" si="93"/>
        <v>0.98574751028683849</v>
      </c>
      <c r="S127" s="638"/>
      <c r="T127" s="198">
        <v>0.81597222222222221</v>
      </c>
      <c r="U127" s="198">
        <v>0.84444444444444444</v>
      </c>
      <c r="V127" s="459">
        <v>5</v>
      </c>
      <c r="W127" s="469">
        <f t="shared" si="80"/>
        <v>41.000000000000014</v>
      </c>
      <c r="X127" s="93"/>
      <c r="Y127" s="93"/>
      <c r="Z127" s="84"/>
      <c r="AA127" s="84"/>
      <c r="AB127" s="616"/>
      <c r="AC127" s="616"/>
      <c r="AD127" s="457"/>
      <c r="AE127" s="457"/>
      <c r="AF127" s="140">
        <f t="shared" si="69"/>
        <v>-23.317073170732328</v>
      </c>
      <c r="AG127" s="141">
        <f t="shared" si="70"/>
        <v>0.98574751028683838</v>
      </c>
      <c r="AH127" s="632"/>
      <c r="AJ127" s="405">
        <f t="shared" si="97"/>
        <v>5</v>
      </c>
      <c r="AK127" s="406">
        <f t="shared" si="98"/>
        <v>5</v>
      </c>
    </row>
    <row r="128" spans="1:37" ht="19.2" customHeight="1">
      <c r="A128" s="637"/>
      <c r="B128" s="168" t="s">
        <v>166</v>
      </c>
      <c r="C128" s="190"/>
      <c r="D128" s="88" t="s">
        <v>132</v>
      </c>
      <c r="E128" s="114"/>
      <c r="F128" s="73">
        <v>58.17</v>
      </c>
      <c r="G128" s="85">
        <v>1089</v>
      </c>
      <c r="H128" s="75">
        <f t="shared" si="94"/>
        <v>63347.130000000005</v>
      </c>
      <c r="I128" s="457"/>
      <c r="J128" s="76">
        <v>16</v>
      </c>
      <c r="K128" s="74">
        <v>1636</v>
      </c>
      <c r="L128" s="77">
        <v>102.25</v>
      </c>
      <c r="M128" s="129">
        <v>16</v>
      </c>
      <c r="N128" s="212">
        <f t="shared" si="95"/>
        <v>1555.7142857142851</v>
      </c>
      <c r="O128" s="276">
        <f t="shared" si="96"/>
        <v>97.232142857142819</v>
      </c>
      <c r="P128" s="140">
        <f t="shared" si="91"/>
        <v>0</v>
      </c>
      <c r="Q128" s="220">
        <f t="shared" si="92"/>
        <v>-5.0178571428571814</v>
      </c>
      <c r="R128" s="141">
        <f t="shared" si="93"/>
        <v>0.95092560251484415</v>
      </c>
      <c r="S128" s="638"/>
      <c r="T128" s="198">
        <v>0.85902777777777772</v>
      </c>
      <c r="U128" s="198">
        <v>0.8881944444444444</v>
      </c>
      <c r="V128" s="459">
        <v>21</v>
      </c>
      <c r="W128" s="469">
        <f t="shared" si="80"/>
        <v>42.000000000000014</v>
      </c>
      <c r="X128" s="93">
        <v>0.84861111111111109</v>
      </c>
      <c r="Y128" s="93">
        <v>0.85833333333333339</v>
      </c>
      <c r="Z128" s="84"/>
      <c r="AA128" s="84"/>
      <c r="AB128" s="616"/>
      <c r="AC128" s="616"/>
      <c r="AD128" s="457"/>
      <c r="AE128" s="457"/>
      <c r="AF128" s="78">
        <f t="shared" si="69"/>
        <v>-80.285714285714903</v>
      </c>
      <c r="AG128" s="461">
        <f t="shared" si="70"/>
        <v>0.95092560251484415</v>
      </c>
      <c r="AH128" s="632"/>
      <c r="AJ128" s="405">
        <f t="shared" si="97"/>
        <v>5.9999999999999787</v>
      </c>
      <c r="AK128" s="406">
        <f t="shared" si="98"/>
        <v>5.9999999999999787</v>
      </c>
    </row>
    <row r="129" spans="1:37" ht="19.2" customHeight="1">
      <c r="A129" s="637"/>
      <c r="B129" s="168" t="s">
        <v>166</v>
      </c>
      <c r="C129" s="190"/>
      <c r="D129" s="88" t="s">
        <v>144</v>
      </c>
      <c r="E129" s="90"/>
      <c r="F129" s="73">
        <v>57.3</v>
      </c>
      <c r="G129" s="85">
        <v>863</v>
      </c>
      <c r="H129" s="75">
        <f t="shared" si="94"/>
        <v>49449.899999999994</v>
      </c>
      <c r="I129" s="457"/>
      <c r="J129" s="76">
        <v>19</v>
      </c>
      <c r="K129" s="74">
        <v>1440</v>
      </c>
      <c r="L129" s="77">
        <v>75.78947368421052</v>
      </c>
      <c r="M129" s="129">
        <v>19</v>
      </c>
      <c r="N129" s="85">
        <f t="shared" si="95"/>
        <v>1399.4594594594582</v>
      </c>
      <c r="O129" s="118">
        <f t="shared" si="96"/>
        <v>73.655761024182013</v>
      </c>
      <c r="P129" s="84">
        <f t="shared" si="91"/>
        <v>0</v>
      </c>
      <c r="Q129" s="119">
        <f t="shared" si="92"/>
        <v>-2.1337126600285075</v>
      </c>
      <c r="R129" s="458">
        <f t="shared" si="93"/>
        <v>0.97184684684684608</v>
      </c>
      <c r="S129" s="638"/>
      <c r="T129" s="198">
        <v>0.89166666666666661</v>
      </c>
      <c r="U129" s="198">
        <v>0.91736111111111107</v>
      </c>
      <c r="V129" s="459">
        <v>5</v>
      </c>
      <c r="W129" s="469">
        <f t="shared" si="80"/>
        <v>37.000000000000028</v>
      </c>
      <c r="X129" s="93"/>
      <c r="Y129" s="93"/>
      <c r="Z129" s="84"/>
      <c r="AA129" s="84"/>
      <c r="AB129" s="616"/>
      <c r="AC129" s="616"/>
      <c r="AD129" s="457"/>
      <c r="AE129" s="457"/>
      <c r="AF129" s="140">
        <f t="shared" si="69"/>
        <v>-40.54054054054177</v>
      </c>
      <c r="AG129" s="141">
        <f t="shared" si="70"/>
        <v>0.97184684684684597</v>
      </c>
      <c r="AH129" s="632"/>
      <c r="AJ129" s="405">
        <f t="shared" si="97"/>
        <v>5</v>
      </c>
      <c r="AK129" s="406">
        <f t="shared" si="98"/>
        <v>5</v>
      </c>
    </row>
    <row r="130" spans="1:37" ht="19.2" customHeight="1">
      <c r="A130" s="637"/>
      <c r="B130" s="236">
        <v>0</v>
      </c>
      <c r="C130" s="190"/>
      <c r="D130" s="88"/>
      <c r="E130" s="90"/>
      <c r="F130" s="73" t="s">
        <v>161</v>
      </c>
      <c r="G130" s="85"/>
      <c r="H130" s="75">
        <f t="shared" si="94"/>
        <v>0</v>
      </c>
      <c r="I130" s="457"/>
      <c r="J130" s="76"/>
      <c r="K130" s="74"/>
      <c r="L130" s="77"/>
      <c r="M130" s="467"/>
      <c r="N130" s="85"/>
      <c r="O130" s="118"/>
      <c r="P130" s="84"/>
      <c r="Q130" s="119"/>
      <c r="R130" s="458"/>
      <c r="S130" s="638"/>
      <c r="T130" s="198"/>
      <c r="U130" s="198"/>
      <c r="V130" s="459"/>
      <c r="W130" s="469">
        <f t="shared" si="80"/>
        <v>0</v>
      </c>
      <c r="X130" s="93"/>
      <c r="Y130" s="93"/>
      <c r="Z130" s="84"/>
      <c r="AA130" s="84"/>
      <c r="AB130" s="616"/>
      <c r="AC130" s="616"/>
      <c r="AD130" s="457"/>
      <c r="AE130" s="457"/>
      <c r="AF130" s="140">
        <f t="shared" si="69"/>
        <v>0</v>
      </c>
      <c r="AG130" s="141" t="e">
        <f t="shared" si="70"/>
        <v>#DIV/0!</v>
      </c>
      <c r="AH130" s="632"/>
      <c r="AJ130" s="405" t="str">
        <f t="shared" si="97"/>
        <v/>
      </c>
      <c r="AK130" s="406" t="str">
        <f t="shared" si="98"/>
        <v/>
      </c>
    </row>
    <row r="131" spans="1:37" ht="19.2" customHeight="1">
      <c r="A131" s="637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4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638"/>
      <c r="T131" s="198"/>
      <c r="U131" s="198"/>
      <c r="V131" s="459"/>
      <c r="W131" s="469">
        <f t="shared" si="80"/>
        <v>0</v>
      </c>
      <c r="X131" s="93"/>
      <c r="Y131" s="93"/>
      <c r="Z131" s="84"/>
      <c r="AA131" s="84"/>
      <c r="AB131" s="616"/>
      <c r="AC131" s="616"/>
      <c r="AD131" s="457"/>
      <c r="AE131" s="457"/>
      <c r="AF131" s="78">
        <f t="shared" si="69"/>
        <v>0</v>
      </c>
      <c r="AG131" s="461" t="e">
        <f t="shared" si="70"/>
        <v>#DIV/0!</v>
      </c>
      <c r="AH131" s="632"/>
      <c r="AJ131" s="405" t="str">
        <f t="shared" si="97"/>
        <v/>
      </c>
      <c r="AK131" s="406" t="str">
        <f t="shared" si="98"/>
        <v/>
      </c>
    </row>
    <row r="132" spans="1:37" ht="19.2" customHeight="1">
      <c r="A132" s="637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4"/>
        <v>0</v>
      </c>
      <c r="I132" s="457"/>
      <c r="J132" s="129"/>
      <c r="K132" s="85"/>
      <c r="L132" s="118"/>
      <c r="M132" s="467"/>
      <c r="N132" s="85"/>
      <c r="O132" s="118"/>
      <c r="P132" s="84"/>
      <c r="Q132" s="119"/>
      <c r="R132" s="458"/>
      <c r="S132" s="638"/>
      <c r="T132" s="198"/>
      <c r="U132" s="198"/>
      <c r="V132" s="459"/>
      <c r="W132" s="469">
        <f t="shared" si="80"/>
        <v>0</v>
      </c>
      <c r="X132" s="93"/>
      <c r="Y132" s="93"/>
      <c r="Z132" s="84"/>
      <c r="AA132" s="84"/>
      <c r="AB132" s="616"/>
      <c r="AC132" s="616"/>
      <c r="AD132" s="457"/>
      <c r="AE132" s="457"/>
      <c r="AF132" s="104"/>
      <c r="AG132" s="462"/>
      <c r="AH132" s="632"/>
      <c r="AJ132" s="405" t="str">
        <f t="shared" si="97"/>
        <v/>
      </c>
      <c r="AK132" s="406" t="str">
        <f t="shared" si="98"/>
        <v/>
      </c>
    </row>
    <row r="133" spans="1:37" ht="19.2" customHeight="1">
      <c r="A133" s="637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457"/>
      <c r="J133" s="129"/>
      <c r="K133" s="85"/>
      <c r="L133" s="118"/>
      <c r="M133" s="467"/>
      <c r="N133" s="85"/>
      <c r="O133" s="118"/>
      <c r="P133" s="84"/>
      <c r="Q133" s="119"/>
      <c r="R133" s="458"/>
      <c r="S133" s="638"/>
      <c r="T133" s="198"/>
      <c r="U133" s="198"/>
      <c r="V133" s="459"/>
      <c r="W133" s="282">
        <f t="shared" si="80"/>
        <v>0</v>
      </c>
      <c r="X133" s="93"/>
      <c r="Y133" s="93"/>
      <c r="Z133" s="84"/>
      <c r="AA133" s="84"/>
      <c r="AB133" s="616"/>
      <c r="AC133" s="616"/>
      <c r="AD133" s="457"/>
      <c r="AE133" s="457"/>
      <c r="AF133" s="104"/>
      <c r="AG133" s="462"/>
      <c r="AH133" s="632"/>
      <c r="AJ133" s="405" t="str">
        <f t="shared" si="97"/>
        <v/>
      </c>
      <c r="AK133" s="406" t="str">
        <f t="shared" si="98"/>
        <v/>
      </c>
    </row>
    <row r="134" spans="1:37" ht="19.2" customHeight="1">
      <c r="A134" s="637"/>
      <c r="B134" s="203">
        <v>0</v>
      </c>
      <c r="C134" s="132" t="s">
        <v>462</v>
      </c>
      <c r="D134" s="612" t="s">
        <v>377</v>
      </c>
      <c r="E134" s="612"/>
      <c r="F134" s="222"/>
      <c r="G134" s="103"/>
      <c r="H134" s="134"/>
      <c r="I134" s="283"/>
      <c r="J134" s="284">
        <v>18.75</v>
      </c>
      <c r="K134" s="284">
        <v>1499.75</v>
      </c>
      <c r="L134" s="285">
        <v>80.884372389306606</v>
      </c>
      <c r="M134" s="284">
        <f t="shared" ref="M134:O134" si="99">AVERAGE(M122:M133)</f>
        <v>18.75</v>
      </c>
      <c r="N134" s="284">
        <f t="shared" si="99"/>
        <v>1440.9744757349404</v>
      </c>
      <c r="O134" s="285">
        <f t="shared" si="99"/>
        <v>77.683832251258622</v>
      </c>
      <c r="P134" s="81">
        <f t="shared" ref="P134:P142" si="100">M134-J134</f>
        <v>0</v>
      </c>
      <c r="Q134" s="178">
        <f t="shared" ref="Q134:Q142" si="101">O134-L134</f>
        <v>-3.2005401380479839</v>
      </c>
      <c r="R134" s="286">
        <f t="shared" ref="R134:R142" si="102">O134/L134</f>
        <v>0.9604306735219087</v>
      </c>
      <c r="S134" s="631"/>
      <c r="T134" s="198"/>
      <c r="U134" s="198"/>
      <c r="V134" s="459"/>
      <c r="W134" s="459"/>
      <c r="X134" s="83"/>
      <c r="Y134" s="83"/>
      <c r="Z134" s="138">
        <f>SUM(Z122:Z133)</f>
        <v>0</v>
      </c>
      <c r="AA134" s="138">
        <f>SUM(AA122:AA133)</f>
        <v>0</v>
      </c>
      <c r="AB134" s="616"/>
      <c r="AC134" s="616"/>
      <c r="AD134" s="139">
        <f>SUM(AD122:AD133)</f>
        <v>0</v>
      </c>
      <c r="AE134" s="139">
        <f>SUM(AE122:AE133)</f>
        <v>0</v>
      </c>
      <c r="AF134" s="78">
        <f t="shared" si="69"/>
        <v>-58.77552426505963</v>
      </c>
      <c r="AG134" s="461">
        <f t="shared" si="70"/>
        <v>0.96080978545420259</v>
      </c>
      <c r="AH134" s="632"/>
    </row>
    <row r="135" spans="1:37" ht="19.2" customHeight="1">
      <c r="A135" s="618" t="s">
        <v>463</v>
      </c>
      <c r="B135" s="459" t="s">
        <v>166</v>
      </c>
      <c r="C135" s="457"/>
      <c r="D135" s="113" t="s">
        <v>120</v>
      </c>
      <c r="E135" s="114"/>
      <c r="F135" s="73">
        <v>54.09</v>
      </c>
      <c r="G135" s="85">
        <v>1391.2</v>
      </c>
      <c r="H135" s="287">
        <f t="shared" ref="H135:H146" si="103">F135*G135</f>
        <v>75250.008000000002</v>
      </c>
      <c r="I135" s="457"/>
      <c r="J135" s="76">
        <v>16</v>
      </c>
      <c r="K135" s="85">
        <v>1500</v>
      </c>
      <c r="L135" s="118">
        <v>93.75</v>
      </c>
      <c r="M135" s="267">
        <v>17</v>
      </c>
      <c r="N135" s="85">
        <f t="shared" ref="N135:N142" si="104">G135/W135*60</f>
        <v>1284.184615384617</v>
      </c>
      <c r="O135" s="149">
        <f t="shared" ref="O135:O142" si="105">N135/M135</f>
        <v>75.540271493212771</v>
      </c>
      <c r="P135" s="84">
        <f t="shared" si="100"/>
        <v>1</v>
      </c>
      <c r="Q135" s="119">
        <f t="shared" si="101"/>
        <v>-18.209728506787229</v>
      </c>
      <c r="R135" s="458">
        <f t="shared" si="102"/>
        <v>0.80576289592760286</v>
      </c>
      <c r="S135" s="622">
        <f>R147</f>
        <v>0.88896273751203259</v>
      </c>
      <c r="T135" s="288">
        <v>0.5</v>
      </c>
      <c r="U135" s="198">
        <v>0.54513888888888884</v>
      </c>
      <c r="V135" s="153">
        <v>5</v>
      </c>
      <c r="W135" s="289">
        <f t="shared" ref="W135:W147" si="106">(U135-T135)*24*60</f>
        <v>64.999999999999929</v>
      </c>
      <c r="X135" s="83"/>
      <c r="Y135" s="83"/>
      <c r="Z135" s="84"/>
      <c r="AA135" s="84"/>
      <c r="AB135" s="616"/>
      <c r="AC135" s="616"/>
      <c r="AD135" s="457"/>
      <c r="AE135" s="457"/>
      <c r="AF135" s="150">
        <f t="shared" si="69"/>
        <v>-215.81538461538298</v>
      </c>
      <c r="AG135" s="155">
        <f t="shared" si="70"/>
        <v>0.85612307692307799</v>
      </c>
      <c r="AH135" s="615">
        <f>AG147</f>
        <v>0.89991545983626553</v>
      </c>
      <c r="AJ135" s="62" t="str">
        <f>A135</f>
        <v>綜合三組
(ET-55)</v>
      </c>
      <c r="AK135" s="404">
        <f>AVERAGE(AK136:AK146)</f>
        <v>6.3750000000000338</v>
      </c>
    </row>
    <row r="136" spans="1:37" ht="19.2" customHeight="1">
      <c r="A136" s="619"/>
      <c r="B136" s="459" t="s">
        <v>166</v>
      </c>
      <c r="C136" s="457"/>
      <c r="D136" s="113" t="s">
        <v>145</v>
      </c>
      <c r="E136" s="114"/>
      <c r="F136" s="73">
        <v>50.67</v>
      </c>
      <c r="G136" s="85">
        <v>996</v>
      </c>
      <c r="H136" s="116">
        <f t="shared" si="103"/>
        <v>50467.32</v>
      </c>
      <c r="I136" s="457"/>
      <c r="J136" s="76">
        <v>18</v>
      </c>
      <c r="K136" s="85">
        <v>1500</v>
      </c>
      <c r="L136" s="118">
        <v>83.333333333333329</v>
      </c>
      <c r="M136" s="467">
        <v>18</v>
      </c>
      <c r="N136" s="85">
        <f t="shared" si="104"/>
        <v>1299.1304347826085</v>
      </c>
      <c r="O136" s="118">
        <f t="shared" si="105"/>
        <v>72.173913043478251</v>
      </c>
      <c r="P136" s="84">
        <f t="shared" si="100"/>
        <v>0</v>
      </c>
      <c r="Q136" s="119">
        <f t="shared" si="101"/>
        <v>-11.159420289855078</v>
      </c>
      <c r="R136" s="458">
        <f t="shared" si="102"/>
        <v>0.86608695652173906</v>
      </c>
      <c r="S136" s="622"/>
      <c r="T136" s="288">
        <v>0.54999999999999993</v>
      </c>
      <c r="U136" s="198">
        <v>0.58194444444444438</v>
      </c>
      <c r="V136" s="153">
        <v>7</v>
      </c>
      <c r="W136" s="289">
        <f t="shared" si="106"/>
        <v>46</v>
      </c>
      <c r="X136" s="83"/>
      <c r="Y136" s="83"/>
      <c r="Z136" s="84"/>
      <c r="AA136" s="84"/>
      <c r="AB136" s="616"/>
      <c r="AC136" s="616"/>
      <c r="AD136" s="457"/>
      <c r="AE136" s="457"/>
      <c r="AF136" s="78">
        <f t="shared" si="69"/>
        <v>-200.86956521739148</v>
      </c>
      <c r="AG136" s="160">
        <f t="shared" si="70"/>
        <v>0.86608695652173906</v>
      </c>
      <c r="AH136" s="615"/>
      <c r="AJ136" s="405">
        <f t="shared" ref="AJ136:AJ146" si="107">IF((IF(V136&lt;10,V136,(X136-U135)*1440))=0,"",IF(V136&lt;10,V136,(X136-U135)*1440))</f>
        <v>7</v>
      </c>
      <c r="AK136" s="406">
        <f>IF(AJ136&gt;4,AJ136,"")</f>
        <v>7</v>
      </c>
    </row>
    <row r="137" spans="1:37" ht="19.2" customHeight="1">
      <c r="A137" s="619"/>
      <c r="B137" s="459" t="s">
        <v>166</v>
      </c>
      <c r="C137" s="457"/>
      <c r="D137" s="113" t="s">
        <v>146</v>
      </c>
      <c r="E137" s="114"/>
      <c r="F137" s="73">
        <v>53.27</v>
      </c>
      <c r="G137" s="246">
        <v>1109</v>
      </c>
      <c r="H137" s="116">
        <f t="shared" si="103"/>
        <v>59076.43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04"/>
        <v>1279.6153846153852</v>
      </c>
      <c r="O137" s="149">
        <f t="shared" si="105"/>
        <v>79.975961538461576</v>
      </c>
      <c r="P137" s="84">
        <f t="shared" si="100"/>
        <v>0</v>
      </c>
      <c r="Q137" s="119">
        <f t="shared" si="101"/>
        <v>-13.774038461538424</v>
      </c>
      <c r="R137" s="458">
        <f t="shared" si="102"/>
        <v>0.85307692307692351</v>
      </c>
      <c r="S137" s="622"/>
      <c r="T137" s="198">
        <v>0.5972222222222221</v>
      </c>
      <c r="U137" s="198">
        <v>0.63333333333333319</v>
      </c>
      <c r="V137" s="290">
        <v>22</v>
      </c>
      <c r="W137" s="289">
        <f t="shared" si="106"/>
        <v>51.999999999999972</v>
      </c>
      <c r="X137" s="83">
        <v>0.58611111111111114</v>
      </c>
      <c r="Y137" s="83">
        <v>0.59583333333333333</v>
      </c>
      <c r="Z137" s="84"/>
      <c r="AA137" s="84"/>
      <c r="AB137" s="616"/>
      <c r="AC137" s="616"/>
      <c r="AD137" s="457"/>
      <c r="AE137" s="457"/>
      <c r="AF137" s="78">
        <f t="shared" si="69"/>
        <v>-220.38461538461479</v>
      </c>
      <c r="AG137" s="160">
        <f t="shared" si="70"/>
        <v>0.85307692307692351</v>
      </c>
      <c r="AH137" s="615"/>
      <c r="AJ137" s="405">
        <f t="shared" si="107"/>
        <v>6.0000000000001386</v>
      </c>
      <c r="AK137" s="406">
        <f t="shared" ref="AK137:AK146" si="108">IF(AJ137&gt;4,AJ137,"")</f>
        <v>6.0000000000001386</v>
      </c>
    </row>
    <row r="138" spans="1:37" ht="19.2" customHeight="1">
      <c r="A138" s="619"/>
      <c r="B138" s="459" t="s">
        <v>166</v>
      </c>
      <c r="C138" s="260"/>
      <c r="D138" s="113" t="s">
        <v>147</v>
      </c>
      <c r="E138" s="114"/>
      <c r="F138" s="73">
        <v>57.734999999999999</v>
      </c>
      <c r="G138" s="85">
        <v>1578</v>
      </c>
      <c r="H138" s="116">
        <f t="shared" si="103"/>
        <v>91105.83</v>
      </c>
      <c r="I138" s="457"/>
      <c r="J138" s="129">
        <v>16</v>
      </c>
      <c r="K138" s="85">
        <v>1565</v>
      </c>
      <c r="L138" s="118">
        <v>97.8125</v>
      </c>
      <c r="M138" s="267">
        <v>16</v>
      </c>
      <c r="N138" s="85">
        <f t="shared" si="104"/>
        <v>1279.4594594594585</v>
      </c>
      <c r="O138" s="118">
        <f t="shared" si="105"/>
        <v>79.966216216216154</v>
      </c>
      <c r="P138" s="84">
        <f t="shared" si="100"/>
        <v>0</v>
      </c>
      <c r="Q138" s="119">
        <f t="shared" si="101"/>
        <v>-17.846283783783846</v>
      </c>
      <c r="R138" s="458">
        <f t="shared" si="102"/>
        <v>0.81754598048527694</v>
      </c>
      <c r="S138" s="622"/>
      <c r="T138" s="198">
        <v>0.63749999999999984</v>
      </c>
      <c r="U138" s="198">
        <v>0.68888888888888877</v>
      </c>
      <c r="V138" s="290">
        <v>6</v>
      </c>
      <c r="W138" s="289">
        <f t="shared" si="106"/>
        <v>74.000000000000057</v>
      </c>
      <c r="X138" s="83"/>
      <c r="Y138" s="83"/>
      <c r="Z138" s="84"/>
      <c r="AA138" s="84"/>
      <c r="AB138" s="616"/>
      <c r="AC138" s="616"/>
      <c r="AD138" s="457"/>
      <c r="AE138" s="457"/>
      <c r="AF138" s="78">
        <f t="shared" si="69"/>
        <v>-285.54054054054154</v>
      </c>
      <c r="AG138" s="160">
        <f t="shared" si="70"/>
        <v>0.81754598048527694</v>
      </c>
      <c r="AH138" s="615"/>
      <c r="AJ138" s="405">
        <f t="shared" si="107"/>
        <v>6</v>
      </c>
      <c r="AK138" s="406">
        <f t="shared" si="108"/>
        <v>6</v>
      </c>
    </row>
    <row r="139" spans="1:37" ht="19.2" customHeight="1">
      <c r="A139" s="619"/>
      <c r="B139" s="459" t="s">
        <v>166</v>
      </c>
      <c r="C139" s="465"/>
      <c r="D139" s="71" t="s">
        <v>148</v>
      </c>
      <c r="E139" s="72"/>
      <c r="F139" s="73">
        <v>50.98</v>
      </c>
      <c r="G139" s="85">
        <v>1658</v>
      </c>
      <c r="H139" s="116">
        <f t="shared" si="103"/>
        <v>84524.84</v>
      </c>
      <c r="I139" s="457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04"/>
        <v>1381.6666666666656</v>
      </c>
      <c r="O139" s="149">
        <f t="shared" si="105"/>
        <v>69.083333333333286</v>
      </c>
      <c r="P139" s="84">
        <f t="shared" si="100"/>
        <v>0</v>
      </c>
      <c r="Q139" s="119">
        <f t="shared" si="101"/>
        <v>-2.916666666666714</v>
      </c>
      <c r="R139" s="458">
        <f t="shared" si="102"/>
        <v>0.95949074074074003</v>
      </c>
      <c r="S139" s="622"/>
      <c r="T139" s="198">
        <v>0.72916666666666652</v>
      </c>
      <c r="U139" s="198">
        <v>0.77916666666666656</v>
      </c>
      <c r="V139" s="291">
        <v>5</v>
      </c>
      <c r="W139" s="289">
        <f t="shared" si="106"/>
        <v>72.000000000000057</v>
      </c>
      <c r="X139" s="83"/>
      <c r="Y139" s="83"/>
      <c r="Z139" s="84"/>
      <c r="AA139" s="84"/>
      <c r="AB139" s="616"/>
      <c r="AC139" s="616"/>
      <c r="AD139" s="457"/>
      <c r="AE139" s="457"/>
      <c r="AF139" s="78">
        <f t="shared" si="69"/>
        <v>-58.333333333334394</v>
      </c>
      <c r="AG139" s="160">
        <f t="shared" si="70"/>
        <v>0.95949074074074003</v>
      </c>
      <c r="AH139" s="615"/>
      <c r="AJ139" s="405">
        <f t="shared" si="107"/>
        <v>5</v>
      </c>
      <c r="AK139" s="406">
        <f t="shared" si="108"/>
        <v>5</v>
      </c>
    </row>
    <row r="140" spans="1:37" ht="19.2" customHeight="1">
      <c r="A140" s="620"/>
      <c r="B140" s="459" t="s">
        <v>166</v>
      </c>
      <c r="C140" s="465"/>
      <c r="D140" s="292" t="s">
        <v>149</v>
      </c>
      <c r="E140" s="114"/>
      <c r="F140" s="73">
        <v>50.92</v>
      </c>
      <c r="G140" s="85">
        <v>1807</v>
      </c>
      <c r="H140" s="116">
        <f t="shared" si="103"/>
        <v>92012.44</v>
      </c>
      <c r="I140" s="457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04"/>
        <v>1389.9999999999993</v>
      </c>
      <c r="O140" s="149">
        <f t="shared" si="105"/>
        <v>73.157894736842067</v>
      </c>
      <c r="P140" s="84">
        <f t="shared" si="100"/>
        <v>0</v>
      </c>
      <c r="Q140" s="119">
        <f t="shared" si="101"/>
        <v>-2.6315789473684532</v>
      </c>
      <c r="R140" s="458">
        <f t="shared" si="102"/>
        <v>0.96527777777777735</v>
      </c>
      <c r="S140" s="623"/>
      <c r="T140" s="232">
        <v>0.78402777777777766</v>
      </c>
      <c r="U140" s="293">
        <v>0.83819444444444435</v>
      </c>
      <c r="V140" s="294">
        <v>7</v>
      </c>
      <c r="W140" s="289">
        <f t="shared" si="106"/>
        <v>78.000000000000043</v>
      </c>
      <c r="X140" s="83"/>
      <c r="Y140" s="83"/>
      <c r="Z140" s="84"/>
      <c r="AA140" s="84"/>
      <c r="AB140" s="616"/>
      <c r="AC140" s="616"/>
      <c r="AD140" s="457"/>
      <c r="AE140" s="457"/>
      <c r="AF140" s="78">
        <f t="shared" si="69"/>
        <v>-50.000000000000682</v>
      </c>
      <c r="AG140" s="160">
        <f t="shared" si="70"/>
        <v>0.96527777777777735</v>
      </c>
      <c r="AH140" s="615"/>
      <c r="AJ140" s="405">
        <f t="shared" si="107"/>
        <v>7</v>
      </c>
      <c r="AK140" s="406">
        <f t="shared" si="108"/>
        <v>7</v>
      </c>
    </row>
    <row r="141" spans="1:37" ht="19.2" customHeight="1">
      <c r="A141" s="620"/>
      <c r="B141" s="459" t="s">
        <v>166</v>
      </c>
      <c r="C141" s="465"/>
      <c r="D141" s="71" t="s">
        <v>155</v>
      </c>
      <c r="E141" s="295"/>
      <c r="F141" s="73">
        <v>54.09</v>
      </c>
      <c r="G141" s="85">
        <v>1228</v>
      </c>
      <c r="H141" s="116">
        <f t="shared" si="103"/>
        <v>66422.52</v>
      </c>
      <c r="I141" s="457"/>
      <c r="J141" s="76">
        <v>19</v>
      </c>
      <c r="K141" s="74">
        <v>1440</v>
      </c>
      <c r="L141" s="77">
        <v>75.78947368421052</v>
      </c>
      <c r="M141" s="267">
        <v>19</v>
      </c>
      <c r="N141" s="85">
        <f t="shared" si="104"/>
        <v>1390.1886792452838</v>
      </c>
      <c r="O141" s="118">
        <f t="shared" si="105"/>
        <v>73.167825223435983</v>
      </c>
      <c r="P141" s="84">
        <f t="shared" si="100"/>
        <v>0</v>
      </c>
      <c r="Q141" s="119">
        <f t="shared" si="101"/>
        <v>-2.6216484607745372</v>
      </c>
      <c r="R141" s="458">
        <f t="shared" si="102"/>
        <v>0.9654088050314471</v>
      </c>
      <c r="S141" s="623"/>
      <c r="T141" s="232">
        <v>0.85416666666666652</v>
      </c>
      <c r="U141" s="293">
        <v>0.89097222222222205</v>
      </c>
      <c r="V141" s="86">
        <v>23</v>
      </c>
      <c r="W141" s="289">
        <f t="shared" si="106"/>
        <v>52.999999999999972</v>
      </c>
      <c r="X141" s="83">
        <v>0.84305555555555556</v>
      </c>
      <c r="Y141" s="83">
        <v>0.85277777777777775</v>
      </c>
      <c r="Z141" s="84"/>
      <c r="AA141" s="84"/>
      <c r="AB141" s="616"/>
      <c r="AC141" s="616"/>
      <c r="AD141" s="457"/>
      <c r="AE141" s="457"/>
      <c r="AF141" s="78">
        <f t="shared" si="69"/>
        <v>-49.811320754716235</v>
      </c>
      <c r="AG141" s="160">
        <f t="shared" si="70"/>
        <v>0.9654088050314471</v>
      </c>
      <c r="AH141" s="615"/>
      <c r="AJ141" s="405">
        <f t="shared" si="107"/>
        <v>7.000000000000135</v>
      </c>
      <c r="AK141" s="406">
        <f t="shared" si="108"/>
        <v>7.000000000000135</v>
      </c>
    </row>
    <row r="142" spans="1:37" ht="19.2" customHeight="1">
      <c r="A142" s="620"/>
      <c r="B142" s="459" t="s">
        <v>166</v>
      </c>
      <c r="C142" s="465"/>
      <c r="D142" s="71" t="s">
        <v>193</v>
      </c>
      <c r="E142" s="295"/>
      <c r="F142" s="73">
        <v>50.67</v>
      </c>
      <c r="G142" s="85">
        <v>742</v>
      </c>
      <c r="H142" s="116">
        <f t="shared" si="103"/>
        <v>37597.14</v>
      </c>
      <c r="I142" s="457"/>
      <c r="J142" s="76">
        <v>17</v>
      </c>
      <c r="K142" s="74">
        <v>1500</v>
      </c>
      <c r="L142" s="77">
        <v>88.235294117647058</v>
      </c>
      <c r="M142" s="267">
        <v>17</v>
      </c>
      <c r="N142" s="85">
        <f t="shared" si="104"/>
        <v>1391.2499999999982</v>
      </c>
      <c r="O142" s="149">
        <f t="shared" si="105"/>
        <v>81.838235294117538</v>
      </c>
      <c r="P142" s="84">
        <f t="shared" si="100"/>
        <v>0</v>
      </c>
      <c r="Q142" s="119">
        <f t="shared" si="101"/>
        <v>-6.3970588235295196</v>
      </c>
      <c r="R142" s="458">
        <f t="shared" si="102"/>
        <v>0.92749999999999877</v>
      </c>
      <c r="S142" s="623"/>
      <c r="T142" s="232">
        <v>0.89513888888888871</v>
      </c>
      <c r="U142" s="293">
        <v>0.91736111111111096</v>
      </c>
      <c r="V142" s="86">
        <v>6</v>
      </c>
      <c r="W142" s="289">
        <f t="shared" si="106"/>
        <v>32.000000000000043</v>
      </c>
      <c r="X142" s="83"/>
      <c r="Y142" s="83"/>
      <c r="Z142" s="84"/>
      <c r="AA142" s="84"/>
      <c r="AB142" s="616"/>
      <c r="AC142" s="616"/>
      <c r="AD142" s="457"/>
      <c r="AE142" s="457"/>
      <c r="AF142" s="78">
        <f t="shared" si="69"/>
        <v>-108.75000000000182</v>
      </c>
      <c r="AG142" s="160">
        <f t="shared" si="70"/>
        <v>0.92749999999999877</v>
      </c>
      <c r="AH142" s="615"/>
      <c r="AJ142" s="405">
        <f t="shared" si="107"/>
        <v>6</v>
      </c>
      <c r="AK142" s="406">
        <f t="shared" si="108"/>
        <v>6</v>
      </c>
    </row>
    <row r="143" spans="1:37" ht="19.2" customHeight="1">
      <c r="A143" s="620"/>
      <c r="B143" s="459" t="s">
        <v>166</v>
      </c>
      <c r="C143" s="296"/>
      <c r="D143" s="113" t="s">
        <v>137</v>
      </c>
      <c r="E143" s="114"/>
      <c r="F143" s="73">
        <v>56.43</v>
      </c>
      <c r="G143" s="85">
        <v>1003</v>
      </c>
      <c r="H143" s="116">
        <f t="shared" si="103"/>
        <v>56599.29</v>
      </c>
      <c r="I143" s="457"/>
      <c r="J143" s="76"/>
      <c r="K143" s="74"/>
      <c r="L143" s="77"/>
      <c r="M143" s="267">
        <v>17</v>
      </c>
      <c r="N143" s="85"/>
      <c r="O143" s="118"/>
      <c r="P143" s="84"/>
      <c r="Q143" s="119"/>
      <c r="R143" s="458"/>
      <c r="S143" s="623"/>
      <c r="T143" s="232">
        <v>0.92222222222222205</v>
      </c>
      <c r="U143" s="293">
        <v>0.95069444444444429</v>
      </c>
      <c r="V143" s="86">
        <v>7</v>
      </c>
      <c r="W143" s="289">
        <f t="shared" si="106"/>
        <v>41.000000000000014</v>
      </c>
      <c r="X143" s="83"/>
      <c r="Y143" s="83"/>
      <c r="Z143" s="84"/>
      <c r="AA143" s="84"/>
      <c r="AB143" s="616"/>
      <c r="AC143" s="616"/>
      <c r="AD143" s="457"/>
      <c r="AE143" s="457"/>
      <c r="AF143" s="78">
        <f t="shared" si="69"/>
        <v>0</v>
      </c>
      <c r="AG143" s="160" t="e">
        <f t="shared" si="70"/>
        <v>#DIV/0!</v>
      </c>
      <c r="AH143" s="615"/>
      <c r="AJ143" s="405">
        <f t="shared" si="107"/>
        <v>7</v>
      </c>
      <c r="AK143" s="406">
        <f t="shared" si="108"/>
        <v>7</v>
      </c>
    </row>
    <row r="144" spans="1:37" ht="19.2" customHeight="1">
      <c r="A144" s="620"/>
      <c r="B144" s="459">
        <v>0</v>
      </c>
      <c r="C144" s="465"/>
      <c r="D144" s="71"/>
      <c r="E144" s="295"/>
      <c r="F144" s="73" t="s">
        <v>161</v>
      </c>
      <c r="G144" s="85"/>
      <c r="H144" s="116">
        <f t="shared" si="103"/>
        <v>0</v>
      </c>
      <c r="I144" s="457"/>
      <c r="J144" s="129"/>
      <c r="K144" s="85"/>
      <c r="L144" s="118"/>
      <c r="M144" s="467"/>
      <c r="N144" s="85"/>
      <c r="O144" s="149"/>
      <c r="P144" s="84"/>
      <c r="Q144" s="119"/>
      <c r="R144" s="458"/>
      <c r="S144" s="623"/>
      <c r="T144" s="232"/>
      <c r="U144" s="293"/>
      <c r="V144" s="86"/>
      <c r="W144" s="289">
        <f t="shared" si="106"/>
        <v>0</v>
      </c>
      <c r="X144" s="83"/>
      <c r="Y144" s="83"/>
      <c r="Z144" s="84"/>
      <c r="AA144" s="84"/>
      <c r="AB144" s="616"/>
      <c r="AC144" s="616"/>
      <c r="AD144" s="457"/>
      <c r="AE144" s="457"/>
      <c r="AF144" s="78">
        <f t="shared" si="69"/>
        <v>0</v>
      </c>
      <c r="AG144" s="160" t="e">
        <f t="shared" si="70"/>
        <v>#DIV/0!</v>
      </c>
      <c r="AH144" s="615"/>
      <c r="AJ144" s="405" t="str">
        <f t="shared" si="107"/>
        <v/>
      </c>
      <c r="AK144" s="406" t="str">
        <f t="shared" si="108"/>
        <v/>
      </c>
    </row>
    <row r="145" spans="1:37" ht="19.2" customHeight="1">
      <c r="A145" s="620"/>
      <c r="B145" s="459">
        <v>0</v>
      </c>
      <c r="C145" s="465"/>
      <c r="D145" s="71"/>
      <c r="E145" s="295"/>
      <c r="F145" s="73" t="s">
        <v>161</v>
      </c>
      <c r="G145" s="85"/>
      <c r="H145" s="116">
        <f t="shared" si="103"/>
        <v>0</v>
      </c>
      <c r="I145" s="457"/>
      <c r="J145" s="129"/>
      <c r="K145" s="85"/>
      <c r="L145" s="118"/>
      <c r="M145" s="467"/>
      <c r="N145" s="85"/>
      <c r="O145" s="118"/>
      <c r="P145" s="84"/>
      <c r="Q145" s="119"/>
      <c r="R145" s="458"/>
      <c r="S145" s="623"/>
      <c r="T145" s="232"/>
      <c r="U145" s="293"/>
      <c r="V145" s="86"/>
      <c r="W145" s="289">
        <f t="shared" si="106"/>
        <v>0</v>
      </c>
      <c r="X145" s="83"/>
      <c r="Y145" s="83"/>
      <c r="Z145" s="84"/>
      <c r="AA145" s="84"/>
      <c r="AB145" s="616"/>
      <c r="AC145" s="616"/>
      <c r="AD145" s="457"/>
      <c r="AE145" s="457"/>
      <c r="AF145" s="78">
        <f t="shared" si="69"/>
        <v>0</v>
      </c>
      <c r="AG145" s="160" t="e">
        <f t="shared" si="70"/>
        <v>#DIV/0!</v>
      </c>
      <c r="AH145" s="615"/>
      <c r="AJ145" s="405" t="str">
        <f t="shared" si="107"/>
        <v/>
      </c>
      <c r="AK145" s="406" t="str">
        <f t="shared" si="108"/>
        <v/>
      </c>
    </row>
    <row r="146" spans="1:37" ht="19.2" customHeight="1">
      <c r="A146" s="620"/>
      <c r="B146" s="472">
        <v>0</v>
      </c>
      <c r="C146" s="296"/>
      <c r="D146" s="297"/>
      <c r="E146" s="295"/>
      <c r="F146" s="73" t="s">
        <v>161</v>
      </c>
      <c r="G146" s="85"/>
      <c r="H146" s="116">
        <f t="shared" si="103"/>
        <v>0</v>
      </c>
      <c r="I146" s="457"/>
      <c r="J146" s="129"/>
      <c r="K146" s="85"/>
      <c r="L146" s="118"/>
      <c r="M146" s="467"/>
      <c r="N146" s="85"/>
      <c r="O146" s="118"/>
      <c r="P146" s="84"/>
      <c r="Q146" s="119"/>
      <c r="R146" s="458"/>
      <c r="S146" s="623"/>
      <c r="T146" s="232"/>
      <c r="U146" s="293"/>
      <c r="V146" s="86"/>
      <c r="W146" s="289">
        <f t="shared" si="106"/>
        <v>0</v>
      </c>
      <c r="X146" s="83"/>
      <c r="Y146" s="83"/>
      <c r="Z146" s="84"/>
      <c r="AA146" s="84"/>
      <c r="AB146" s="616"/>
      <c r="AC146" s="616"/>
      <c r="AD146" s="457"/>
      <c r="AE146" s="457"/>
      <c r="AF146" s="84"/>
      <c r="AG146" s="458"/>
      <c r="AH146" s="615"/>
      <c r="AJ146" s="405" t="str">
        <f t="shared" si="107"/>
        <v/>
      </c>
      <c r="AK146" s="406" t="str">
        <f t="shared" si="108"/>
        <v/>
      </c>
    </row>
    <row r="147" spans="1:37" ht="19.2" customHeight="1">
      <c r="A147" s="621"/>
      <c r="B147" s="298">
        <v>0</v>
      </c>
      <c r="C147" s="132" t="s">
        <v>464</v>
      </c>
      <c r="D147" s="612" t="s">
        <v>332</v>
      </c>
      <c r="E147" s="612"/>
      <c r="F147" s="299"/>
      <c r="G147" s="103"/>
      <c r="H147" s="134"/>
      <c r="I147" s="135"/>
      <c r="J147" s="103">
        <v>17.625</v>
      </c>
      <c r="K147" s="103">
        <v>1485.625</v>
      </c>
      <c r="L147" s="136">
        <v>85.057509352425186</v>
      </c>
      <c r="M147" s="284">
        <f t="shared" ref="M147:O147" si="109">AVERAGE(M135:M146)</f>
        <v>17.666666666666668</v>
      </c>
      <c r="N147" s="284">
        <f t="shared" si="109"/>
        <v>1336.936905019252</v>
      </c>
      <c r="O147" s="285">
        <f t="shared" si="109"/>
        <v>75.612956359887207</v>
      </c>
      <c r="P147" s="81">
        <f t="shared" ref="P147:P150" si="110">M147-J147</f>
        <v>4.1666666666667851E-2</v>
      </c>
      <c r="Q147" s="178">
        <f t="shared" ref="Q147:Q150" si="111">O147-L147</f>
        <v>-9.4445529925379788</v>
      </c>
      <c r="R147" s="300">
        <f t="shared" ref="R147:R150" si="112">O147/L147</f>
        <v>0.88896273751203259</v>
      </c>
      <c r="S147" s="624"/>
      <c r="T147" s="232"/>
      <c r="U147" s="232"/>
      <c r="V147" s="86"/>
      <c r="W147" s="469">
        <f t="shared" si="106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616"/>
      <c r="AC147" s="616"/>
      <c r="AD147" s="139">
        <f>SUM(AD135:AD146)</f>
        <v>0</v>
      </c>
      <c r="AE147" s="139">
        <f>SUM(AE135:AE146)</f>
        <v>0</v>
      </c>
      <c r="AF147" s="240">
        <f t="shared" si="69"/>
        <v>-148.68809498074802</v>
      </c>
      <c r="AG147" s="301">
        <f t="shared" si="70"/>
        <v>0.89991545983626553</v>
      </c>
      <c r="AH147" s="615"/>
    </row>
    <row r="148" spans="1:37" ht="19.2" customHeight="1">
      <c r="A148" s="627" t="s">
        <v>465</v>
      </c>
      <c r="B148" s="457" t="s">
        <v>163</v>
      </c>
      <c r="C148" s="156"/>
      <c r="D148" s="211" t="s">
        <v>152</v>
      </c>
      <c r="E148" s="72"/>
      <c r="F148" s="174">
        <v>55.51</v>
      </c>
      <c r="G148" s="85">
        <v>101</v>
      </c>
      <c r="H148" s="116">
        <f t="shared" ref="H148:H172" si="113">F148*G148</f>
        <v>5606.51</v>
      </c>
      <c r="I148" s="302"/>
      <c r="J148" s="129">
        <v>8</v>
      </c>
      <c r="K148" s="85">
        <v>1500</v>
      </c>
      <c r="L148" s="118">
        <v>187.5</v>
      </c>
      <c r="M148" s="129">
        <v>6</v>
      </c>
      <c r="N148" s="74">
        <f t="shared" ref="N148:N150" si="114">G148/W148*60</f>
        <v>1212.0000000000043</v>
      </c>
      <c r="O148" s="77">
        <f t="shared" ref="O148:O150" si="115">N148/M148</f>
        <v>202.00000000000071</v>
      </c>
      <c r="P148" s="78">
        <f t="shared" si="110"/>
        <v>-2</v>
      </c>
      <c r="Q148" s="79">
        <f t="shared" si="111"/>
        <v>14.500000000000711</v>
      </c>
      <c r="R148" s="461">
        <f t="shared" si="112"/>
        <v>1.077333333333337</v>
      </c>
      <c r="S148" s="628">
        <f>R160</f>
        <v>0.96364236182562313</v>
      </c>
      <c r="T148" s="288">
        <v>0.70833333333333337</v>
      </c>
      <c r="U148" s="198">
        <v>0.71180555555555558</v>
      </c>
      <c r="V148" s="459">
        <v>5</v>
      </c>
      <c r="W148" s="469">
        <f>(U148-T148)*24*60</f>
        <v>4.9999999999999822</v>
      </c>
      <c r="X148" s="83"/>
      <c r="Y148" s="83"/>
      <c r="Z148" s="84"/>
      <c r="AA148" s="84"/>
      <c r="AB148" s="616"/>
      <c r="AC148" s="616"/>
      <c r="AD148" s="457"/>
      <c r="AE148" s="457"/>
      <c r="AF148" s="78">
        <f t="shared" si="69"/>
        <v>-287.99999999999568</v>
      </c>
      <c r="AG148" s="160">
        <f t="shared" si="70"/>
        <v>0.80800000000000283</v>
      </c>
      <c r="AH148" s="615">
        <f>AG160</f>
        <v>0.9154679019790567</v>
      </c>
    </row>
    <row r="149" spans="1:37" ht="19.2" customHeight="1">
      <c r="A149" s="627"/>
      <c r="B149" s="457" t="s">
        <v>165</v>
      </c>
      <c r="C149" s="258"/>
      <c r="D149" s="292" t="s">
        <v>153</v>
      </c>
      <c r="E149" s="90"/>
      <c r="F149" s="174">
        <v>28.57</v>
      </c>
      <c r="G149" s="85">
        <v>1601</v>
      </c>
      <c r="H149" s="116">
        <f t="shared" si="113"/>
        <v>45740.57</v>
      </c>
      <c r="I149" s="302"/>
      <c r="J149" s="129">
        <v>8</v>
      </c>
      <c r="K149" s="85">
        <v>1500</v>
      </c>
      <c r="L149" s="118">
        <v>187.5</v>
      </c>
      <c r="M149" s="129">
        <v>10</v>
      </c>
      <c r="N149" s="74">
        <f t="shared" si="114"/>
        <v>1656.2068965517208</v>
      </c>
      <c r="O149" s="77">
        <f t="shared" si="115"/>
        <v>165.62068965517207</v>
      </c>
      <c r="P149" s="78">
        <f t="shared" si="110"/>
        <v>2</v>
      </c>
      <c r="Q149" s="79">
        <f t="shared" si="111"/>
        <v>-21.879310344827928</v>
      </c>
      <c r="R149" s="461">
        <f t="shared" si="112"/>
        <v>0.88331034482758441</v>
      </c>
      <c r="S149" s="629"/>
      <c r="T149" s="288">
        <v>0.71666666666666667</v>
      </c>
      <c r="U149" s="198">
        <v>0.75694444444444453</v>
      </c>
      <c r="V149" s="459">
        <v>7</v>
      </c>
      <c r="W149" s="469">
        <f t="shared" ref="W149:W159" si="116">(U149-T149)*24*60</f>
        <v>58.000000000000114</v>
      </c>
      <c r="X149" s="83"/>
      <c r="Y149" s="83"/>
      <c r="Z149" s="84"/>
      <c r="AA149" s="84"/>
      <c r="AB149" s="616"/>
      <c r="AC149" s="616"/>
      <c r="AD149" s="457"/>
      <c r="AE149" s="457"/>
      <c r="AF149" s="78">
        <f t="shared" si="69"/>
        <v>156.20689655172077</v>
      </c>
      <c r="AG149" s="160">
        <f t="shared" si="70"/>
        <v>1.1041379310344805</v>
      </c>
      <c r="AH149" s="617"/>
    </row>
    <row r="150" spans="1:37" ht="19.2" customHeight="1">
      <c r="A150" s="627"/>
      <c r="B150" s="457" t="s">
        <v>166</v>
      </c>
      <c r="C150" s="258"/>
      <c r="D150" s="214" t="s">
        <v>154</v>
      </c>
      <c r="E150" s="90"/>
      <c r="F150" s="174">
        <v>54.5</v>
      </c>
      <c r="G150" s="85">
        <v>339</v>
      </c>
      <c r="H150" s="116">
        <f t="shared" si="113"/>
        <v>18475.5</v>
      </c>
      <c r="I150" s="302"/>
      <c r="J150" s="129">
        <v>21</v>
      </c>
      <c r="K150" s="85">
        <v>1440</v>
      </c>
      <c r="L150" s="118">
        <v>68.571428571428569</v>
      </c>
      <c r="M150" s="129">
        <v>20</v>
      </c>
      <c r="N150" s="74">
        <f t="shared" si="114"/>
        <v>1196.4705882352871</v>
      </c>
      <c r="O150" s="77">
        <f t="shared" si="115"/>
        <v>59.823529411764355</v>
      </c>
      <c r="P150" s="78">
        <f t="shared" si="110"/>
        <v>-1</v>
      </c>
      <c r="Q150" s="79">
        <f t="shared" si="111"/>
        <v>-8.7478991596642146</v>
      </c>
      <c r="R150" s="461">
        <f t="shared" si="112"/>
        <v>0.8724264705882302</v>
      </c>
      <c r="S150" s="629"/>
      <c r="T150" s="288">
        <v>0.76111111111111107</v>
      </c>
      <c r="U150" s="198">
        <v>0.7729166666666667</v>
      </c>
      <c r="V150" s="459">
        <v>6</v>
      </c>
      <c r="W150" s="469">
        <f t="shared" si="116"/>
        <v>17.000000000000099</v>
      </c>
      <c r="X150" s="253"/>
      <c r="Y150" s="253"/>
      <c r="Z150" s="254"/>
      <c r="AA150" s="254"/>
      <c r="AB150" s="616"/>
      <c r="AC150" s="616"/>
      <c r="AD150" s="457"/>
      <c r="AE150" s="457"/>
      <c r="AF150" s="78">
        <f t="shared" si="69"/>
        <v>-243.5294117647129</v>
      </c>
      <c r="AG150" s="160">
        <f t="shared" si="70"/>
        <v>0.83088235294117163</v>
      </c>
      <c r="AH150" s="617"/>
    </row>
    <row r="151" spans="1:37" s="255" customFormat="1" ht="19.2" customHeight="1">
      <c r="A151" s="627"/>
      <c r="B151" s="457">
        <v>0</v>
      </c>
      <c r="C151" s="258"/>
      <c r="D151" s="88"/>
      <c r="E151" s="90"/>
      <c r="F151" s="174" t="s">
        <v>161</v>
      </c>
      <c r="G151" s="85"/>
      <c r="H151" s="116">
        <f t="shared" si="113"/>
        <v>0</v>
      </c>
      <c r="I151" s="302"/>
      <c r="J151" s="129"/>
      <c r="K151" s="85"/>
      <c r="L151" s="118"/>
      <c r="M151" s="129"/>
      <c r="N151" s="74"/>
      <c r="O151" s="77"/>
      <c r="P151" s="78"/>
      <c r="Q151" s="79"/>
      <c r="R151" s="461"/>
      <c r="S151" s="629"/>
      <c r="T151" s="288"/>
      <c r="U151" s="198"/>
      <c r="V151" s="459"/>
      <c r="W151" s="469">
        <f t="shared" si="116"/>
        <v>0</v>
      </c>
      <c r="X151" s="253"/>
      <c r="Y151" s="253"/>
      <c r="Z151" s="254"/>
      <c r="AA151" s="254"/>
      <c r="AB151" s="616"/>
      <c r="AC151" s="616"/>
      <c r="AD151" s="258"/>
      <c r="AE151" s="258"/>
      <c r="AF151" s="78">
        <f t="shared" si="69"/>
        <v>0</v>
      </c>
      <c r="AG151" s="160" t="e">
        <f t="shared" si="70"/>
        <v>#DIV/0!</v>
      </c>
      <c r="AH151" s="617"/>
    </row>
    <row r="152" spans="1:37" s="255" customFormat="1" ht="19.2" customHeight="1">
      <c r="A152" s="627"/>
      <c r="B152" s="457">
        <v>0</v>
      </c>
      <c r="C152" s="258"/>
      <c r="D152" s="88"/>
      <c r="E152" s="90"/>
      <c r="F152" s="174" t="s">
        <v>161</v>
      </c>
      <c r="G152" s="85"/>
      <c r="H152" s="116">
        <f t="shared" si="113"/>
        <v>0</v>
      </c>
      <c r="I152" s="302"/>
      <c r="J152" s="129"/>
      <c r="K152" s="85"/>
      <c r="L152" s="118"/>
      <c r="M152" s="129"/>
      <c r="N152" s="74"/>
      <c r="O152" s="77"/>
      <c r="P152" s="78"/>
      <c r="Q152" s="79"/>
      <c r="R152" s="461"/>
      <c r="S152" s="629"/>
      <c r="T152" s="303"/>
      <c r="U152" s="232"/>
      <c r="V152" s="471"/>
      <c r="W152" s="469">
        <f t="shared" si="116"/>
        <v>0</v>
      </c>
      <c r="X152" s="256"/>
      <c r="Y152" s="256"/>
      <c r="Z152" s="254"/>
      <c r="AA152" s="254"/>
      <c r="AB152" s="616"/>
      <c r="AC152" s="616"/>
      <c r="AD152" s="258"/>
      <c r="AE152" s="258"/>
      <c r="AF152" s="78">
        <f t="shared" si="69"/>
        <v>0</v>
      </c>
      <c r="AG152" s="160" t="e">
        <f t="shared" si="70"/>
        <v>#DIV/0!</v>
      </c>
      <c r="AH152" s="617"/>
    </row>
    <row r="153" spans="1:37" s="255" customFormat="1" ht="19.2" customHeight="1">
      <c r="A153" s="627"/>
      <c r="B153" s="457">
        <v>0</v>
      </c>
      <c r="C153" s="258"/>
      <c r="D153" s="292"/>
      <c r="E153" s="90"/>
      <c r="F153" s="174" t="s">
        <v>161</v>
      </c>
      <c r="G153" s="85"/>
      <c r="H153" s="116">
        <f t="shared" si="113"/>
        <v>0</v>
      </c>
      <c r="I153" s="302"/>
      <c r="J153" s="129"/>
      <c r="K153" s="85"/>
      <c r="L153" s="118"/>
      <c r="M153" s="129"/>
      <c r="N153" s="74"/>
      <c r="O153" s="77"/>
      <c r="P153" s="78"/>
      <c r="Q153" s="79"/>
      <c r="R153" s="461"/>
      <c r="S153" s="629"/>
      <c r="T153" s="303"/>
      <c r="U153" s="232"/>
      <c r="V153" s="471"/>
      <c r="W153" s="469">
        <f t="shared" si="116"/>
        <v>0</v>
      </c>
      <c r="X153" s="256"/>
      <c r="Y153" s="256"/>
      <c r="Z153" s="254"/>
      <c r="AA153" s="254"/>
      <c r="AB153" s="616"/>
      <c r="AC153" s="616"/>
      <c r="AD153" s="258"/>
      <c r="AE153" s="258"/>
      <c r="AF153" s="78">
        <f t="shared" si="69"/>
        <v>0</v>
      </c>
      <c r="AG153" s="160" t="e">
        <f t="shared" si="70"/>
        <v>#DIV/0!</v>
      </c>
      <c r="AH153" s="617"/>
    </row>
    <row r="154" spans="1:37" s="255" customFormat="1" ht="19.2" customHeight="1">
      <c r="A154" s="627"/>
      <c r="B154" s="457">
        <v>0</v>
      </c>
      <c r="C154" s="258"/>
      <c r="D154" s="292"/>
      <c r="E154" s="90"/>
      <c r="F154" s="174" t="s">
        <v>161</v>
      </c>
      <c r="G154" s="85"/>
      <c r="H154" s="116">
        <f t="shared" si="113"/>
        <v>0</v>
      </c>
      <c r="I154" s="302"/>
      <c r="J154" s="129"/>
      <c r="K154" s="85"/>
      <c r="L154" s="118"/>
      <c r="M154" s="129"/>
      <c r="N154" s="74"/>
      <c r="O154" s="77"/>
      <c r="P154" s="78"/>
      <c r="Q154" s="79"/>
      <c r="R154" s="461"/>
      <c r="S154" s="629"/>
      <c r="T154" s="303"/>
      <c r="U154" s="232"/>
      <c r="V154" s="471"/>
      <c r="W154" s="469">
        <f t="shared" si="116"/>
        <v>0</v>
      </c>
      <c r="X154" s="256"/>
      <c r="Y154" s="256"/>
      <c r="Z154" s="254"/>
      <c r="AA154" s="254"/>
      <c r="AB154" s="616"/>
      <c r="AC154" s="616"/>
      <c r="AD154" s="258"/>
      <c r="AE154" s="258"/>
      <c r="AF154" s="78">
        <f t="shared" si="69"/>
        <v>0</v>
      </c>
      <c r="AG154" s="160" t="e">
        <f t="shared" si="70"/>
        <v>#DIV/0!</v>
      </c>
      <c r="AH154" s="617"/>
    </row>
    <row r="155" spans="1:37" s="255" customFormat="1" ht="19.2" customHeight="1">
      <c r="A155" s="627"/>
      <c r="B155" s="457">
        <v>0</v>
      </c>
      <c r="C155" s="258"/>
      <c r="D155" s="292"/>
      <c r="E155" s="90"/>
      <c r="F155" s="174" t="s">
        <v>161</v>
      </c>
      <c r="G155" s="85"/>
      <c r="H155" s="116">
        <f t="shared" si="113"/>
        <v>0</v>
      </c>
      <c r="I155" s="302"/>
      <c r="J155" s="129"/>
      <c r="K155" s="85"/>
      <c r="L155" s="118"/>
      <c r="M155" s="129"/>
      <c r="N155" s="74"/>
      <c r="O155" s="77"/>
      <c r="P155" s="78"/>
      <c r="Q155" s="79"/>
      <c r="R155" s="461"/>
      <c r="S155" s="629"/>
      <c r="T155" s="303"/>
      <c r="U155" s="232"/>
      <c r="V155" s="471"/>
      <c r="W155" s="469">
        <f t="shared" si="116"/>
        <v>0</v>
      </c>
      <c r="X155" s="256"/>
      <c r="Y155" s="256"/>
      <c r="Z155" s="254"/>
      <c r="AA155" s="254"/>
      <c r="AB155" s="616"/>
      <c r="AC155" s="616"/>
      <c r="AD155" s="258"/>
      <c r="AE155" s="258"/>
      <c r="AF155" s="78">
        <f t="shared" si="69"/>
        <v>0</v>
      </c>
      <c r="AG155" s="160" t="e">
        <f t="shared" si="70"/>
        <v>#DIV/0!</v>
      </c>
      <c r="AH155" s="617"/>
    </row>
    <row r="156" spans="1:37" s="255" customFormat="1" ht="19.2" customHeight="1">
      <c r="A156" s="627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3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461"/>
      <c r="S156" s="629"/>
      <c r="T156" s="303"/>
      <c r="U156" s="232"/>
      <c r="V156" s="471"/>
      <c r="W156" s="304">
        <f t="shared" si="116"/>
        <v>0</v>
      </c>
      <c r="X156" s="256"/>
      <c r="Y156" s="256"/>
      <c r="Z156" s="254"/>
      <c r="AA156" s="254"/>
      <c r="AB156" s="616"/>
      <c r="AC156" s="616"/>
      <c r="AD156" s="258"/>
      <c r="AE156" s="258"/>
      <c r="AF156" s="305"/>
      <c r="AG156" s="169"/>
      <c r="AH156" s="617"/>
    </row>
    <row r="157" spans="1:37" s="255" customFormat="1" ht="19.2" customHeight="1">
      <c r="A157" s="627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3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629"/>
      <c r="T157" s="303"/>
      <c r="U157" s="232"/>
      <c r="V157" s="471"/>
      <c r="W157" s="304">
        <f t="shared" si="116"/>
        <v>0</v>
      </c>
      <c r="X157" s="256"/>
      <c r="Y157" s="256"/>
      <c r="Z157" s="254"/>
      <c r="AA157" s="254"/>
      <c r="AB157" s="616"/>
      <c r="AC157" s="616"/>
      <c r="AD157" s="258"/>
      <c r="AE157" s="258"/>
      <c r="AF157" s="305"/>
      <c r="AG157" s="169"/>
      <c r="AH157" s="617"/>
    </row>
    <row r="158" spans="1:37" s="255" customFormat="1" ht="19.2" customHeight="1">
      <c r="A158" s="627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3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629"/>
      <c r="T158" s="303"/>
      <c r="U158" s="232"/>
      <c r="V158" s="471"/>
      <c r="W158" s="304">
        <f t="shared" si="116"/>
        <v>0</v>
      </c>
      <c r="X158" s="256"/>
      <c r="Y158" s="256"/>
      <c r="Z158" s="254"/>
      <c r="AA158" s="254"/>
      <c r="AB158" s="616"/>
      <c r="AC158" s="616"/>
      <c r="AD158" s="258"/>
      <c r="AE158" s="258"/>
      <c r="AF158" s="305"/>
      <c r="AG158" s="169"/>
      <c r="AH158" s="617"/>
    </row>
    <row r="159" spans="1:37" s="255" customFormat="1" ht="19.2" customHeight="1">
      <c r="A159" s="627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3"/>
        <v>0</v>
      </c>
      <c r="I159" s="302"/>
      <c r="J159" s="306"/>
      <c r="K159" s="217"/>
      <c r="L159" s="308"/>
      <c r="M159" s="467"/>
      <c r="N159" s="217"/>
      <c r="O159" s="262"/>
      <c r="P159" s="307"/>
      <c r="Q159" s="105"/>
      <c r="R159" s="169"/>
      <c r="S159" s="629"/>
      <c r="T159" s="303"/>
      <c r="U159" s="232"/>
      <c r="V159" s="471"/>
      <c r="W159" s="309">
        <f t="shared" si="116"/>
        <v>0</v>
      </c>
      <c r="X159" s="256"/>
      <c r="Y159" s="256"/>
      <c r="Z159" s="254"/>
      <c r="AA159" s="254"/>
      <c r="AB159" s="616"/>
      <c r="AC159" s="616"/>
      <c r="AD159" s="258"/>
      <c r="AE159" s="258"/>
      <c r="AF159" s="305"/>
      <c r="AG159" s="169"/>
      <c r="AH159" s="617"/>
    </row>
    <row r="160" spans="1:37" ht="19.2" customHeight="1">
      <c r="A160" s="627"/>
      <c r="B160" s="310">
        <v>0</v>
      </c>
      <c r="C160" s="191" t="s">
        <v>466</v>
      </c>
      <c r="D160" s="625" t="s">
        <v>467</v>
      </c>
      <c r="E160" s="626"/>
      <c r="F160" s="98"/>
      <c r="G160" s="238"/>
      <c r="H160" s="237"/>
      <c r="I160" s="101"/>
      <c r="J160" s="311">
        <v>12.333333333333334</v>
      </c>
      <c r="K160" s="311">
        <v>1480</v>
      </c>
      <c r="L160" s="312">
        <v>147.85714285714286</v>
      </c>
      <c r="M160" s="311">
        <f t="shared" ref="M160:O160" si="117">AVERAGE(M148:M159)</f>
        <v>12</v>
      </c>
      <c r="N160" s="311">
        <f t="shared" si="117"/>
        <v>1354.892494929004</v>
      </c>
      <c r="O160" s="312">
        <f t="shared" si="117"/>
        <v>142.4814063556457</v>
      </c>
      <c r="P160" s="104">
        <f t="shared" ref="P160:P166" si="118">M160-J160</f>
        <v>-0.33333333333333393</v>
      </c>
      <c r="Q160" s="105">
        <f t="shared" ref="Q160:Q166" si="119">O160-L160</f>
        <v>-5.3757365014971583</v>
      </c>
      <c r="R160" s="313">
        <f>O160/L160</f>
        <v>0.96364236182562313</v>
      </c>
      <c r="S160" s="629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616"/>
      <c r="AC160" s="616"/>
      <c r="AD160" s="110">
        <f>SUM(AD148:AD159)</f>
        <v>0</v>
      </c>
      <c r="AE160" s="110">
        <f>SUM(AE148:AE159)</f>
        <v>0</v>
      </c>
      <c r="AF160" s="104">
        <f t="shared" si="69"/>
        <v>-125.10750507099601</v>
      </c>
      <c r="AG160" s="169">
        <f t="shared" si="70"/>
        <v>0.9154679019790567</v>
      </c>
      <c r="AH160" s="617"/>
    </row>
    <row r="161" spans="1:34" ht="19.2" customHeight="1">
      <c r="A161" s="614" t="s">
        <v>468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1802</v>
      </c>
      <c r="H161" s="116">
        <f t="shared" ref="H161:H170" si="120">F161*G161</f>
        <v>54294.259999999995</v>
      </c>
      <c r="I161" s="457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6" si="121">G161/W161*60</f>
        <v>1114.6391752577319</v>
      </c>
      <c r="O161" s="118">
        <f t="shared" ref="O161:O166" si="122">N161/M161</f>
        <v>61.924398625429554</v>
      </c>
      <c r="P161" s="84">
        <f t="shared" si="118"/>
        <v>0</v>
      </c>
      <c r="Q161" s="119">
        <f t="shared" si="119"/>
        <v>-4.7422680412371179</v>
      </c>
      <c r="R161" s="458">
        <f t="shared" ref="R161:R166" si="123">O161/L161</f>
        <v>0.92886597938144322</v>
      </c>
      <c r="S161" s="615">
        <f>R173</f>
        <v>0.92240502205730579</v>
      </c>
      <c r="T161" s="80">
        <v>0.16666666666666666</v>
      </c>
      <c r="U161" s="80">
        <v>0.23402777777777778</v>
      </c>
      <c r="V161" s="457">
        <v>5</v>
      </c>
      <c r="W161" s="120">
        <f t="shared" ref="W161:W172" si="124">(U161-T161)*24*60</f>
        <v>97.000000000000014</v>
      </c>
      <c r="X161" s="126"/>
      <c r="Y161" s="126"/>
      <c r="Z161" s="84"/>
      <c r="AA161" s="84"/>
      <c r="AB161" s="616"/>
      <c r="AC161" s="616"/>
      <c r="AD161" s="457">
        <v>1</v>
      </c>
      <c r="AE161" s="457"/>
      <c r="AF161" s="84">
        <f t="shared" si="69"/>
        <v>-85.360824742268051</v>
      </c>
      <c r="AG161" s="458">
        <f t="shared" si="70"/>
        <v>0.92886597938144333</v>
      </c>
      <c r="AH161" s="615">
        <f>AG173</f>
        <v>0.92393694218139255</v>
      </c>
    </row>
    <row r="162" spans="1:34" ht="19.2" customHeight="1">
      <c r="A162" s="614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2436</v>
      </c>
      <c r="H162" s="116">
        <f t="shared" si="120"/>
        <v>83384.28</v>
      </c>
      <c r="I162" s="457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1"/>
        <v>2118.260869565217</v>
      </c>
      <c r="O162" s="118">
        <f t="shared" si="122"/>
        <v>162.943143812709</v>
      </c>
      <c r="P162" s="84">
        <f t="shared" si="118"/>
        <v>0</v>
      </c>
      <c r="Q162" s="119">
        <f t="shared" si="119"/>
        <v>-10.13377926421407</v>
      </c>
      <c r="R162" s="458">
        <f t="shared" si="123"/>
        <v>0.9414492753623187</v>
      </c>
      <c r="S162" s="615"/>
      <c r="T162" s="80">
        <v>0.25</v>
      </c>
      <c r="U162" s="80">
        <v>0.29791666666666666</v>
      </c>
      <c r="V162" s="457">
        <v>23</v>
      </c>
      <c r="W162" s="120">
        <f t="shared" si="124"/>
        <v>69</v>
      </c>
      <c r="X162" s="126">
        <v>0.2388888888888889</v>
      </c>
      <c r="Y162" s="126">
        <v>0.24861111111111112</v>
      </c>
      <c r="Z162" s="84"/>
      <c r="AA162" s="84"/>
      <c r="AB162" s="616"/>
      <c r="AC162" s="616"/>
      <c r="AD162" s="457"/>
      <c r="AE162" s="457"/>
      <c r="AF162" s="84">
        <f t="shared" si="69"/>
        <v>-131.73913043478296</v>
      </c>
      <c r="AG162" s="458">
        <f t="shared" si="70"/>
        <v>0.9414492753623187</v>
      </c>
      <c r="AH162" s="615"/>
    </row>
    <row r="163" spans="1:34" ht="19.2" customHeight="1">
      <c r="A163" s="614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2322</v>
      </c>
      <c r="H163" s="116">
        <f t="shared" si="120"/>
        <v>79482.06</v>
      </c>
      <c r="I163" s="457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1"/>
        <v>2143.3846153846152</v>
      </c>
      <c r="O163" s="118">
        <f t="shared" si="122"/>
        <v>194.85314685314685</v>
      </c>
      <c r="P163" s="84">
        <f t="shared" si="118"/>
        <v>0</v>
      </c>
      <c r="Q163" s="119">
        <f t="shared" si="119"/>
        <v>-9.6923076923076792</v>
      </c>
      <c r="R163" s="458">
        <f t="shared" si="123"/>
        <v>0.95261538461538464</v>
      </c>
      <c r="S163" s="615"/>
      <c r="T163" s="80">
        <v>0.3034722222222222</v>
      </c>
      <c r="U163" s="80">
        <v>0.34861111111111109</v>
      </c>
      <c r="V163" s="457">
        <v>8</v>
      </c>
      <c r="W163" s="120">
        <f t="shared" si="124"/>
        <v>65.000000000000014</v>
      </c>
      <c r="X163" s="126"/>
      <c r="Y163" s="126"/>
      <c r="Z163" s="84"/>
      <c r="AA163" s="84"/>
      <c r="AB163" s="616"/>
      <c r="AC163" s="616"/>
      <c r="AD163" s="457"/>
      <c r="AE163" s="457"/>
      <c r="AF163" s="84">
        <f t="shared" si="69"/>
        <v>-106.61538461538476</v>
      </c>
      <c r="AG163" s="458">
        <f t="shared" si="70"/>
        <v>0.95261538461538453</v>
      </c>
      <c r="AH163" s="615"/>
    </row>
    <row r="164" spans="1:34" ht="19.2" customHeight="1">
      <c r="A164" s="614"/>
      <c r="B164" s="156" t="s">
        <v>189</v>
      </c>
      <c r="C164" s="156"/>
      <c r="D164" s="316" t="s">
        <v>169</v>
      </c>
      <c r="E164" s="316"/>
      <c r="F164" s="170">
        <v>25.64</v>
      </c>
      <c r="G164" s="85">
        <v>908</v>
      </c>
      <c r="H164" s="116">
        <f t="shared" si="120"/>
        <v>23281.119999999999</v>
      </c>
      <c r="I164" s="457"/>
      <c r="J164" s="129">
        <v>10</v>
      </c>
      <c r="K164" s="85">
        <v>1500</v>
      </c>
      <c r="L164" s="118">
        <v>150</v>
      </c>
      <c r="M164" s="129">
        <v>10</v>
      </c>
      <c r="N164" s="85">
        <f t="shared" si="121"/>
        <v>1472.4324324324314</v>
      </c>
      <c r="O164" s="118">
        <f t="shared" si="122"/>
        <v>147.24324324324314</v>
      </c>
      <c r="P164" s="84">
        <f t="shared" si="118"/>
        <v>0</v>
      </c>
      <c r="Q164" s="119">
        <f t="shared" si="119"/>
        <v>-2.7567567567568574</v>
      </c>
      <c r="R164" s="458">
        <f t="shared" si="123"/>
        <v>0.98162162162162092</v>
      </c>
      <c r="S164" s="615"/>
      <c r="T164" s="80">
        <v>0.36319444444444443</v>
      </c>
      <c r="U164" s="80">
        <v>0.3888888888888889</v>
      </c>
      <c r="V164" s="457">
        <v>21</v>
      </c>
      <c r="W164" s="120">
        <f t="shared" si="124"/>
        <v>37.000000000000028</v>
      </c>
      <c r="X164" s="126">
        <v>0.3527777777777778</v>
      </c>
      <c r="Y164" s="126">
        <v>0.36249999999999999</v>
      </c>
      <c r="Z164" s="84"/>
      <c r="AA164" s="84"/>
      <c r="AB164" s="616"/>
      <c r="AC164" s="616"/>
      <c r="AD164" s="457"/>
      <c r="AE164" s="457"/>
      <c r="AF164" s="84">
        <f>N164-K164</f>
        <v>-27.567567567568631</v>
      </c>
      <c r="AG164" s="458">
        <f>N164/K164</f>
        <v>0.98162162162162092</v>
      </c>
      <c r="AH164" s="615"/>
    </row>
    <row r="165" spans="1:34" ht="19.2" customHeight="1">
      <c r="A165" s="614"/>
      <c r="B165" s="156" t="s">
        <v>165</v>
      </c>
      <c r="C165" s="112"/>
      <c r="D165" s="113" t="s">
        <v>160</v>
      </c>
      <c r="E165" s="114"/>
      <c r="F165" s="130">
        <v>36.409999999999997</v>
      </c>
      <c r="G165" s="85">
        <v>2344</v>
      </c>
      <c r="H165" s="116">
        <f t="shared" si="120"/>
        <v>85345.04</v>
      </c>
      <c r="I165" s="457"/>
      <c r="J165" s="129">
        <v>10</v>
      </c>
      <c r="K165" s="85">
        <v>2769</v>
      </c>
      <c r="L165" s="118">
        <v>276.89999999999998</v>
      </c>
      <c r="M165" s="129">
        <v>10</v>
      </c>
      <c r="N165" s="85">
        <f t="shared" si="121"/>
        <v>2467.3684210526299</v>
      </c>
      <c r="O165" s="118">
        <f t="shared" si="122"/>
        <v>246.73684210526298</v>
      </c>
      <c r="P165" s="84">
        <f t="shared" si="118"/>
        <v>0</v>
      </c>
      <c r="Q165" s="119">
        <f t="shared" si="119"/>
        <v>-30.163157894736997</v>
      </c>
      <c r="R165" s="458">
        <f t="shared" si="123"/>
        <v>0.89106840774742868</v>
      </c>
      <c r="S165" s="615"/>
      <c r="T165" s="80">
        <v>0.39305555555555555</v>
      </c>
      <c r="U165" s="80">
        <v>0.43263888888888891</v>
      </c>
      <c r="V165" s="457">
        <v>6</v>
      </c>
      <c r="W165" s="120">
        <f t="shared" si="124"/>
        <v>57.000000000000036</v>
      </c>
      <c r="X165" s="126"/>
      <c r="Y165" s="126"/>
      <c r="Z165" s="84"/>
      <c r="AA165" s="84"/>
      <c r="AB165" s="616"/>
      <c r="AC165" s="616"/>
      <c r="AD165" s="457"/>
      <c r="AE165" s="457"/>
      <c r="AF165" s="84">
        <f>N165-K165</f>
        <v>-301.63157894737014</v>
      </c>
      <c r="AG165" s="458">
        <f>N165/K165</f>
        <v>0.89106840774742857</v>
      </c>
      <c r="AH165" s="615"/>
    </row>
    <row r="166" spans="1:34" ht="19.2" customHeight="1">
      <c r="A166" s="614"/>
      <c r="B166" s="156" t="s">
        <v>165</v>
      </c>
      <c r="C166" s="156"/>
      <c r="D166" s="113" t="s">
        <v>160</v>
      </c>
      <c r="E166" s="114"/>
      <c r="F166" s="170">
        <v>36.409999999999997</v>
      </c>
      <c r="G166" s="85">
        <v>3516</v>
      </c>
      <c r="H166" s="116">
        <f t="shared" si="120"/>
        <v>128017.55999999998</v>
      </c>
      <c r="I166" s="457">
        <v>1</v>
      </c>
      <c r="J166" s="129">
        <v>10</v>
      </c>
      <c r="K166" s="85">
        <v>2769</v>
      </c>
      <c r="L166" s="118">
        <v>276.89999999999998</v>
      </c>
      <c r="M166" s="129">
        <v>10</v>
      </c>
      <c r="N166" s="85">
        <f t="shared" si="121"/>
        <v>2453.0232558139528</v>
      </c>
      <c r="O166" s="118">
        <f t="shared" si="122"/>
        <v>245.30232558139528</v>
      </c>
      <c r="P166" s="84">
        <f t="shared" si="118"/>
        <v>0</v>
      </c>
      <c r="Q166" s="119">
        <f t="shared" si="119"/>
        <v>-31.597674418604697</v>
      </c>
      <c r="R166" s="458">
        <f t="shared" si="123"/>
        <v>0.88588777746982772</v>
      </c>
      <c r="S166" s="615"/>
      <c r="T166" s="80">
        <v>0.47430555555555554</v>
      </c>
      <c r="U166" s="80">
        <v>0.53402777777777777</v>
      </c>
      <c r="V166" s="457">
        <v>7</v>
      </c>
      <c r="W166" s="120">
        <f t="shared" si="124"/>
        <v>86.000000000000014</v>
      </c>
      <c r="X166" s="126"/>
      <c r="Y166" s="126"/>
      <c r="Z166" s="84"/>
      <c r="AA166" s="84"/>
      <c r="AB166" s="616"/>
      <c r="AC166" s="616"/>
      <c r="AD166" s="457"/>
      <c r="AE166" s="457"/>
      <c r="AF166" s="84">
        <f>N166-K166</f>
        <v>-315.9767441860472</v>
      </c>
      <c r="AG166" s="458">
        <f>N166/K166</f>
        <v>0.88588777746982761</v>
      </c>
      <c r="AH166" s="615"/>
    </row>
    <row r="167" spans="1:34" ht="19.2" customHeight="1">
      <c r="A167" s="614"/>
      <c r="B167" s="156">
        <v>0</v>
      </c>
      <c r="C167" s="156"/>
      <c r="D167" s="292"/>
      <c r="E167" s="90"/>
      <c r="F167" s="170" t="s">
        <v>161</v>
      </c>
      <c r="G167" s="85"/>
      <c r="H167" s="116">
        <f t="shared" si="120"/>
        <v>0</v>
      </c>
      <c r="I167" s="457"/>
      <c r="J167" s="129"/>
      <c r="K167" s="85"/>
      <c r="L167" s="118"/>
      <c r="M167" s="129"/>
      <c r="N167" s="85"/>
      <c r="O167" s="118"/>
      <c r="P167" s="84"/>
      <c r="Q167" s="119"/>
      <c r="R167" s="458"/>
      <c r="S167" s="615"/>
      <c r="T167" s="80"/>
      <c r="U167" s="80"/>
      <c r="V167" s="457"/>
      <c r="W167" s="120">
        <f t="shared" si="124"/>
        <v>0</v>
      </c>
      <c r="X167" s="126"/>
      <c r="Y167" s="126"/>
      <c r="Z167" s="84"/>
      <c r="AA167" s="84"/>
      <c r="AB167" s="616"/>
      <c r="AC167" s="616"/>
      <c r="AD167" s="457"/>
      <c r="AE167" s="457"/>
      <c r="AF167" s="84">
        <f t="shared" si="69"/>
        <v>0</v>
      </c>
      <c r="AG167" s="458" t="e">
        <f t="shared" si="70"/>
        <v>#DIV/0!</v>
      </c>
      <c r="AH167" s="615"/>
    </row>
    <row r="168" spans="1:34" ht="19.2" customHeight="1">
      <c r="A168" s="614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0"/>
        <v>0</v>
      </c>
      <c r="I168" s="457"/>
      <c r="J168" s="129"/>
      <c r="K168" s="85"/>
      <c r="L168" s="118"/>
      <c r="M168" s="129"/>
      <c r="N168" s="85"/>
      <c r="O168" s="118"/>
      <c r="P168" s="84"/>
      <c r="Q168" s="119"/>
      <c r="R168" s="458"/>
      <c r="S168" s="615"/>
      <c r="T168" s="80"/>
      <c r="U168" s="80"/>
      <c r="V168" s="457"/>
      <c r="W168" s="120">
        <f t="shared" si="124"/>
        <v>0</v>
      </c>
      <c r="X168" s="126"/>
      <c r="Y168" s="126"/>
      <c r="Z168" s="84"/>
      <c r="AA168" s="84"/>
      <c r="AB168" s="616"/>
      <c r="AC168" s="616"/>
      <c r="AD168" s="457"/>
      <c r="AE168" s="457"/>
      <c r="AF168" s="84">
        <f t="shared" si="69"/>
        <v>0</v>
      </c>
      <c r="AG168" s="458" t="e">
        <f t="shared" si="70"/>
        <v>#DIV/0!</v>
      </c>
      <c r="AH168" s="615"/>
    </row>
    <row r="169" spans="1:34" ht="19.2" customHeight="1">
      <c r="A169" s="614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0"/>
        <v>0</v>
      </c>
      <c r="I169" s="457"/>
      <c r="J169" s="129"/>
      <c r="K169" s="85"/>
      <c r="L169" s="118"/>
      <c r="M169" s="129"/>
      <c r="N169" s="85"/>
      <c r="O169" s="118"/>
      <c r="P169" s="84"/>
      <c r="Q169" s="119"/>
      <c r="R169" s="458"/>
      <c r="S169" s="615"/>
      <c r="T169" s="80"/>
      <c r="U169" s="80"/>
      <c r="V169" s="457"/>
      <c r="W169" s="120">
        <f t="shared" si="124"/>
        <v>0</v>
      </c>
      <c r="X169" s="126"/>
      <c r="Y169" s="126"/>
      <c r="Z169" s="84"/>
      <c r="AA169" s="84"/>
      <c r="AB169" s="616"/>
      <c r="AC169" s="616"/>
      <c r="AD169" s="457"/>
      <c r="AE169" s="457"/>
      <c r="AF169" s="84">
        <f t="shared" si="69"/>
        <v>0</v>
      </c>
      <c r="AG169" s="458" t="e">
        <f t="shared" si="70"/>
        <v>#DIV/0!</v>
      </c>
      <c r="AH169" s="615"/>
    </row>
    <row r="170" spans="1:34" ht="19.2" customHeight="1">
      <c r="A170" s="614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0"/>
        <v>0</v>
      </c>
      <c r="I170" s="457"/>
      <c r="J170" s="129"/>
      <c r="K170" s="85"/>
      <c r="L170" s="118"/>
      <c r="M170" s="129"/>
      <c r="N170" s="85"/>
      <c r="O170" s="118"/>
      <c r="P170" s="84"/>
      <c r="Q170" s="119"/>
      <c r="R170" s="458"/>
      <c r="S170" s="615"/>
      <c r="T170" s="80"/>
      <c r="U170" s="80"/>
      <c r="V170" s="457"/>
      <c r="W170" s="120">
        <f t="shared" si="124"/>
        <v>0</v>
      </c>
      <c r="X170" s="126"/>
      <c r="Y170" s="126"/>
      <c r="Z170" s="84"/>
      <c r="AA170" s="84"/>
      <c r="AB170" s="616"/>
      <c r="AC170" s="616"/>
      <c r="AD170" s="457"/>
      <c r="AE170" s="457"/>
      <c r="AF170" s="84">
        <f t="shared" si="69"/>
        <v>0</v>
      </c>
      <c r="AG170" s="458" t="e">
        <f t="shared" si="70"/>
        <v>#DIV/0!</v>
      </c>
      <c r="AH170" s="615"/>
    </row>
    <row r="171" spans="1:34" ht="19.2" customHeight="1">
      <c r="A171" s="614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3"/>
        <v>0</v>
      </c>
      <c r="I171" s="457"/>
      <c r="J171" s="129"/>
      <c r="K171" s="85"/>
      <c r="L171" s="118"/>
      <c r="M171" s="129"/>
      <c r="N171" s="85"/>
      <c r="O171" s="118"/>
      <c r="P171" s="84"/>
      <c r="Q171" s="119"/>
      <c r="R171" s="458"/>
      <c r="S171" s="615"/>
      <c r="T171" s="80"/>
      <c r="U171" s="80"/>
      <c r="V171" s="457"/>
      <c r="W171" s="120">
        <f t="shared" si="124"/>
        <v>0</v>
      </c>
      <c r="X171" s="126"/>
      <c r="Y171" s="126"/>
      <c r="Z171" s="84"/>
      <c r="AA171" s="84"/>
      <c r="AB171" s="616"/>
      <c r="AC171" s="616"/>
      <c r="AD171" s="457"/>
      <c r="AE171" s="457"/>
      <c r="AF171" s="84"/>
      <c r="AG171" s="458"/>
      <c r="AH171" s="615"/>
    </row>
    <row r="172" spans="1:34" ht="19.2" customHeight="1">
      <c r="A172" s="614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3"/>
        <v>0</v>
      </c>
      <c r="I172" s="457"/>
      <c r="J172" s="129"/>
      <c r="K172" s="85"/>
      <c r="L172" s="118"/>
      <c r="M172" s="129"/>
      <c r="N172" s="85"/>
      <c r="O172" s="118"/>
      <c r="P172" s="84"/>
      <c r="Q172" s="119"/>
      <c r="R172" s="458"/>
      <c r="S172" s="615"/>
      <c r="T172" s="80"/>
      <c r="U172" s="80"/>
      <c r="V172" s="457"/>
      <c r="W172" s="120">
        <f t="shared" si="124"/>
        <v>0</v>
      </c>
      <c r="X172" s="126"/>
      <c r="Y172" s="126"/>
      <c r="Z172" s="84"/>
      <c r="AA172" s="84"/>
      <c r="AB172" s="616"/>
      <c r="AC172" s="616"/>
      <c r="AD172" s="457"/>
      <c r="AE172" s="457"/>
      <c r="AF172" s="84"/>
      <c r="AG172" s="458"/>
      <c r="AH172" s="615"/>
    </row>
    <row r="173" spans="1:34" ht="19.2" customHeight="1">
      <c r="A173" s="614"/>
      <c r="B173" s="156">
        <v>0</v>
      </c>
      <c r="C173" s="132" t="s">
        <v>469</v>
      </c>
      <c r="D173" s="612" t="s">
        <v>470</v>
      </c>
      <c r="E173" s="612"/>
      <c r="F173" s="133"/>
      <c r="G173" s="103"/>
      <c r="H173" s="134"/>
      <c r="I173" s="135"/>
      <c r="J173" s="103">
        <v>12</v>
      </c>
      <c r="K173" s="103">
        <v>2123</v>
      </c>
      <c r="L173" s="136">
        <v>191.348174048174</v>
      </c>
      <c r="M173" s="103">
        <f t="shared" ref="M173:O173" si="125">AVERAGE(M161:M172)</f>
        <v>12</v>
      </c>
      <c r="N173" s="103">
        <f t="shared" si="125"/>
        <v>1961.5181282510964</v>
      </c>
      <c r="O173" s="136">
        <f t="shared" si="125"/>
        <v>176.50051670353113</v>
      </c>
      <c r="P173" s="84">
        <f>M173-J173</f>
        <v>0</v>
      </c>
      <c r="Q173" s="119">
        <f>O173-L173</f>
        <v>-14.847657344642869</v>
      </c>
      <c r="R173" s="137">
        <f>O173/L173</f>
        <v>0.92240502205730579</v>
      </c>
      <c r="S173" s="615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613"/>
      <c r="AC173" s="613"/>
      <c r="AD173" s="139">
        <f>SUM(AD161:AD172)</f>
        <v>1</v>
      </c>
      <c r="AE173" s="139">
        <f>SUM(AE161:AE172)</f>
        <v>0</v>
      </c>
      <c r="AF173" s="84">
        <f t="shared" si="69"/>
        <v>-161.48187174890359</v>
      </c>
      <c r="AG173" s="458">
        <f t="shared" si="70"/>
        <v>0.92393694218139255</v>
      </c>
      <c r="AH173" s="615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A2:B2"/>
    <mergeCell ref="A3:A4"/>
    <mergeCell ref="B3:B4"/>
    <mergeCell ref="C3:C4"/>
    <mergeCell ref="D3:E4"/>
    <mergeCell ref="F3:F4"/>
    <mergeCell ref="J1:L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M1:O2"/>
    <mergeCell ref="P1:S2"/>
    <mergeCell ref="T1:Y2"/>
    <mergeCell ref="AB1:AC2"/>
    <mergeCell ref="AF1:AH2"/>
    <mergeCell ref="G3:G4"/>
    <mergeCell ref="H3:H4"/>
    <mergeCell ref="I3:I4"/>
    <mergeCell ref="J3:J4"/>
    <mergeCell ref="K3:K4"/>
    <mergeCell ref="L3:L4"/>
  </mergeCells>
  <phoneticPr fontId="3" type="noConversion"/>
  <conditionalFormatting sqref="P5:P172">
    <cfRule type="cellIs" dxfId="54" priority="4" operator="greaterThan">
      <formula>0</formula>
    </cfRule>
  </conditionalFormatting>
  <conditionalFormatting sqref="Q5:Q173">
    <cfRule type="cellIs" dxfId="53" priority="7" operator="lessThan">
      <formula>0</formula>
    </cfRule>
  </conditionalFormatting>
  <conditionalFormatting sqref="R5:R173">
    <cfRule type="cellIs" dxfId="52" priority="5" operator="greaterThan">
      <formula>1</formula>
    </cfRule>
    <cfRule type="cellIs" dxfId="51" priority="6" operator="lessThan">
      <formula>0.8</formula>
    </cfRule>
  </conditionalFormatting>
  <conditionalFormatting sqref="S5:S11">
    <cfRule type="cellIs" dxfId="50" priority="20" operator="lessThan">
      <formula>0.8</formula>
    </cfRule>
  </conditionalFormatting>
  <conditionalFormatting sqref="S21:S29 AH21:AH29">
    <cfRule type="cellIs" dxfId="49" priority="13" operator="lessThan">
      <formula>0.8</formula>
    </cfRule>
  </conditionalFormatting>
  <conditionalFormatting sqref="S43:S72">
    <cfRule type="cellIs" dxfId="48" priority="10" operator="lessThan">
      <formula>0.8</formula>
    </cfRule>
  </conditionalFormatting>
  <conditionalFormatting sqref="S82:S91 AH82:AH91">
    <cfRule type="cellIs" dxfId="47" priority="12" operator="lessThan">
      <formula>0.8</formula>
    </cfRule>
  </conditionalFormatting>
  <conditionalFormatting sqref="S95:S104">
    <cfRule type="cellIs" dxfId="46" priority="8" operator="lessThan">
      <formula>0.8</formula>
    </cfRule>
  </conditionalFormatting>
  <conditionalFormatting sqref="S108:S109">
    <cfRule type="cellIs" dxfId="45" priority="9" operator="lessThan">
      <formula>0.8</formula>
    </cfRule>
  </conditionalFormatting>
  <conditionalFormatting sqref="S122:S135 AH135">
    <cfRule type="cellIs" dxfId="44" priority="21" operator="lessThan">
      <formula>0.8</formula>
    </cfRule>
  </conditionalFormatting>
  <conditionalFormatting sqref="S137 AH137">
    <cfRule type="cellIs" dxfId="43" priority="17" operator="lessThan">
      <formula>0.8</formula>
    </cfRule>
  </conditionalFormatting>
  <conditionalFormatting sqref="S139:S146 AH139:AH146">
    <cfRule type="cellIs" dxfId="42" priority="11" operator="lessThan">
      <formula>0.8</formula>
    </cfRule>
  </conditionalFormatting>
  <conditionalFormatting sqref="S148:S150">
    <cfRule type="cellIs" dxfId="41" priority="14" operator="lessThan">
      <formula>0.8</formula>
    </cfRule>
  </conditionalFormatting>
  <conditionalFormatting sqref="S161">
    <cfRule type="cellIs" dxfId="40" priority="25" operator="lessThan">
      <formula>0.8</formula>
    </cfRule>
  </conditionalFormatting>
  <conditionalFormatting sqref="AF5:AF173">
    <cfRule type="cellIs" dxfId="39" priority="3" operator="lessThan">
      <formula>0</formula>
    </cfRule>
  </conditionalFormatting>
  <conditionalFormatting sqref="AG5:AG173">
    <cfRule type="cellIs" dxfId="38" priority="1" operator="greaterThan">
      <formula>1</formula>
    </cfRule>
    <cfRule type="cellIs" dxfId="37" priority="2" operator="lessThan">
      <formula>0.8</formula>
    </cfRule>
  </conditionalFormatting>
  <conditionalFormatting sqref="AH5:AH9 S17:S18 AH17:AH18 AH57 AH95">
    <cfRule type="cellIs" dxfId="36" priority="26" operator="lessThan">
      <formula>0.8</formula>
    </cfRule>
  </conditionalFormatting>
  <conditionalFormatting sqref="AH31 S31:S32">
    <cfRule type="cellIs" dxfId="35" priority="22" operator="lessThan">
      <formula>0.8</formula>
    </cfRule>
  </conditionalFormatting>
  <conditionalFormatting sqref="AH70:AH72">
    <cfRule type="cellIs" dxfId="34" priority="19" operator="lessThan">
      <formula>0.8</formula>
    </cfRule>
  </conditionalFormatting>
  <conditionalFormatting sqref="AH97:AH98">
    <cfRule type="cellIs" dxfId="33" priority="18" operator="lessThan">
      <formula>0.8</formula>
    </cfRule>
  </conditionalFormatting>
  <conditionalFormatting sqref="AH100:AH107">
    <cfRule type="cellIs" dxfId="32" priority="16" operator="lessThan">
      <formula>0.8</formula>
    </cfRule>
  </conditionalFormatting>
  <conditionalFormatting sqref="AH109">
    <cfRule type="cellIs" dxfId="31" priority="24" operator="lessThan">
      <formula>0.8</formula>
    </cfRule>
  </conditionalFormatting>
  <conditionalFormatting sqref="AH148">
    <cfRule type="cellIs" dxfId="30" priority="23" operator="lessThan">
      <formula>0.8</formula>
    </cfRule>
  </conditionalFormatting>
  <conditionalFormatting sqref="AH150">
    <cfRule type="cellIs" dxfId="29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topLeftCell="A4" zoomScale="40" zoomScaleNormal="40" workbookViewId="0">
      <selection activeCell="AA30" sqref="AA3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544" t="s">
        <v>0</v>
      </c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6"/>
      <c r="N1" s="1"/>
      <c r="O1" s="1"/>
    </row>
    <row r="2" spans="2:17" ht="27.75" customHeight="1">
      <c r="B2" s="544"/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6"/>
      <c r="N2" s="1"/>
      <c r="O2" s="1"/>
    </row>
    <row r="3" spans="2:17" ht="46.5" customHeight="1">
      <c r="B3" s="537" t="s">
        <v>1</v>
      </c>
      <c r="C3" s="498"/>
      <c r="D3" s="547" t="s">
        <v>491</v>
      </c>
      <c r="E3" s="548"/>
      <c r="F3" s="537" t="s">
        <v>2</v>
      </c>
      <c r="G3" s="498"/>
      <c r="H3" s="549">
        <v>312004.55000000005</v>
      </c>
      <c r="I3" s="550"/>
      <c r="J3" s="537" t="s">
        <v>3</v>
      </c>
      <c r="K3" s="498"/>
      <c r="L3" s="542">
        <v>9736951.061076168</v>
      </c>
      <c r="M3" s="543"/>
      <c r="N3" s="27"/>
      <c r="O3" s="27"/>
      <c r="P3" s="27"/>
      <c r="Q3" s="27"/>
    </row>
    <row r="4" spans="2:17" ht="24" customHeight="1">
      <c r="B4" s="537" t="s">
        <v>37</v>
      </c>
      <c r="C4" s="498"/>
      <c r="D4" s="529" t="s">
        <v>37</v>
      </c>
      <c r="E4" s="530"/>
      <c r="F4" s="540" t="s">
        <v>38</v>
      </c>
      <c r="G4" s="541"/>
      <c r="H4" s="540" t="s">
        <v>39</v>
      </c>
      <c r="I4" s="541"/>
      <c r="J4" s="540" t="s">
        <v>40</v>
      </c>
      <c r="K4" s="541"/>
      <c r="L4" s="542" t="s">
        <v>41</v>
      </c>
      <c r="M4" s="543"/>
      <c r="N4" s="523" t="s">
        <v>4</v>
      </c>
      <c r="O4" s="524"/>
      <c r="P4" s="524" t="s">
        <v>5</v>
      </c>
      <c r="Q4" s="524"/>
    </row>
    <row r="5" spans="2:17" ht="24" customHeight="1">
      <c r="B5" s="525" t="s">
        <v>35</v>
      </c>
      <c r="C5" s="504"/>
      <c r="D5" s="529" t="s">
        <v>42</v>
      </c>
      <c r="E5" s="530"/>
      <c r="F5" s="529" t="s">
        <v>6</v>
      </c>
      <c r="G5" s="530"/>
      <c r="H5" s="531" t="s">
        <v>7</v>
      </c>
      <c r="I5" s="532"/>
      <c r="J5" s="533" t="s">
        <v>8</v>
      </c>
      <c r="K5" s="534"/>
      <c r="L5" s="535" t="s">
        <v>9</v>
      </c>
      <c r="M5" s="536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526"/>
      <c r="C6" s="527"/>
      <c r="D6" s="537" t="s">
        <v>10</v>
      </c>
      <c r="E6" s="498"/>
      <c r="F6" s="538">
        <f>AVERAGE(D13:O13,P13:Q13,D30:F30,G30:H30,J30:M30)</f>
        <v>437.45536696014204</v>
      </c>
      <c r="G6" s="539"/>
      <c r="H6" s="517">
        <f>AVERAGE(D13:P13,Q13)</f>
        <v>139.67738639818728</v>
      </c>
      <c r="I6" s="518"/>
      <c r="J6" s="517">
        <f>AVERAGE(D30:F30,G30:H30)</f>
        <v>816.68672790624009</v>
      </c>
      <c r="K6" s="518"/>
      <c r="L6" s="519">
        <f>AVERAGE(J30:M30)</f>
        <v>1005.6390977443609</v>
      </c>
      <c r="M6" s="520"/>
      <c r="N6" s="521">
        <v>0</v>
      </c>
      <c r="O6" s="506">
        <v>0</v>
      </c>
      <c r="P6" s="522">
        <v>7</v>
      </c>
      <c r="Q6" s="506">
        <v>6</v>
      </c>
    </row>
    <row r="7" spans="2:17" s="5" customFormat="1" ht="39.6" customHeight="1">
      <c r="B7" s="526"/>
      <c r="C7" s="527"/>
      <c r="D7" s="507" t="s">
        <v>11</v>
      </c>
      <c r="E7" s="508"/>
      <c r="F7" s="509">
        <f>AVERAGE(D14:O14,P14:Q14,D31:F31,J31:M31,G31:H31)</f>
        <v>383.10006114444832</v>
      </c>
      <c r="G7" s="510"/>
      <c r="H7" s="511">
        <f>AVERAGE(D14:P14,Q14)</f>
        <v>125.66908298146191</v>
      </c>
      <c r="I7" s="512"/>
      <c r="J7" s="511">
        <f>AVERAGE(D31:F31,G31:H31)</f>
        <v>716.85150778547836</v>
      </c>
      <c r="K7" s="512"/>
      <c r="L7" s="513">
        <f>AVERAGE(J31:M31)</f>
        <v>866.9191764136134</v>
      </c>
      <c r="M7" s="514"/>
      <c r="N7" s="521"/>
      <c r="O7" s="506"/>
      <c r="P7" s="522"/>
      <c r="Q7" s="506"/>
    </row>
    <row r="8" spans="2:17" s="5" customFormat="1" ht="39.6" customHeight="1">
      <c r="B8" s="528"/>
      <c r="C8" s="505"/>
      <c r="D8" s="507" t="s">
        <v>12</v>
      </c>
      <c r="E8" s="508"/>
      <c r="F8" s="515">
        <f>AVERAGE(D15:O15,P15:Q15,D32:F32,G32:H32,J32:M32)</f>
        <v>0.88290117441487193</v>
      </c>
      <c r="G8" s="516"/>
      <c r="H8" s="515">
        <f>AVERAGE(D15:O15,P15:Q15)</f>
        <v>0.8951819421001721</v>
      </c>
      <c r="I8" s="516"/>
      <c r="J8" s="515">
        <f>AVERAGE(D32:F32,G32:H32)</f>
        <v>0.86584527553364121</v>
      </c>
      <c r="K8" s="516"/>
      <c r="L8" s="515">
        <f>AVERAGE(J32:M32)</f>
        <v>0.86123836111786134</v>
      </c>
      <c r="M8" s="516"/>
      <c r="N8" s="521"/>
      <c r="O8" s="506"/>
      <c r="P8" s="522"/>
      <c r="Q8" s="506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494" t="s">
        <v>43</v>
      </c>
      <c r="C10" s="500"/>
      <c r="D10" s="501" t="s">
        <v>44</v>
      </c>
      <c r="E10" s="502"/>
      <c r="F10" s="502"/>
      <c r="G10" s="502"/>
      <c r="H10" s="502"/>
      <c r="I10" s="502"/>
      <c r="J10" s="502"/>
      <c r="K10" s="502"/>
      <c r="L10" s="502"/>
      <c r="M10" s="502"/>
      <c r="N10" s="502"/>
      <c r="O10" s="502"/>
      <c r="P10" s="502"/>
      <c r="Q10" s="503"/>
    </row>
    <row r="11" spans="2:17" ht="17.25" customHeight="1">
      <c r="B11" s="485" t="s">
        <v>45</v>
      </c>
      <c r="C11" s="504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487"/>
      <c r="C12" s="505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489" t="s">
        <v>35</v>
      </c>
      <c r="C13" s="13" t="s">
        <v>59</v>
      </c>
      <c r="D13" s="18">
        <v>142.39875587661967</v>
      </c>
      <c r="E13" s="18">
        <v>105.90482026143792</v>
      </c>
      <c r="F13" s="18">
        <v>140.54871871048343</v>
      </c>
      <c r="G13" s="18">
        <v>314.46258503401361</v>
      </c>
      <c r="H13" s="18">
        <v>232.14285714285714</v>
      </c>
      <c r="I13" s="18">
        <v>83.968524251805988</v>
      </c>
      <c r="J13" s="18">
        <v>95.24683031107179</v>
      </c>
      <c r="K13" s="18">
        <v>76.522114108801404</v>
      </c>
      <c r="L13" s="18">
        <v>109.3316355213414</v>
      </c>
      <c r="M13" s="18">
        <v>80.884372389306606</v>
      </c>
      <c r="N13" s="18">
        <v>86.023341646600159</v>
      </c>
      <c r="O13" s="18">
        <v>146.70068027210885</v>
      </c>
      <c r="P13" s="18">
        <v>191.348174048174</v>
      </c>
      <c r="Q13" s="20">
        <v>150</v>
      </c>
    </row>
    <row r="14" spans="2:17" ht="39.9" customHeight="1">
      <c r="B14" s="490"/>
      <c r="C14" s="13" t="s">
        <v>60</v>
      </c>
      <c r="D14" s="18">
        <v>125.41840260517864</v>
      </c>
      <c r="E14" s="18">
        <v>93.071440196962186</v>
      </c>
      <c r="F14" s="18">
        <v>127.01003817922391</v>
      </c>
      <c r="G14" s="18">
        <v>282.64605541635007</v>
      </c>
      <c r="H14" s="18">
        <v>225.03150513364557</v>
      </c>
      <c r="I14" s="18">
        <v>75.022128809772667</v>
      </c>
      <c r="J14" s="18">
        <v>78.692592488508367</v>
      </c>
      <c r="K14" s="18">
        <v>66.346607926080395</v>
      </c>
      <c r="L14" s="18">
        <v>101.95989705767347</v>
      </c>
      <c r="M14" s="18">
        <v>77.229592228763124</v>
      </c>
      <c r="N14" s="18">
        <v>77.290187452984185</v>
      </c>
      <c r="O14" s="18">
        <v>124.20149119218374</v>
      </c>
      <c r="P14" s="18">
        <v>176.5826614500252</v>
      </c>
      <c r="Q14" s="8">
        <v>128.86456160311545</v>
      </c>
    </row>
    <row r="15" spans="2:17" ht="39.9" customHeight="1">
      <c r="B15" s="491"/>
      <c r="C15" s="28" t="s">
        <v>61</v>
      </c>
      <c r="D15" s="9">
        <f t="shared" ref="D15:Q15" si="0">D14/D13</f>
        <v>0.88075490430440606</v>
      </c>
      <c r="E15" s="9">
        <f t="shared" si="0"/>
        <v>0.87882156796267541</v>
      </c>
      <c r="F15" s="9">
        <f t="shared" si="0"/>
        <v>0.90367268620108965</v>
      </c>
      <c r="G15" s="9">
        <f t="shared" si="0"/>
        <v>0.89882252728342182</v>
      </c>
      <c r="H15" s="9">
        <f t="shared" si="0"/>
        <v>0.96936648365262712</v>
      </c>
      <c r="I15" s="9">
        <f t="shared" si="0"/>
        <v>0.89345536888078747</v>
      </c>
      <c r="J15" s="9">
        <f t="shared" si="0"/>
        <v>0.82619644382392532</v>
      </c>
      <c r="K15" s="9">
        <f t="shared" si="0"/>
        <v>0.86702528672622436</v>
      </c>
      <c r="L15" s="9">
        <f t="shared" si="0"/>
        <v>0.93257451579758932</v>
      </c>
      <c r="M15" s="9">
        <f t="shared" si="0"/>
        <v>0.95481475527865178</v>
      </c>
      <c r="N15" s="9">
        <f t="shared" si="0"/>
        <v>0.89847924962630032</v>
      </c>
      <c r="O15" s="9">
        <f t="shared" si="0"/>
        <v>0.84663200580806897</v>
      </c>
      <c r="P15" s="30">
        <f t="shared" si="0"/>
        <v>0.92283431670253924</v>
      </c>
      <c r="Q15" s="10">
        <f t="shared" si="0"/>
        <v>0.85909707735410301</v>
      </c>
    </row>
    <row r="16" spans="2:17" ht="22.8" customHeight="1">
      <c r="B16" s="492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0.16666666666666666</v>
      </c>
      <c r="H16" s="11">
        <v>0.16666666666666666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0.46874999999999994</v>
      </c>
    </row>
    <row r="17" spans="2:23" ht="22.8" customHeight="1">
      <c r="B17" s="493"/>
      <c r="C17" s="28" t="s">
        <v>36</v>
      </c>
      <c r="D17" s="11">
        <v>0.73194444444444451</v>
      </c>
      <c r="E17" s="11">
        <v>0.59444444444444444</v>
      </c>
      <c r="F17" s="11">
        <v>0.60902777777777772</v>
      </c>
      <c r="G17" s="11">
        <v>0.63333333333333319</v>
      </c>
      <c r="H17" s="11">
        <v>0.66249999999999987</v>
      </c>
      <c r="I17" s="11">
        <v>0.7138888888888888</v>
      </c>
      <c r="J17" s="11">
        <v>0.78402777777777777</v>
      </c>
      <c r="K17" s="11">
        <v>0.77569444444444435</v>
      </c>
      <c r="L17" s="11">
        <v>1.0055555555555553</v>
      </c>
      <c r="M17" s="11">
        <v>0.97847222222222197</v>
      </c>
      <c r="N17" s="11">
        <v>1.002083333333333</v>
      </c>
      <c r="O17" s="21">
        <v>0.84375</v>
      </c>
      <c r="P17" s="11">
        <v>0.63333333333333319</v>
      </c>
      <c r="Q17" s="31">
        <v>0.68402777777777768</v>
      </c>
    </row>
    <row r="18" spans="2:23" ht="22.8" customHeight="1">
      <c r="B18" s="496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497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496" t="s">
        <v>16</v>
      </c>
      <c r="C20" s="32" t="s">
        <v>64</v>
      </c>
      <c r="D20" s="33">
        <v>1</v>
      </c>
      <c r="E20" s="33" t="s">
        <v>15</v>
      </c>
      <c r="F20" s="33">
        <v>1</v>
      </c>
      <c r="G20" s="33" t="s">
        <v>15</v>
      </c>
      <c r="H20" s="33" t="s">
        <v>15</v>
      </c>
      <c r="I20" s="33" t="s">
        <v>15</v>
      </c>
      <c r="J20" s="33">
        <v>1</v>
      </c>
      <c r="K20" s="33">
        <v>2</v>
      </c>
      <c r="L20" s="33">
        <v>1</v>
      </c>
      <c r="M20" s="33" t="s">
        <v>15</v>
      </c>
      <c r="N20" s="33" t="s">
        <v>15</v>
      </c>
      <c r="O20" s="33">
        <v>1</v>
      </c>
      <c r="P20" s="33" t="s">
        <v>15</v>
      </c>
      <c r="Q20" s="34"/>
    </row>
    <row r="21" spans="2:23" ht="22.8" customHeight="1">
      <c r="B21" s="497"/>
      <c r="C21" s="32" t="s">
        <v>66</v>
      </c>
      <c r="D21" s="33">
        <v>1</v>
      </c>
      <c r="E21" s="33">
        <v>1</v>
      </c>
      <c r="F21" s="33" t="s">
        <v>15</v>
      </c>
      <c r="G21" s="33">
        <v>1</v>
      </c>
      <c r="H21" s="33" t="s">
        <v>15</v>
      </c>
      <c r="I21" s="33" t="s">
        <v>15</v>
      </c>
      <c r="J21" s="33">
        <v>1</v>
      </c>
      <c r="K21" s="33">
        <v>1</v>
      </c>
      <c r="L21" s="33" t="s">
        <v>15</v>
      </c>
      <c r="M21" s="33">
        <v>1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475" t="s">
        <v>67</v>
      </c>
      <c r="C22" s="498"/>
      <c r="D22" s="35">
        <v>18</v>
      </c>
      <c r="E22" s="35">
        <v>16.625</v>
      </c>
      <c r="F22" s="35">
        <v>14.5</v>
      </c>
      <c r="G22" s="35">
        <v>6</v>
      </c>
      <c r="H22" s="35">
        <v>6.5</v>
      </c>
      <c r="I22" s="35">
        <v>17.833333333333332</v>
      </c>
      <c r="J22" s="35">
        <v>16.857142857142858</v>
      </c>
      <c r="K22" s="35">
        <v>18.714285714285715</v>
      </c>
      <c r="L22" s="35">
        <v>15.4</v>
      </c>
      <c r="M22" s="35">
        <v>18.75</v>
      </c>
      <c r="N22" s="35">
        <v>17.444444444444443</v>
      </c>
      <c r="O22" s="35">
        <v>13</v>
      </c>
      <c r="P22" s="35">
        <v>12</v>
      </c>
      <c r="Q22" s="36">
        <v>11.5</v>
      </c>
    </row>
    <row r="23" spans="2:23" ht="22.8" customHeight="1">
      <c r="B23" s="475" t="s">
        <v>68</v>
      </c>
      <c r="C23" s="498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475" t="s">
        <v>69</v>
      </c>
      <c r="C24" s="498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477" t="s">
        <v>70</v>
      </c>
      <c r="C25" s="499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494"/>
      <c r="C27" s="495"/>
      <c r="D27" s="479" t="s">
        <v>71</v>
      </c>
      <c r="E27" s="480"/>
      <c r="F27" s="480"/>
      <c r="G27" s="480"/>
      <c r="H27" s="481"/>
      <c r="I27" s="482" t="s">
        <v>72</v>
      </c>
      <c r="J27" s="483"/>
      <c r="K27" s="483"/>
      <c r="L27" s="483"/>
      <c r="M27" s="484"/>
      <c r="N27" s="27"/>
      <c r="O27" s="27"/>
      <c r="P27" s="27"/>
      <c r="Q27" s="27"/>
    </row>
    <row r="28" spans="2:23" ht="17.25" customHeight="1">
      <c r="B28" s="485" t="s">
        <v>45</v>
      </c>
      <c r="C28" s="486"/>
      <c r="D28" s="37">
        <v>1</v>
      </c>
      <c r="E28" s="444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487"/>
      <c r="C29" s="488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489" t="s">
        <v>35</v>
      </c>
      <c r="C30" s="41" t="s">
        <v>59</v>
      </c>
      <c r="D30" s="19">
        <v>195.1219512195122</v>
      </c>
      <c r="E30" s="447">
        <v>942.85714285714289</v>
      </c>
      <c r="F30" s="18">
        <v>860.86956521739125</v>
      </c>
      <c r="G30" s="18">
        <v>939.13043478260863</v>
      </c>
      <c r="H30" s="446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490"/>
      <c r="C31" s="41" t="s">
        <v>60</v>
      </c>
      <c r="D31" s="43">
        <v>157.37082818187463</v>
      </c>
      <c r="E31" s="7">
        <v>841.11911640784876</v>
      </c>
      <c r="F31" s="7">
        <v>747.22435571000813</v>
      </c>
      <c r="G31" s="7">
        <v>821.37852644431462</v>
      </c>
      <c r="H31" s="446">
        <v>1017.1647121833456</v>
      </c>
      <c r="I31" s="403">
        <v>0</v>
      </c>
      <c r="J31" s="7">
        <v>758.76111111111243</v>
      </c>
      <c r="K31" s="7">
        <v>826.26923076923129</v>
      </c>
      <c r="L31" s="7">
        <v>895.81126656573031</v>
      </c>
      <c r="M31" s="8">
        <v>986.83509720837935</v>
      </c>
      <c r="N31" s="27"/>
      <c r="O31" s="27"/>
      <c r="P31" s="27"/>
      <c r="Q31" s="27"/>
    </row>
    <row r="32" spans="2:23" ht="39.9" customHeight="1">
      <c r="B32" s="491"/>
      <c r="C32" s="445" t="s">
        <v>61</v>
      </c>
      <c r="D32" s="44">
        <f t="shared" ref="D32:M32" si="1">D31/D30</f>
        <v>0.80652549443210741</v>
      </c>
      <c r="E32" s="9">
        <f t="shared" si="1"/>
        <v>0.89209603255377901</v>
      </c>
      <c r="F32" s="9">
        <f t="shared" si="1"/>
        <v>0.86798788794596904</v>
      </c>
      <c r="G32" s="9">
        <f t="shared" si="1"/>
        <v>0.87461602352866841</v>
      </c>
      <c r="H32" s="9">
        <f t="shared" si="1"/>
        <v>0.88800093920768264</v>
      </c>
      <c r="I32" s="43">
        <f t="shared" si="1"/>
        <v>0</v>
      </c>
      <c r="J32" s="9">
        <f t="shared" si="1"/>
        <v>0.8047466329966344</v>
      </c>
      <c r="K32" s="9">
        <f t="shared" si="1"/>
        <v>0.87634615384615433</v>
      </c>
      <c r="L32" s="9">
        <f t="shared" si="1"/>
        <v>0.89581126656573029</v>
      </c>
      <c r="M32" s="10">
        <f t="shared" si="1"/>
        <v>0.86804939106292622</v>
      </c>
      <c r="N32" s="27"/>
      <c r="O32" s="27"/>
      <c r="P32" s="27"/>
      <c r="Q32" s="27"/>
    </row>
    <row r="33" spans="2:17" ht="28.8" customHeight="1">
      <c r="B33" s="492" t="s">
        <v>62</v>
      </c>
      <c r="C33" s="445" t="s">
        <v>63</v>
      </c>
      <c r="D33" s="45">
        <v>0.17013888888888887</v>
      </c>
      <c r="E33" s="11">
        <v>0.18055555555555555</v>
      </c>
      <c r="F33" s="11">
        <v>0.18055555555555555</v>
      </c>
      <c r="G33" s="11">
        <v>3039.9999999999945</v>
      </c>
      <c r="H33" s="31">
        <v>0.18055555555555555</v>
      </c>
      <c r="I33" s="45">
        <v>0</v>
      </c>
      <c r="J33" s="11">
        <v>0.72291666666666676</v>
      </c>
      <c r="K33" s="11">
        <v>0.72152777777777777</v>
      </c>
      <c r="L33" s="11">
        <v>0.72083333333333333</v>
      </c>
      <c r="M33" s="12">
        <v>0.72222222222222221</v>
      </c>
      <c r="N33" s="27"/>
      <c r="O33" s="27"/>
      <c r="P33" s="27"/>
      <c r="Q33" s="27"/>
    </row>
    <row r="34" spans="2:17" ht="28.8" customHeight="1">
      <c r="B34" s="493"/>
      <c r="C34" s="445" t="s">
        <v>36</v>
      </c>
      <c r="D34" s="45">
        <v>0.46527777777777779</v>
      </c>
      <c r="E34" s="11">
        <v>0.40625</v>
      </c>
      <c r="F34" s="11">
        <v>0.34027777777777773</v>
      </c>
      <c r="G34" s="11">
        <v>1053.333333333331</v>
      </c>
      <c r="H34" s="31">
        <v>0.4826388888888889</v>
      </c>
      <c r="I34" s="22">
        <v>0</v>
      </c>
      <c r="J34" s="11">
        <v>0.84375</v>
      </c>
      <c r="K34" s="11">
        <v>0.96180555555555547</v>
      </c>
      <c r="L34" s="11">
        <v>46300.003472222219</v>
      </c>
      <c r="M34" s="12">
        <v>46300.173611111109</v>
      </c>
      <c r="N34" s="27"/>
      <c r="O34" s="27"/>
      <c r="P34" s="27"/>
      <c r="Q34" s="27"/>
    </row>
    <row r="35" spans="2:17" ht="28.8" customHeight="1">
      <c r="B35" s="475" t="s">
        <v>67</v>
      </c>
      <c r="C35" s="476"/>
      <c r="D35" s="46">
        <v>10.25</v>
      </c>
      <c r="E35" s="47">
        <v>3.5</v>
      </c>
      <c r="F35" s="47">
        <v>3.8333333333333335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475" t="s">
        <v>68</v>
      </c>
      <c r="C36" s="476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475" t="s">
        <v>69</v>
      </c>
      <c r="C37" s="476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477" t="s">
        <v>70</v>
      </c>
      <c r="C38" s="478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28" priority="1" operator="lessThan">
      <formula>0.8</formula>
    </cfRule>
  </conditionalFormatting>
  <conditionalFormatting sqref="D15:Q15">
    <cfRule type="cellIs" dxfId="27" priority="3" operator="lessThan">
      <formula>0.8</formula>
    </cfRule>
  </conditionalFormatting>
  <conditionalFormatting sqref="J32:M32">
    <cfRule type="cellIs" dxfId="26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abSelected="1" zoomScale="70" zoomScaleNormal="70" workbookViewId="0">
      <selection activeCell="D26" sqref="D26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372</v>
      </c>
      <c r="B1" s="320"/>
      <c r="C1" s="321"/>
      <c r="D1" s="322" t="s">
        <v>373</v>
      </c>
      <c r="E1" s="323">
        <f>SUM(G5:G124)</f>
        <v>129062.6</v>
      </c>
      <c r="F1" s="324" t="s">
        <v>3</v>
      </c>
      <c r="G1" s="325">
        <f>SUM(H5:H124)</f>
        <v>2312676.7120779222</v>
      </c>
      <c r="H1" s="326" t="s">
        <v>374</v>
      </c>
      <c r="I1" s="327">
        <f>+J16+J64+J24+J38+J51+J81+J100+J91+J57+J124+J111</f>
        <v>50.683333333333337</v>
      </c>
      <c r="J1" s="592" t="s">
        <v>313</v>
      </c>
      <c r="K1" s="593"/>
      <c r="L1" s="594"/>
      <c r="M1" s="592" t="s">
        <v>314</v>
      </c>
      <c r="N1" s="593"/>
      <c r="O1" s="593"/>
      <c r="P1" s="593"/>
      <c r="Q1" s="593"/>
      <c r="R1" s="594"/>
    </row>
    <row r="2" spans="1:18" ht="26.25" customHeight="1" thickBot="1">
      <c r="A2" s="598" t="s">
        <v>375</v>
      </c>
      <c r="B2" s="599"/>
      <c r="C2" s="329"/>
      <c r="D2" s="450" t="s">
        <v>316</v>
      </c>
      <c r="E2" s="330">
        <f>AVERAGE(L16,L24,L38,L51,L100,L111,L91)</f>
        <v>622.20292433556017</v>
      </c>
      <c r="F2" s="331" t="s">
        <v>80</v>
      </c>
      <c r="G2" s="332">
        <f>G1/E1</f>
        <v>17.919030858497521</v>
      </c>
      <c r="H2" s="333" t="s">
        <v>317</v>
      </c>
      <c r="I2" s="334">
        <f>COUNT(I5:I124)</f>
        <v>0</v>
      </c>
      <c r="J2" s="595"/>
      <c r="K2" s="596"/>
      <c r="L2" s="597"/>
      <c r="M2" s="595"/>
      <c r="N2" s="596"/>
      <c r="O2" s="596"/>
      <c r="P2" s="596"/>
      <c r="Q2" s="596"/>
      <c r="R2" s="597"/>
    </row>
    <row r="3" spans="1:18" ht="23.25" customHeight="1">
      <c r="A3" s="600" t="s">
        <v>318</v>
      </c>
      <c r="B3" s="602" t="s">
        <v>319</v>
      </c>
      <c r="C3" s="452"/>
      <c r="D3" s="603" t="s">
        <v>320</v>
      </c>
      <c r="E3" s="603"/>
      <c r="F3" s="604" t="s">
        <v>83</v>
      </c>
      <c r="G3" s="605" t="s">
        <v>321</v>
      </c>
      <c r="H3" s="606" t="s">
        <v>322</v>
      </c>
      <c r="I3" s="607" t="s">
        <v>323</v>
      </c>
      <c r="J3" s="580" t="s">
        <v>324</v>
      </c>
      <c r="K3" s="582" t="s">
        <v>325</v>
      </c>
      <c r="L3" s="584" t="s">
        <v>316</v>
      </c>
      <c r="M3" s="609" t="s">
        <v>88</v>
      </c>
      <c r="N3" s="609"/>
      <c r="O3" s="580" t="s">
        <v>168</v>
      </c>
      <c r="P3" s="610" t="s">
        <v>326</v>
      </c>
      <c r="Q3" s="580" t="s">
        <v>327</v>
      </c>
      <c r="R3" s="580"/>
    </row>
    <row r="4" spans="1:18" ht="15.75" customHeight="1">
      <c r="A4" s="601"/>
      <c r="B4" s="602"/>
      <c r="C4" s="452"/>
      <c r="D4" s="603"/>
      <c r="E4" s="603"/>
      <c r="F4" s="604"/>
      <c r="G4" s="605"/>
      <c r="H4" s="606"/>
      <c r="I4" s="608"/>
      <c r="J4" s="581"/>
      <c r="K4" s="583"/>
      <c r="L4" s="585"/>
      <c r="M4" s="449" t="s">
        <v>90</v>
      </c>
      <c r="N4" s="449" t="s">
        <v>91</v>
      </c>
      <c r="O4" s="581"/>
      <c r="P4" s="611"/>
      <c r="Q4" s="335" t="s">
        <v>328</v>
      </c>
      <c r="R4" s="335" t="s">
        <v>329</v>
      </c>
    </row>
    <row r="5" spans="1:18">
      <c r="A5" s="586" t="s">
        <v>330</v>
      </c>
      <c r="B5" s="336" t="s">
        <v>189</v>
      </c>
      <c r="C5" s="336"/>
      <c r="D5" s="337" t="s">
        <v>194</v>
      </c>
      <c r="E5" s="338"/>
      <c r="F5" s="339">
        <v>30</v>
      </c>
      <c r="G5" s="415">
        <v>339</v>
      </c>
      <c r="H5" s="340">
        <f>F5*G5</f>
        <v>10170</v>
      </c>
      <c r="I5" s="454"/>
      <c r="J5" s="341">
        <v>10</v>
      </c>
      <c r="K5" s="342">
        <f t="shared" ref="K5:K8" si="0">G5/P5*60</f>
        <v>782.30769230769272</v>
      </c>
      <c r="L5" s="343">
        <f t="shared" ref="L5:L8" si="1">K5/J5</f>
        <v>78.230769230769269</v>
      </c>
      <c r="M5" s="344">
        <v>0.46874999999999994</v>
      </c>
      <c r="N5" s="344">
        <v>0.48680555555555549</v>
      </c>
      <c r="O5" s="335">
        <v>5</v>
      </c>
      <c r="P5" s="456">
        <f t="shared" ref="P5:P8" si="2">(N5-M5)*24*60</f>
        <v>25.999999999999986</v>
      </c>
      <c r="Q5" s="345"/>
      <c r="R5" s="345"/>
    </row>
    <row r="6" spans="1:18">
      <c r="A6" s="586"/>
      <c r="B6" s="336" t="s">
        <v>189</v>
      </c>
      <c r="C6" s="336"/>
      <c r="D6" s="337" t="s">
        <v>170</v>
      </c>
      <c r="E6" s="338"/>
      <c r="F6" s="339">
        <v>29.85</v>
      </c>
      <c r="G6" s="415">
        <v>348.6</v>
      </c>
      <c r="H6" s="340">
        <f t="shared" ref="H6:H15" si="3">F6*G6</f>
        <v>10405.710000000001</v>
      </c>
      <c r="I6" s="454"/>
      <c r="J6" s="341">
        <v>12</v>
      </c>
      <c r="K6" s="342">
        <f t="shared" si="0"/>
        <v>1742.9999999999948</v>
      </c>
      <c r="L6" s="343">
        <f t="shared" si="1"/>
        <v>145.24999999999957</v>
      </c>
      <c r="M6" s="344">
        <v>0.4902777777777777</v>
      </c>
      <c r="N6" s="344">
        <v>0.49861111111111106</v>
      </c>
      <c r="O6" s="335">
        <v>5</v>
      </c>
      <c r="P6" s="456">
        <f t="shared" si="2"/>
        <v>12.000000000000037</v>
      </c>
      <c r="Q6" s="335"/>
      <c r="R6" s="335"/>
    </row>
    <row r="7" spans="1:18">
      <c r="A7" s="586"/>
      <c r="B7" s="336" t="s">
        <v>189</v>
      </c>
      <c r="C7" s="336"/>
      <c r="D7" s="337" t="s">
        <v>171</v>
      </c>
      <c r="E7" s="338"/>
      <c r="F7" s="339">
        <v>29.52</v>
      </c>
      <c r="G7" s="415">
        <v>3012</v>
      </c>
      <c r="H7" s="340">
        <f t="shared" si="3"/>
        <v>88914.240000000005</v>
      </c>
      <c r="I7" s="454"/>
      <c r="J7" s="341">
        <v>12</v>
      </c>
      <c r="K7" s="342">
        <f t="shared" si="0"/>
        <v>1863.0927835051552</v>
      </c>
      <c r="L7" s="343">
        <f t="shared" si="1"/>
        <v>155.25773195876295</v>
      </c>
      <c r="M7" s="344">
        <v>0.50416666666666665</v>
      </c>
      <c r="N7" s="344">
        <v>0.57152777777777775</v>
      </c>
      <c r="O7" s="335">
        <v>5</v>
      </c>
      <c r="P7" s="456">
        <f t="shared" si="2"/>
        <v>96.999999999999972</v>
      </c>
      <c r="Q7" s="345"/>
      <c r="R7" s="345"/>
    </row>
    <row r="8" spans="1:18">
      <c r="A8" s="586"/>
      <c r="B8" s="336" t="s">
        <v>189</v>
      </c>
      <c r="C8" s="336"/>
      <c r="D8" s="337" t="s">
        <v>195</v>
      </c>
      <c r="E8" s="338"/>
      <c r="F8" s="339">
        <v>30.95</v>
      </c>
      <c r="G8" s="415">
        <v>4293</v>
      </c>
      <c r="H8" s="340">
        <f t="shared" si="3"/>
        <v>132868.35</v>
      </c>
      <c r="I8" s="454"/>
      <c r="J8" s="341">
        <v>12</v>
      </c>
      <c r="K8" s="342">
        <f t="shared" si="0"/>
        <v>1640.6369426751601</v>
      </c>
      <c r="L8" s="343">
        <f t="shared" si="1"/>
        <v>136.71974522293002</v>
      </c>
      <c r="M8" s="344">
        <v>0.57499999999999996</v>
      </c>
      <c r="N8" s="344">
        <v>0.68402777777777768</v>
      </c>
      <c r="O8" s="335">
        <v>5</v>
      </c>
      <c r="P8" s="456">
        <f t="shared" si="2"/>
        <v>156.99999999999991</v>
      </c>
      <c r="Q8" s="345"/>
      <c r="R8" s="345"/>
    </row>
    <row r="9" spans="1:18">
      <c r="A9" s="586"/>
      <c r="B9" s="336">
        <v>0</v>
      </c>
      <c r="C9" s="336"/>
      <c r="D9" s="337"/>
      <c r="E9" s="338"/>
      <c r="F9" s="339" t="s">
        <v>161</v>
      </c>
      <c r="G9" s="416"/>
      <c r="H9" s="340"/>
      <c r="I9" s="454"/>
      <c r="J9" s="341"/>
      <c r="K9" s="342"/>
      <c r="L9" s="343"/>
      <c r="M9" s="344"/>
      <c r="N9" s="344"/>
      <c r="O9" s="335"/>
      <c r="P9" s="456"/>
      <c r="Q9" s="345"/>
      <c r="R9" s="345"/>
    </row>
    <row r="10" spans="1:18">
      <c r="A10" s="586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454"/>
      <c r="J10" s="341"/>
      <c r="K10" s="342"/>
      <c r="L10" s="343"/>
      <c r="M10" s="344"/>
      <c r="N10" s="344"/>
      <c r="O10" s="335"/>
      <c r="P10" s="456"/>
      <c r="Q10" s="345"/>
      <c r="R10" s="345"/>
    </row>
    <row r="11" spans="1:18">
      <c r="A11" s="586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454"/>
      <c r="J11" s="341"/>
      <c r="K11" s="342"/>
      <c r="L11" s="343"/>
      <c r="M11" s="344"/>
      <c r="N11" s="344"/>
      <c r="O11" s="335"/>
      <c r="P11" s="456"/>
      <c r="Q11" s="345"/>
      <c r="R11" s="345"/>
    </row>
    <row r="12" spans="1:18">
      <c r="A12" s="587"/>
      <c r="B12" s="336">
        <v>0</v>
      </c>
      <c r="C12" s="453"/>
      <c r="D12" s="337"/>
      <c r="E12" s="338"/>
      <c r="F12" s="339" t="s">
        <v>161</v>
      </c>
      <c r="G12" s="451"/>
      <c r="H12" s="340">
        <f t="shared" si="3"/>
        <v>0</v>
      </c>
      <c r="I12" s="454"/>
      <c r="J12" s="341"/>
      <c r="K12" s="342"/>
      <c r="L12" s="343"/>
      <c r="M12" s="344"/>
      <c r="N12" s="344"/>
      <c r="O12" s="335"/>
      <c r="P12" s="456"/>
      <c r="Q12" s="345"/>
      <c r="R12" s="335"/>
    </row>
    <row r="13" spans="1:18">
      <c r="A13" s="587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454"/>
      <c r="J13" s="341"/>
      <c r="K13" s="342"/>
      <c r="L13" s="343"/>
      <c r="M13" s="344"/>
      <c r="N13" s="344"/>
      <c r="O13" s="335"/>
      <c r="P13" s="456"/>
      <c r="Q13" s="335"/>
      <c r="R13" s="335"/>
    </row>
    <row r="14" spans="1:18">
      <c r="A14" s="587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454"/>
      <c r="J14" s="341"/>
      <c r="K14" s="342"/>
      <c r="L14" s="343"/>
      <c r="M14" s="344"/>
      <c r="N14" s="344"/>
      <c r="O14" s="335"/>
      <c r="P14" s="456"/>
      <c r="Q14" s="335"/>
      <c r="R14" s="335"/>
    </row>
    <row r="15" spans="1:18">
      <c r="A15" s="587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454"/>
      <c r="J15" s="341"/>
      <c r="K15" s="342"/>
      <c r="L15" s="343"/>
      <c r="M15" s="344"/>
      <c r="N15" s="344"/>
      <c r="O15" s="335"/>
      <c r="P15" s="456"/>
      <c r="Q15" s="335"/>
      <c r="R15" s="335"/>
    </row>
    <row r="16" spans="1:18" ht="15.75" customHeight="1">
      <c r="A16" s="588"/>
      <c r="B16" s="336">
        <v>0</v>
      </c>
      <c r="C16" s="349" t="s">
        <v>376</v>
      </c>
      <c r="D16" s="571" t="s">
        <v>377</v>
      </c>
      <c r="E16" s="571"/>
      <c r="F16" s="350"/>
      <c r="G16" s="351"/>
      <c r="H16" s="352"/>
      <c r="I16" s="353"/>
      <c r="J16" s="354">
        <f>AVERAGE(J5:J15)</f>
        <v>11.5</v>
      </c>
      <c r="K16" s="354">
        <f>AVERAGE(K5:K15)</f>
        <v>1507.2593546220007</v>
      </c>
      <c r="L16" s="355">
        <f>AVERAGE(L5:L15)</f>
        <v>128.86456160311545</v>
      </c>
      <c r="M16" s="344"/>
      <c r="N16" s="344"/>
      <c r="O16" s="342"/>
      <c r="P16" s="342"/>
      <c r="Q16" s="343"/>
      <c r="R16" s="343"/>
    </row>
    <row r="17" spans="1:18" ht="15.75" customHeight="1">
      <c r="A17" s="589" t="s">
        <v>378</v>
      </c>
      <c r="B17" s="336">
        <v>0</v>
      </c>
      <c r="C17" s="453"/>
      <c r="D17" s="337" t="s">
        <v>172</v>
      </c>
      <c r="E17" s="337"/>
      <c r="F17" s="339" t="s">
        <v>161</v>
      </c>
      <c r="G17" s="452">
        <v>3012</v>
      </c>
      <c r="H17" s="356">
        <f t="shared" ref="H17:H23" si="4">F17*G17</f>
        <v>0</v>
      </c>
      <c r="I17" s="357"/>
      <c r="J17" s="341">
        <v>10</v>
      </c>
      <c r="K17" s="342">
        <f t="shared" ref="K17:K20" si="5">G17/P17*60</f>
        <v>1628.1081081081081</v>
      </c>
      <c r="L17" s="343">
        <f>K17/J17</f>
        <v>162.81081081081081</v>
      </c>
      <c r="M17" s="344">
        <v>0.17013888888888887</v>
      </c>
      <c r="N17" s="344">
        <v>0.2472222222222222</v>
      </c>
      <c r="O17" s="335">
        <v>5</v>
      </c>
      <c r="P17" s="456">
        <f>(N17-M17)*24*60</f>
        <v>111</v>
      </c>
      <c r="Q17" s="335"/>
      <c r="R17" s="335"/>
    </row>
    <row r="18" spans="1:18" ht="15.75" customHeight="1">
      <c r="A18" s="589"/>
      <c r="B18" s="336">
        <v>0</v>
      </c>
      <c r="C18" s="453"/>
      <c r="D18" s="337" t="s">
        <v>379</v>
      </c>
      <c r="E18" s="337"/>
      <c r="F18" s="339" t="s">
        <v>161</v>
      </c>
      <c r="G18" s="451">
        <v>3486</v>
      </c>
      <c r="H18" s="340">
        <f t="shared" si="4"/>
        <v>0</v>
      </c>
      <c r="I18" s="454"/>
      <c r="J18" s="341">
        <v>10</v>
      </c>
      <c r="K18" s="342">
        <f t="shared" si="5"/>
        <v>1621.395348837209</v>
      </c>
      <c r="L18" s="343">
        <f t="shared" ref="L18" si="6">K18/J18</f>
        <v>162.1395348837209</v>
      </c>
      <c r="M18" s="344">
        <v>0.25069444444444444</v>
      </c>
      <c r="N18" s="344">
        <v>0.34027777777777779</v>
      </c>
      <c r="O18" s="335">
        <v>5</v>
      </c>
      <c r="P18" s="456">
        <f t="shared" ref="P18:P20" si="7">(N18-M18)*24*60</f>
        <v>129.00000000000003</v>
      </c>
      <c r="Q18" s="345"/>
      <c r="R18" s="345"/>
    </row>
    <row r="19" spans="1:18" ht="15.75" customHeight="1">
      <c r="A19" s="589"/>
      <c r="B19" s="336">
        <v>0</v>
      </c>
      <c r="C19" s="453"/>
      <c r="D19" s="337" t="s">
        <v>380</v>
      </c>
      <c r="E19" s="337"/>
      <c r="F19" s="339" t="s">
        <v>161</v>
      </c>
      <c r="G19" s="451">
        <v>339</v>
      </c>
      <c r="H19" s="340">
        <f t="shared" si="4"/>
        <v>0</v>
      </c>
      <c r="I19" s="454"/>
      <c r="J19" s="341">
        <v>12</v>
      </c>
      <c r="K19" s="342">
        <f t="shared" si="5"/>
        <v>1452.8571428571397</v>
      </c>
      <c r="L19" s="343">
        <f>K19/J19</f>
        <v>121.07142857142831</v>
      </c>
      <c r="M19" s="344">
        <v>0.34375</v>
      </c>
      <c r="N19" s="344">
        <v>0.35347222222222224</v>
      </c>
      <c r="O19" s="335">
        <v>5</v>
      </c>
      <c r="P19" s="456">
        <f t="shared" si="7"/>
        <v>14.00000000000003</v>
      </c>
      <c r="Q19" s="345"/>
      <c r="R19" s="345"/>
    </row>
    <row r="20" spans="1:18" ht="15.75" customHeight="1">
      <c r="A20" s="590"/>
      <c r="B20" s="336">
        <v>0</v>
      </c>
      <c r="C20" s="453"/>
      <c r="D20" s="337" t="s">
        <v>381</v>
      </c>
      <c r="E20" s="337"/>
      <c r="F20" s="339" t="s">
        <v>161</v>
      </c>
      <c r="G20" s="451">
        <v>4293</v>
      </c>
      <c r="H20" s="340">
        <f t="shared" si="4"/>
        <v>0</v>
      </c>
      <c r="I20" s="454"/>
      <c r="J20" s="341">
        <v>9</v>
      </c>
      <c r="K20" s="342">
        <f t="shared" si="5"/>
        <v>1651.1538461538462</v>
      </c>
      <c r="L20" s="343">
        <f t="shared" ref="L20" si="8">K20/J20</f>
        <v>183.46153846153845</v>
      </c>
      <c r="M20" s="344">
        <v>0.35694444444444445</v>
      </c>
      <c r="N20" s="344">
        <v>0.46527777777777779</v>
      </c>
      <c r="O20" s="335">
        <v>5</v>
      </c>
      <c r="P20" s="456">
        <f t="shared" si="7"/>
        <v>156</v>
      </c>
      <c r="Q20" s="345"/>
      <c r="R20" s="345"/>
    </row>
    <row r="21" spans="1:18" ht="15.75" customHeight="1">
      <c r="A21" s="590"/>
      <c r="B21" s="336">
        <v>0</v>
      </c>
      <c r="C21" s="453"/>
      <c r="D21" s="337"/>
      <c r="E21" s="337"/>
      <c r="F21" s="339" t="s">
        <v>161</v>
      </c>
      <c r="G21" s="451"/>
      <c r="H21" s="340"/>
      <c r="I21" s="454"/>
      <c r="J21" s="341"/>
      <c r="K21" s="342"/>
      <c r="L21" s="343"/>
      <c r="M21" s="344"/>
      <c r="N21" s="344"/>
      <c r="O21" s="335"/>
      <c r="P21" s="456"/>
      <c r="Q21" s="345"/>
      <c r="R21" s="345"/>
    </row>
    <row r="22" spans="1:18" ht="15.75" customHeight="1">
      <c r="A22" s="590"/>
      <c r="B22" s="336">
        <v>0</v>
      </c>
      <c r="C22" s="453"/>
      <c r="D22" s="337"/>
      <c r="E22" s="338"/>
      <c r="F22" s="339" t="s">
        <v>161</v>
      </c>
      <c r="G22" s="451"/>
      <c r="H22" s="340">
        <f t="shared" si="4"/>
        <v>0</v>
      </c>
      <c r="I22" s="454"/>
      <c r="J22" s="341"/>
      <c r="K22" s="342"/>
      <c r="L22" s="343"/>
      <c r="M22" s="344"/>
      <c r="N22" s="344"/>
      <c r="O22" s="335"/>
      <c r="P22" s="456"/>
      <c r="Q22" s="335"/>
      <c r="R22" s="335"/>
    </row>
    <row r="23" spans="1:18" ht="15.75" customHeight="1">
      <c r="A23" s="590"/>
      <c r="B23" s="336">
        <v>0</v>
      </c>
      <c r="C23" s="453"/>
      <c r="D23" s="337"/>
      <c r="E23" s="338"/>
      <c r="F23" s="339" t="s">
        <v>161</v>
      </c>
      <c r="G23" s="451"/>
      <c r="H23" s="340">
        <f t="shared" si="4"/>
        <v>0</v>
      </c>
      <c r="I23" s="454"/>
      <c r="J23" s="341"/>
      <c r="K23" s="342"/>
      <c r="L23" s="343"/>
      <c r="M23" s="344"/>
      <c r="N23" s="344"/>
      <c r="O23" s="335"/>
      <c r="P23" s="456"/>
      <c r="Q23" s="335"/>
      <c r="R23" s="335"/>
    </row>
    <row r="24" spans="1:18" ht="17.399999999999999" customHeight="1">
      <c r="A24" s="591"/>
      <c r="B24" s="336">
        <v>0</v>
      </c>
      <c r="C24" s="204" t="s">
        <v>382</v>
      </c>
      <c r="D24" s="571" t="s">
        <v>377</v>
      </c>
      <c r="E24" s="571"/>
      <c r="F24" s="350"/>
      <c r="G24" s="358"/>
      <c r="H24" s="352"/>
      <c r="I24" s="353"/>
      <c r="J24" s="354">
        <f>AVERAGE(J17:J23)</f>
        <v>10.25</v>
      </c>
      <c r="K24" s="354">
        <f>AVERAGE(K17:K23)</f>
        <v>1588.3786114890759</v>
      </c>
      <c r="L24" s="355">
        <f>AVERAGE(L17:L23)</f>
        <v>157.37082818187463</v>
      </c>
      <c r="M24" s="344"/>
      <c r="N24" s="344"/>
      <c r="O24" s="335"/>
      <c r="P24" s="335"/>
      <c r="Q24" s="335"/>
      <c r="R24" s="335"/>
    </row>
    <row r="25" spans="1:18">
      <c r="A25" s="578" t="s">
        <v>383</v>
      </c>
      <c r="B25" s="336" t="s">
        <v>165</v>
      </c>
      <c r="C25" s="359"/>
      <c r="D25" s="360" t="s">
        <v>174</v>
      </c>
      <c r="E25" s="361"/>
      <c r="F25" s="339">
        <v>18.53</v>
      </c>
      <c r="G25" s="452">
        <v>2221</v>
      </c>
      <c r="H25" s="340">
        <f t="shared" ref="H25:H37" si="9">F25*G25</f>
        <v>41155.130000000005</v>
      </c>
      <c r="I25" s="454"/>
      <c r="J25" s="341">
        <v>3</v>
      </c>
      <c r="K25" s="342">
        <f t="shared" ref="K25:K30" si="10">G25/P25*60</f>
        <v>2776.2499999999986</v>
      </c>
      <c r="L25" s="343">
        <f t="shared" ref="L25:L30" si="11">K25/J25</f>
        <v>925.41666666666617</v>
      </c>
      <c r="M25" s="344">
        <v>0.18055555555555555</v>
      </c>
      <c r="N25" s="344">
        <v>0.21388888888888891</v>
      </c>
      <c r="O25" s="335">
        <v>20</v>
      </c>
      <c r="P25" s="456">
        <f>(N25-M25)*24*60</f>
        <v>48.000000000000028</v>
      </c>
      <c r="Q25" s="345"/>
      <c r="R25" s="345"/>
    </row>
    <row r="26" spans="1:18">
      <c r="A26" s="578"/>
      <c r="B26" s="336" t="s">
        <v>165</v>
      </c>
      <c r="C26" s="359"/>
      <c r="D26" s="337" t="s">
        <v>384</v>
      </c>
      <c r="E26" s="362"/>
      <c r="F26" s="339">
        <v>18.18</v>
      </c>
      <c r="G26" s="452">
        <v>3278</v>
      </c>
      <c r="H26" s="340">
        <f t="shared" si="9"/>
        <v>59594.04</v>
      </c>
      <c r="I26" s="454"/>
      <c r="J26" s="341">
        <v>4</v>
      </c>
      <c r="K26" s="342">
        <f t="shared" si="10"/>
        <v>2770.1408450704234</v>
      </c>
      <c r="L26" s="343">
        <f t="shared" si="11"/>
        <v>692.53521126760586</v>
      </c>
      <c r="M26" s="344">
        <v>0.22222222222222221</v>
      </c>
      <c r="N26" s="344">
        <v>0.27152777777777776</v>
      </c>
      <c r="O26" s="335">
        <v>12</v>
      </c>
      <c r="P26" s="456">
        <f>(N26-M26)*24*60</f>
        <v>70.999999999999986</v>
      </c>
      <c r="Q26" s="345"/>
      <c r="R26" s="345"/>
    </row>
    <row r="27" spans="1:18">
      <c r="A27" s="578"/>
      <c r="B27" s="336" t="s">
        <v>189</v>
      </c>
      <c r="C27" s="359"/>
      <c r="D27" s="360" t="s">
        <v>385</v>
      </c>
      <c r="E27" s="362"/>
      <c r="F27" s="339">
        <v>22.32</v>
      </c>
      <c r="G27" s="452">
        <v>1934</v>
      </c>
      <c r="H27" s="340">
        <f t="shared" si="9"/>
        <v>43166.879999999997</v>
      </c>
      <c r="I27" s="454"/>
      <c r="J27" s="341">
        <v>4</v>
      </c>
      <c r="K27" s="342">
        <f t="shared" si="10"/>
        <v>2975.3846153846139</v>
      </c>
      <c r="L27" s="343">
        <f t="shared" si="11"/>
        <v>743.84615384615347</v>
      </c>
      <c r="M27" s="344">
        <v>0.28472222222222221</v>
      </c>
      <c r="N27" s="344">
        <v>0.31180555555555556</v>
      </c>
      <c r="O27" s="335">
        <v>19</v>
      </c>
      <c r="P27" s="456">
        <f t="shared" ref="P27:P30" si="12">(N27-M27)*24*60</f>
        <v>39.000000000000021</v>
      </c>
      <c r="Q27" s="345"/>
      <c r="R27" s="345"/>
    </row>
    <row r="28" spans="1:18">
      <c r="A28" s="578"/>
      <c r="B28" s="336" t="s">
        <v>165</v>
      </c>
      <c r="C28" s="453"/>
      <c r="D28" s="361" t="s">
        <v>386</v>
      </c>
      <c r="E28" s="362"/>
      <c r="F28" s="339">
        <v>17.890909090909091</v>
      </c>
      <c r="G28" s="452">
        <v>2438</v>
      </c>
      <c r="H28" s="340">
        <f t="shared" si="9"/>
        <v>43618.036363636362</v>
      </c>
      <c r="I28" s="454"/>
      <c r="J28" s="341">
        <v>3</v>
      </c>
      <c r="K28" s="342">
        <f t="shared" si="10"/>
        <v>3180</v>
      </c>
      <c r="L28" s="343">
        <f t="shared" si="11"/>
        <v>1060</v>
      </c>
      <c r="M28" s="344">
        <v>0.3263888888888889</v>
      </c>
      <c r="N28" s="344">
        <v>0.35833333333333334</v>
      </c>
      <c r="O28" s="335">
        <v>21</v>
      </c>
      <c r="P28" s="456">
        <f t="shared" si="12"/>
        <v>46</v>
      </c>
      <c r="Q28" s="345"/>
      <c r="R28" s="345"/>
    </row>
    <row r="29" spans="1:18">
      <c r="A29" s="578"/>
      <c r="B29" s="336" t="s">
        <v>189</v>
      </c>
      <c r="C29" s="452"/>
      <c r="D29" s="337" t="s">
        <v>175</v>
      </c>
      <c r="E29" s="362"/>
      <c r="F29" s="339">
        <v>18.77</v>
      </c>
      <c r="G29" s="452">
        <v>931</v>
      </c>
      <c r="H29" s="340">
        <f t="shared" si="9"/>
        <v>17474.87</v>
      </c>
      <c r="I29" s="454"/>
      <c r="J29" s="341">
        <v>4</v>
      </c>
      <c r="K29" s="342">
        <f t="shared" si="10"/>
        <v>2793.00000000001</v>
      </c>
      <c r="L29" s="343">
        <f t="shared" si="11"/>
        <v>698.2500000000025</v>
      </c>
      <c r="M29" s="344">
        <v>0.36805555555555558</v>
      </c>
      <c r="N29" s="344">
        <v>0.38194444444444442</v>
      </c>
      <c r="O29" s="335">
        <v>14</v>
      </c>
      <c r="P29" s="456">
        <f t="shared" si="12"/>
        <v>19.999999999999929</v>
      </c>
      <c r="Q29" s="345"/>
      <c r="R29" s="345"/>
    </row>
    <row r="30" spans="1:18">
      <c r="A30" s="578"/>
      <c r="B30" s="336" t="s">
        <v>165</v>
      </c>
      <c r="C30" s="452"/>
      <c r="D30" s="360" t="s">
        <v>387</v>
      </c>
      <c r="E30" s="362"/>
      <c r="F30" s="339">
        <v>24.93</v>
      </c>
      <c r="G30" s="452">
        <v>695</v>
      </c>
      <c r="H30" s="340">
        <f t="shared" si="9"/>
        <v>17326.349999999999</v>
      </c>
      <c r="I30" s="454"/>
      <c r="J30" s="341">
        <v>3</v>
      </c>
      <c r="K30" s="342">
        <f t="shared" si="10"/>
        <v>2779.999999999995</v>
      </c>
      <c r="L30" s="343">
        <f t="shared" si="11"/>
        <v>926.66666666666504</v>
      </c>
      <c r="M30" s="344">
        <v>0.39583333333333331</v>
      </c>
      <c r="N30" s="344">
        <v>0.40625</v>
      </c>
      <c r="O30" s="335">
        <v>20</v>
      </c>
      <c r="P30" s="456">
        <f t="shared" si="12"/>
        <v>15.000000000000027</v>
      </c>
      <c r="Q30" s="345"/>
      <c r="R30" s="345"/>
    </row>
    <row r="31" spans="1:18" ht="15.75" customHeight="1">
      <c r="A31" s="578"/>
      <c r="B31" s="336">
        <v>0</v>
      </c>
      <c r="C31" s="453"/>
      <c r="D31" s="360"/>
      <c r="E31" s="362"/>
      <c r="F31" s="339" t="s">
        <v>161</v>
      </c>
      <c r="G31" s="452"/>
      <c r="H31" s="340">
        <f t="shared" si="9"/>
        <v>0</v>
      </c>
      <c r="I31" s="454"/>
      <c r="J31" s="341"/>
      <c r="K31" s="342"/>
      <c r="L31" s="343"/>
      <c r="M31" s="344"/>
      <c r="N31" s="344"/>
      <c r="O31" s="335"/>
      <c r="P31" s="456"/>
      <c r="Q31" s="345"/>
      <c r="R31" s="345"/>
    </row>
    <row r="32" spans="1:18">
      <c r="A32" s="578"/>
      <c r="B32" s="336">
        <v>0</v>
      </c>
      <c r="C32" s="453"/>
      <c r="D32" s="360"/>
      <c r="E32" s="338"/>
      <c r="F32" s="339" t="s">
        <v>161</v>
      </c>
      <c r="G32" s="452"/>
      <c r="H32" s="340">
        <f t="shared" si="9"/>
        <v>0</v>
      </c>
      <c r="I32" s="454"/>
      <c r="J32" s="341"/>
      <c r="K32" s="342"/>
      <c r="L32" s="343"/>
      <c r="M32" s="344"/>
      <c r="N32" s="344"/>
      <c r="O32" s="335"/>
      <c r="P32" s="456"/>
      <c r="Q32" s="345"/>
      <c r="R32" s="345"/>
    </row>
    <row r="33" spans="1:18">
      <c r="A33" s="578"/>
      <c r="B33" s="336">
        <v>0</v>
      </c>
      <c r="C33" s="452"/>
      <c r="D33" s="363"/>
      <c r="E33" s="362"/>
      <c r="F33" s="339" t="s">
        <v>161</v>
      </c>
      <c r="G33" s="452"/>
      <c r="H33" s="340">
        <f t="shared" si="9"/>
        <v>0</v>
      </c>
      <c r="I33" s="454"/>
      <c r="J33" s="341"/>
      <c r="K33" s="342"/>
      <c r="L33" s="343"/>
      <c r="M33" s="344"/>
      <c r="N33" s="344"/>
      <c r="O33" s="335"/>
      <c r="P33" s="456"/>
      <c r="Q33" s="345"/>
      <c r="R33" s="345"/>
    </row>
    <row r="34" spans="1:18">
      <c r="A34" s="578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9"/>
        <v>0</v>
      </c>
      <c r="I34" s="454"/>
      <c r="J34" s="341"/>
      <c r="K34" s="342"/>
      <c r="L34" s="343"/>
      <c r="M34" s="344"/>
      <c r="N34" s="344"/>
      <c r="O34" s="335"/>
      <c r="P34" s="456"/>
      <c r="Q34" s="345"/>
      <c r="R34" s="345"/>
    </row>
    <row r="35" spans="1:18">
      <c r="A35" s="578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9"/>
        <v>0</v>
      </c>
      <c r="I35" s="454"/>
      <c r="J35" s="341"/>
      <c r="K35" s="342"/>
      <c r="L35" s="343"/>
      <c r="M35" s="344"/>
      <c r="N35" s="344"/>
      <c r="O35" s="335"/>
      <c r="P35" s="456"/>
      <c r="Q35" s="345"/>
      <c r="R35" s="345"/>
    </row>
    <row r="36" spans="1:18">
      <c r="A36" s="578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9"/>
        <v>0</v>
      </c>
      <c r="I36" s="454"/>
      <c r="J36" s="341"/>
      <c r="K36" s="342"/>
      <c r="L36" s="343"/>
      <c r="M36" s="344"/>
      <c r="N36" s="344"/>
      <c r="O36" s="335"/>
      <c r="P36" s="456"/>
      <c r="Q36" s="345"/>
      <c r="R36" s="345"/>
    </row>
    <row r="37" spans="1:18">
      <c r="A37" s="578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9"/>
        <v>0</v>
      </c>
      <c r="I37" s="454"/>
      <c r="J37" s="341"/>
      <c r="K37" s="342"/>
      <c r="L37" s="343"/>
      <c r="M37" s="344"/>
      <c r="N37" s="344"/>
      <c r="O37" s="335"/>
      <c r="P37" s="456"/>
      <c r="Q37" s="345"/>
      <c r="R37" s="345"/>
    </row>
    <row r="38" spans="1:18" ht="17.399999999999999" customHeight="1">
      <c r="A38" s="579"/>
      <c r="B38" s="336">
        <v>0</v>
      </c>
      <c r="C38" s="204" t="s">
        <v>27</v>
      </c>
      <c r="D38" s="552" t="s">
        <v>176</v>
      </c>
      <c r="E38" s="552"/>
      <c r="F38" s="350"/>
      <c r="G38" s="365"/>
      <c r="H38" s="352"/>
      <c r="I38" s="353"/>
      <c r="J38" s="354">
        <f>AVERAGE(J25:J37)</f>
        <v>3.5</v>
      </c>
      <c r="K38" s="354">
        <f>AVERAGE(K25:K37)</f>
        <v>2879.1292434091738</v>
      </c>
      <c r="L38" s="355">
        <f>AVERAGE(L25:L37)</f>
        <v>841.11911640784876</v>
      </c>
      <c r="M38" s="344"/>
      <c r="N38" s="344"/>
      <c r="O38" s="342"/>
      <c r="P38" s="342"/>
      <c r="Q38" s="343"/>
      <c r="R38" s="343"/>
    </row>
    <row r="39" spans="1:18" ht="16.2" customHeight="1">
      <c r="A39" s="567" t="s">
        <v>388</v>
      </c>
      <c r="B39" s="336" t="s">
        <v>165</v>
      </c>
      <c r="C39" s="453"/>
      <c r="D39" s="360" t="s">
        <v>389</v>
      </c>
      <c r="E39" s="338"/>
      <c r="F39" s="339">
        <v>16.66</v>
      </c>
      <c r="G39" s="452">
        <v>4948</v>
      </c>
      <c r="H39" s="340">
        <f t="shared" ref="H39:H47" si="13">F39*G39</f>
        <v>82433.680000000008</v>
      </c>
      <c r="I39" s="454"/>
      <c r="J39" s="341">
        <v>4</v>
      </c>
      <c r="K39" s="342">
        <f t="shared" ref="K39:K40" si="14">G39/P39*60</f>
        <v>2774.5794392523367</v>
      </c>
      <c r="L39" s="343">
        <f t="shared" ref="L39:L40" si="15">K39/J39</f>
        <v>693.64485981308417</v>
      </c>
      <c r="M39" s="344">
        <v>0.18055555555555555</v>
      </c>
      <c r="N39" s="344">
        <v>0.25486111111111109</v>
      </c>
      <c r="O39" s="335">
        <v>20</v>
      </c>
      <c r="P39" s="456">
        <f t="shared" ref="P39:P40" si="16">(N39-M39)*24*60</f>
        <v>106.99999999999999</v>
      </c>
      <c r="Q39" s="345"/>
      <c r="R39" s="345"/>
    </row>
    <row r="40" spans="1:18">
      <c r="A40" s="568"/>
      <c r="B40" s="336" t="s">
        <v>165</v>
      </c>
      <c r="C40" s="453"/>
      <c r="D40" s="361" t="s">
        <v>390</v>
      </c>
      <c r="E40" s="338"/>
      <c r="F40" s="339">
        <v>22.95</v>
      </c>
      <c r="G40" s="452">
        <v>5184</v>
      </c>
      <c r="H40" s="340">
        <f t="shared" si="13"/>
        <v>118972.8</v>
      </c>
      <c r="I40" s="454"/>
      <c r="J40" s="341">
        <v>4</v>
      </c>
      <c r="K40" s="342">
        <f t="shared" si="14"/>
        <v>2827.6363636363658</v>
      </c>
      <c r="L40" s="343">
        <f t="shared" si="15"/>
        <v>706.90909090909145</v>
      </c>
      <c r="M40" s="344">
        <v>0.2638888888888889</v>
      </c>
      <c r="N40" s="344">
        <v>0.34027777777777773</v>
      </c>
      <c r="O40" s="335">
        <v>13</v>
      </c>
      <c r="P40" s="456">
        <f t="shared" si="16"/>
        <v>109.99999999999993</v>
      </c>
      <c r="Q40" s="345"/>
      <c r="R40" s="345"/>
    </row>
    <row r="41" spans="1:18">
      <c r="A41" s="568"/>
      <c r="B41" s="336">
        <v>0</v>
      </c>
      <c r="C41" s="453"/>
      <c r="D41" s="361"/>
      <c r="E41" s="338"/>
      <c r="F41" s="339" t="s">
        <v>161</v>
      </c>
      <c r="G41" s="452"/>
      <c r="H41" s="340">
        <f t="shared" si="13"/>
        <v>0</v>
      </c>
      <c r="I41" s="454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568"/>
      <c r="B42" s="336">
        <v>0</v>
      </c>
      <c r="C42" s="453"/>
      <c r="D42" s="361"/>
      <c r="E42" s="338"/>
      <c r="F42" s="339" t="s">
        <v>161</v>
      </c>
      <c r="G42" s="452"/>
      <c r="H42" s="340">
        <f t="shared" si="13"/>
        <v>0</v>
      </c>
      <c r="I42" s="454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568"/>
      <c r="B43" s="336">
        <v>0</v>
      </c>
      <c r="C43" s="453"/>
      <c r="D43" s="363"/>
      <c r="E43" s="338"/>
      <c r="F43" s="339" t="s">
        <v>161</v>
      </c>
      <c r="G43" s="452"/>
      <c r="H43" s="340">
        <f t="shared" si="13"/>
        <v>0</v>
      </c>
      <c r="I43" s="454"/>
      <c r="J43" s="341"/>
      <c r="K43" s="342"/>
      <c r="L43" s="343"/>
      <c r="M43" s="344"/>
      <c r="N43" s="344"/>
      <c r="O43" s="335"/>
      <c r="P43" s="456"/>
      <c r="Q43" s="345"/>
      <c r="R43" s="345"/>
    </row>
    <row r="44" spans="1:18">
      <c r="A44" s="568"/>
      <c r="B44" s="336">
        <v>0</v>
      </c>
      <c r="C44" s="453"/>
      <c r="D44" s="361"/>
      <c r="E44" s="367"/>
      <c r="F44" s="339" t="s">
        <v>161</v>
      </c>
      <c r="G44" s="368"/>
      <c r="H44" s="369">
        <f t="shared" si="13"/>
        <v>0</v>
      </c>
      <c r="I44" s="455"/>
      <c r="J44" s="341"/>
      <c r="K44" s="342"/>
      <c r="L44" s="343"/>
      <c r="M44" s="344"/>
      <c r="N44" s="344"/>
      <c r="O44" s="335"/>
      <c r="P44" s="456"/>
      <c r="Q44" s="345"/>
      <c r="R44" s="345"/>
    </row>
    <row r="45" spans="1:18">
      <c r="A45" s="568"/>
      <c r="B45" s="336">
        <v>0</v>
      </c>
      <c r="C45" s="453"/>
      <c r="D45" s="361"/>
      <c r="E45" s="362"/>
      <c r="F45" s="339" t="s">
        <v>161</v>
      </c>
      <c r="G45" s="452"/>
      <c r="H45" s="340">
        <f t="shared" si="13"/>
        <v>0</v>
      </c>
      <c r="I45" s="454"/>
      <c r="J45" s="341"/>
      <c r="K45" s="342"/>
      <c r="L45" s="343"/>
      <c r="M45" s="344"/>
      <c r="N45" s="344"/>
      <c r="O45" s="335"/>
      <c r="P45" s="456"/>
      <c r="Q45" s="345"/>
      <c r="R45" s="345"/>
    </row>
    <row r="46" spans="1:18">
      <c r="A46" s="568"/>
      <c r="B46" s="336">
        <v>0</v>
      </c>
      <c r="C46" s="453"/>
      <c r="D46" s="363"/>
      <c r="E46" s="367"/>
      <c r="F46" s="339" t="s">
        <v>161</v>
      </c>
      <c r="G46" s="368"/>
      <c r="H46" s="369">
        <f t="shared" si="13"/>
        <v>0</v>
      </c>
      <c r="I46" s="455"/>
      <c r="J46" s="341"/>
      <c r="K46" s="342"/>
      <c r="L46" s="343"/>
      <c r="M46" s="344"/>
      <c r="N46" s="344"/>
      <c r="O46" s="335"/>
      <c r="P46" s="456"/>
      <c r="Q46" s="345"/>
      <c r="R46" s="345"/>
    </row>
    <row r="47" spans="1:18">
      <c r="A47" s="568"/>
      <c r="B47" s="336">
        <v>0</v>
      </c>
      <c r="C47" s="453"/>
      <c r="D47" s="361"/>
      <c r="E47" s="362"/>
      <c r="F47" s="339" t="s">
        <v>161</v>
      </c>
      <c r="G47" s="452"/>
      <c r="H47" s="340">
        <f t="shared" si="13"/>
        <v>0</v>
      </c>
      <c r="I47" s="454"/>
      <c r="J47" s="341"/>
      <c r="K47" s="342"/>
      <c r="L47" s="343"/>
      <c r="M47" s="344"/>
      <c r="N47" s="344"/>
      <c r="O47" s="335"/>
      <c r="P47" s="456"/>
      <c r="Q47" s="345"/>
      <c r="R47" s="345"/>
    </row>
    <row r="48" spans="1:18">
      <c r="A48" s="569"/>
      <c r="B48" s="336">
        <v>0</v>
      </c>
      <c r="C48" s="452"/>
      <c r="D48" s="361"/>
      <c r="E48" s="370"/>
      <c r="F48" s="339" t="s">
        <v>161</v>
      </c>
      <c r="G48" s="452"/>
      <c r="H48" s="340"/>
      <c r="I48" s="454"/>
      <c r="J48" s="341"/>
      <c r="K48" s="342"/>
      <c r="L48" s="343"/>
      <c r="M48" s="344"/>
      <c r="N48" s="344"/>
      <c r="O48" s="335"/>
      <c r="P48" s="456"/>
      <c r="Q48" s="345"/>
      <c r="R48" s="345"/>
    </row>
    <row r="49" spans="1:18">
      <c r="A49" s="569"/>
      <c r="B49" s="336">
        <v>0</v>
      </c>
      <c r="C49" s="452"/>
      <c r="D49" s="360"/>
      <c r="E49" s="371"/>
      <c r="F49" s="339" t="s">
        <v>161</v>
      </c>
      <c r="G49" s="335"/>
      <c r="H49" s="369">
        <f>F49*G49</f>
        <v>0</v>
      </c>
      <c r="I49" s="456"/>
      <c r="J49" s="341"/>
      <c r="K49" s="342"/>
      <c r="L49" s="343"/>
      <c r="M49" s="344"/>
      <c r="N49" s="344"/>
      <c r="O49" s="335"/>
      <c r="P49" s="456"/>
      <c r="Q49" s="345"/>
      <c r="R49" s="345"/>
    </row>
    <row r="50" spans="1:18">
      <c r="A50" s="569"/>
      <c r="B50" s="336">
        <v>0</v>
      </c>
      <c r="C50" s="452"/>
      <c r="D50" s="361"/>
      <c r="E50" s="371"/>
      <c r="F50" s="339" t="s">
        <v>161</v>
      </c>
      <c r="G50" s="335"/>
      <c r="H50" s="369">
        <f>F50*G50</f>
        <v>0</v>
      </c>
      <c r="I50" s="456"/>
      <c r="J50" s="341"/>
      <c r="K50" s="342"/>
      <c r="L50" s="343"/>
      <c r="M50" s="344"/>
      <c r="N50" s="344"/>
      <c r="O50" s="335"/>
      <c r="P50" s="456"/>
      <c r="Q50" s="345"/>
      <c r="R50" s="345"/>
    </row>
    <row r="51" spans="1:18" ht="15.75" customHeight="1">
      <c r="A51" s="570"/>
      <c r="B51" s="336">
        <v>0</v>
      </c>
      <c r="C51" s="204" t="s">
        <v>28</v>
      </c>
      <c r="D51" s="571" t="s">
        <v>377</v>
      </c>
      <c r="E51" s="571"/>
      <c r="F51" s="350"/>
      <c r="G51" s="355"/>
      <c r="H51" s="372"/>
      <c r="I51" s="373"/>
      <c r="J51" s="354">
        <f>AVERAGE(J38:J50)</f>
        <v>3.8333333333333335</v>
      </c>
      <c r="K51" s="354">
        <f>AVERAGE(K38:K50)</f>
        <v>2827.1150154326256</v>
      </c>
      <c r="L51" s="355">
        <f>AVERAGE(L38:L50)</f>
        <v>747.22435571000813</v>
      </c>
      <c r="M51" s="374"/>
      <c r="N51" s="344"/>
      <c r="O51" s="342"/>
      <c r="P51" s="342"/>
      <c r="Q51" s="343"/>
      <c r="R51" s="343"/>
    </row>
    <row r="52" spans="1:18" ht="15.6" customHeight="1">
      <c r="A52" s="572" t="s">
        <v>391</v>
      </c>
      <c r="B52" s="336" t="s">
        <v>165</v>
      </c>
      <c r="C52" s="453"/>
      <c r="D52" s="361" t="s">
        <v>177</v>
      </c>
      <c r="E52" s="375"/>
      <c r="F52" s="339">
        <v>25.03</v>
      </c>
      <c r="G52" s="452">
        <v>738</v>
      </c>
      <c r="H52" s="340">
        <f>F52*G52</f>
        <v>18472.14</v>
      </c>
      <c r="I52" s="454"/>
      <c r="J52" s="341">
        <v>4</v>
      </c>
      <c r="K52" s="342">
        <f>G52/P52*60</f>
        <v>3162.8571428571454</v>
      </c>
      <c r="L52" s="343">
        <f>K52/J52</f>
        <v>790.71428571428635</v>
      </c>
      <c r="M52" s="344">
        <v>0.18055555555555555</v>
      </c>
      <c r="N52" s="344">
        <v>0.19027777777777777</v>
      </c>
      <c r="O52" s="342">
        <v>20</v>
      </c>
      <c r="P52" s="456">
        <f>(N52-M52)*24*60</f>
        <v>13.999999999999989</v>
      </c>
      <c r="Q52" s="345"/>
      <c r="R52" s="345"/>
    </row>
    <row r="53" spans="1:18" ht="15.6" customHeight="1">
      <c r="A53" s="573"/>
      <c r="B53" s="336" t="s">
        <v>165</v>
      </c>
      <c r="C53" s="453"/>
      <c r="D53" s="361" t="s">
        <v>178</v>
      </c>
      <c r="E53" s="376"/>
      <c r="F53" s="339">
        <v>24.82</v>
      </c>
      <c r="G53" s="346">
        <v>989</v>
      </c>
      <c r="H53" s="340">
        <f t="shared" ref="H53:H116" si="17">F53*G53</f>
        <v>24546.98</v>
      </c>
      <c r="I53" s="454"/>
      <c r="J53" s="341">
        <v>4</v>
      </c>
      <c r="K53" s="342">
        <f t="shared" ref="K53:K57" si="18">G53/P53*60</f>
        <v>3123.1578947368334</v>
      </c>
      <c r="L53" s="343">
        <f t="shared" ref="L53:L57" si="19">K53/J53</f>
        <v>780.78947368420836</v>
      </c>
      <c r="M53" s="344">
        <v>0.20138888888888887</v>
      </c>
      <c r="N53" s="344">
        <v>0.21458333333333335</v>
      </c>
      <c r="O53" s="342">
        <v>16</v>
      </c>
      <c r="P53" s="456">
        <f t="shared" ref="P53:P57" si="20">(N53-M53)*24*60</f>
        <v>19.000000000000053</v>
      </c>
      <c r="Q53" s="345"/>
      <c r="R53" s="345"/>
    </row>
    <row r="54" spans="1:18" ht="15.6" customHeight="1">
      <c r="A54" s="573"/>
      <c r="B54" s="336" t="s">
        <v>165</v>
      </c>
      <c r="C54" s="453"/>
      <c r="D54" s="361" t="s">
        <v>179</v>
      </c>
      <c r="E54" s="338"/>
      <c r="F54" s="339">
        <v>30</v>
      </c>
      <c r="G54" s="346">
        <v>1340</v>
      </c>
      <c r="H54" s="340">
        <f t="shared" si="17"/>
        <v>40200</v>
      </c>
      <c r="I54" s="454"/>
      <c r="J54" s="341">
        <v>4</v>
      </c>
      <c r="K54" s="342">
        <f t="shared" si="18"/>
        <v>3092.3076923076892</v>
      </c>
      <c r="L54" s="343">
        <f t="shared" si="19"/>
        <v>773.0769230769223</v>
      </c>
      <c r="M54" s="344">
        <v>0.22222222222222221</v>
      </c>
      <c r="N54" s="344">
        <v>0.24027777777777778</v>
      </c>
      <c r="O54" s="342">
        <v>11</v>
      </c>
      <c r="P54" s="456">
        <f t="shared" si="20"/>
        <v>26.000000000000028</v>
      </c>
      <c r="Q54" s="345"/>
      <c r="R54" s="345"/>
    </row>
    <row r="55" spans="1:18" ht="15.6" customHeight="1">
      <c r="A55" s="573"/>
      <c r="B55" s="336" t="s">
        <v>165</v>
      </c>
      <c r="C55" s="453"/>
      <c r="D55" s="363" t="s">
        <v>392</v>
      </c>
      <c r="E55" s="362"/>
      <c r="F55" s="339">
        <v>30</v>
      </c>
      <c r="G55" s="346">
        <v>719</v>
      </c>
      <c r="H55" s="340">
        <f t="shared" si="17"/>
        <v>21570</v>
      </c>
      <c r="I55" s="454"/>
      <c r="J55" s="341">
        <v>4</v>
      </c>
      <c r="K55" s="342">
        <f t="shared" si="18"/>
        <v>3081.4285714285647</v>
      </c>
      <c r="L55" s="343">
        <f t="shared" si="19"/>
        <v>770.35714285714118</v>
      </c>
      <c r="M55" s="344">
        <v>0.25</v>
      </c>
      <c r="N55" s="344">
        <v>0.25972222222222224</v>
      </c>
      <c r="O55" s="342">
        <v>14</v>
      </c>
      <c r="P55" s="456">
        <f t="shared" si="20"/>
        <v>14.00000000000003</v>
      </c>
      <c r="Q55" s="345"/>
      <c r="R55" s="345"/>
    </row>
    <row r="56" spans="1:18" ht="15.6" customHeight="1">
      <c r="A56" s="573"/>
      <c r="B56" s="336" t="s">
        <v>165</v>
      </c>
      <c r="C56" s="453"/>
      <c r="D56" s="361" t="s">
        <v>393</v>
      </c>
      <c r="E56" s="362"/>
      <c r="F56" s="339">
        <v>27.48</v>
      </c>
      <c r="G56" s="346">
        <v>1422</v>
      </c>
      <c r="H56" s="340">
        <f t="shared" si="17"/>
        <v>39076.559999999998</v>
      </c>
      <c r="I56" s="454"/>
      <c r="J56" s="341">
        <v>3</v>
      </c>
      <c r="K56" s="342">
        <f t="shared" si="18"/>
        <v>3159.9999999999927</v>
      </c>
      <c r="L56" s="343">
        <f t="shared" si="19"/>
        <v>1053.333333333331</v>
      </c>
      <c r="M56" s="344">
        <v>0.27083333333333331</v>
      </c>
      <c r="N56" s="344">
        <v>0.28958333333333336</v>
      </c>
      <c r="O56" s="342">
        <v>16</v>
      </c>
      <c r="P56" s="456">
        <f t="shared" si="20"/>
        <v>27.000000000000064</v>
      </c>
      <c r="Q56" s="345"/>
      <c r="R56" s="345"/>
    </row>
    <row r="57" spans="1:18" ht="15.75" customHeight="1">
      <c r="A57" s="573"/>
      <c r="B57" s="336" t="s">
        <v>165</v>
      </c>
      <c r="C57" s="204" t="s">
        <v>31</v>
      </c>
      <c r="D57" s="361" t="s">
        <v>394</v>
      </c>
      <c r="E57" s="362"/>
      <c r="F57" s="339">
        <v>23.8</v>
      </c>
      <c r="G57" s="346">
        <v>760</v>
      </c>
      <c r="H57" s="340">
        <f t="shared" si="17"/>
        <v>18088</v>
      </c>
      <c r="I57" s="454"/>
      <c r="J57" s="341">
        <v>4</v>
      </c>
      <c r="K57" s="342">
        <f t="shared" si="18"/>
        <v>3039.9999999999945</v>
      </c>
      <c r="L57" s="343">
        <f t="shared" si="19"/>
        <v>759.99999999999864</v>
      </c>
      <c r="M57" s="344">
        <v>0.2986111111111111</v>
      </c>
      <c r="N57" s="344">
        <v>0.30902777777777779</v>
      </c>
      <c r="O57" s="342">
        <v>13</v>
      </c>
      <c r="P57" s="456">
        <f t="shared" si="20"/>
        <v>15.000000000000027</v>
      </c>
      <c r="Q57" s="345"/>
      <c r="R57" s="345"/>
    </row>
    <row r="58" spans="1:18" ht="15.6" customHeight="1">
      <c r="A58" s="573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7"/>
        <v>0</v>
      </c>
      <c r="I58" s="454"/>
      <c r="J58" s="341"/>
      <c r="K58" s="342"/>
      <c r="L58" s="343"/>
      <c r="M58" s="344"/>
      <c r="N58" s="344"/>
      <c r="O58" s="342"/>
      <c r="P58" s="456"/>
      <c r="Q58" s="345"/>
      <c r="R58" s="345"/>
    </row>
    <row r="59" spans="1:18" ht="15.6" customHeight="1">
      <c r="A59" s="573"/>
      <c r="B59" s="336">
        <v>0</v>
      </c>
      <c r="C59" s="453"/>
      <c r="D59" s="361"/>
      <c r="E59" s="362"/>
      <c r="F59" s="339" t="s">
        <v>161</v>
      </c>
      <c r="G59" s="346"/>
      <c r="H59" s="340">
        <f t="shared" si="17"/>
        <v>0</v>
      </c>
      <c r="I59" s="454"/>
      <c r="J59" s="341"/>
      <c r="K59" s="342"/>
      <c r="L59" s="343"/>
      <c r="M59" s="344"/>
      <c r="N59" s="344"/>
      <c r="O59" s="342"/>
      <c r="P59" s="456"/>
      <c r="Q59" s="345"/>
      <c r="R59" s="345"/>
    </row>
    <row r="60" spans="1:18" ht="15.6" customHeight="1">
      <c r="A60" s="573"/>
      <c r="B60" s="336">
        <v>0</v>
      </c>
      <c r="C60" s="453"/>
      <c r="D60" s="361"/>
      <c r="E60" s="379"/>
      <c r="F60" s="339" t="s">
        <v>161</v>
      </c>
      <c r="G60" s="346"/>
      <c r="H60" s="340">
        <f t="shared" si="17"/>
        <v>0</v>
      </c>
      <c r="I60" s="454"/>
      <c r="J60" s="341"/>
      <c r="K60" s="342"/>
      <c r="L60" s="343"/>
      <c r="M60" s="344"/>
      <c r="N60" s="344"/>
      <c r="O60" s="342"/>
      <c r="P60" s="456"/>
      <c r="Q60" s="345"/>
      <c r="R60" s="345"/>
    </row>
    <row r="61" spans="1:18" ht="15.6" customHeight="1">
      <c r="A61" s="573"/>
      <c r="B61" s="336">
        <v>0</v>
      </c>
      <c r="C61" s="453"/>
      <c r="D61" s="360"/>
      <c r="E61" s="362"/>
      <c r="F61" s="339" t="s">
        <v>161</v>
      </c>
      <c r="G61" s="346"/>
      <c r="H61" s="340">
        <f t="shared" si="17"/>
        <v>0</v>
      </c>
      <c r="I61" s="454"/>
      <c r="J61" s="341"/>
      <c r="K61" s="342"/>
      <c r="L61" s="343"/>
      <c r="M61" s="344"/>
      <c r="N61" s="344"/>
      <c r="O61" s="342"/>
      <c r="P61" s="456"/>
      <c r="Q61" s="345"/>
      <c r="R61" s="345"/>
    </row>
    <row r="62" spans="1:18" ht="15.6" customHeight="1">
      <c r="A62" s="573"/>
      <c r="B62" s="336">
        <v>0</v>
      </c>
      <c r="C62" s="453"/>
      <c r="D62" s="361"/>
      <c r="E62" s="380"/>
      <c r="F62" s="339" t="s">
        <v>161</v>
      </c>
      <c r="G62" s="346"/>
      <c r="H62" s="340">
        <f t="shared" si="17"/>
        <v>0</v>
      </c>
      <c r="I62" s="454"/>
      <c r="J62" s="341"/>
      <c r="K62" s="342"/>
      <c r="L62" s="343"/>
      <c r="M62" s="344"/>
      <c r="N62" s="344"/>
      <c r="O62" s="342"/>
      <c r="P62" s="456"/>
      <c r="Q62" s="345"/>
      <c r="R62" s="345"/>
    </row>
    <row r="63" spans="1:18" ht="15.6" customHeight="1">
      <c r="A63" s="573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7"/>
        <v>0</v>
      </c>
      <c r="I63" s="455"/>
      <c r="J63" s="341"/>
      <c r="K63" s="342"/>
      <c r="L63" s="343"/>
      <c r="M63" s="344"/>
      <c r="N63" s="344"/>
      <c r="O63" s="335"/>
      <c r="P63" s="456"/>
      <c r="Q63" s="345"/>
      <c r="R63" s="345"/>
    </row>
    <row r="64" spans="1:18" ht="15.75" customHeight="1">
      <c r="A64" s="574"/>
      <c r="B64" s="336">
        <v>0</v>
      </c>
      <c r="C64" s="204" t="s">
        <v>395</v>
      </c>
      <c r="D64" s="571" t="s">
        <v>377</v>
      </c>
      <c r="E64" s="571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3109.9585502217037</v>
      </c>
      <c r="L64" s="355">
        <f>AVERAGE(L52:L63)</f>
        <v>821.37852644431462</v>
      </c>
      <c r="M64" s="344"/>
      <c r="N64" s="344"/>
      <c r="O64" s="335"/>
      <c r="P64" s="335"/>
      <c r="Q64" s="335"/>
      <c r="R64" s="335"/>
    </row>
    <row r="65" spans="1:18" ht="15.6" customHeight="1">
      <c r="A65" s="575" t="s">
        <v>396</v>
      </c>
      <c r="B65" s="336" t="s">
        <v>165</v>
      </c>
      <c r="C65" s="453"/>
      <c r="D65" s="361" t="s">
        <v>180</v>
      </c>
      <c r="E65" s="375"/>
      <c r="F65" s="339">
        <v>18.18</v>
      </c>
      <c r="G65" s="452">
        <v>1205</v>
      </c>
      <c r="H65" s="340">
        <f>F65*G65</f>
        <v>21906.9</v>
      </c>
      <c r="I65" s="454"/>
      <c r="J65" s="341">
        <v>3</v>
      </c>
      <c r="K65" s="342">
        <f t="shared" ref="K65:K71" si="21">G65/P65*60</f>
        <v>3143.478260869565</v>
      </c>
      <c r="L65" s="343">
        <f t="shared" ref="L65:L71" si="22">K65/J65</f>
        <v>1047.8260869565217</v>
      </c>
      <c r="M65" s="344">
        <v>0.18055555555555555</v>
      </c>
      <c r="N65" s="344">
        <v>0.19652777777777777</v>
      </c>
      <c r="O65" s="342">
        <v>20</v>
      </c>
      <c r="P65" s="456">
        <f>(N65-M65)*24*60</f>
        <v>23</v>
      </c>
      <c r="Q65" s="345"/>
      <c r="R65" s="345"/>
    </row>
    <row r="66" spans="1:18" ht="15.6" customHeight="1">
      <c r="A66" s="576"/>
      <c r="B66" s="336" t="s">
        <v>165</v>
      </c>
      <c r="C66" s="453"/>
      <c r="D66" s="382" t="s">
        <v>181</v>
      </c>
      <c r="E66" s="376"/>
      <c r="F66" s="339">
        <v>14.03</v>
      </c>
      <c r="G66" s="346">
        <v>4453</v>
      </c>
      <c r="H66" s="340">
        <f t="shared" ref="H66:H74" si="23">F66*G66</f>
        <v>62475.59</v>
      </c>
      <c r="I66" s="454"/>
      <c r="J66" s="341">
        <v>3</v>
      </c>
      <c r="K66" s="342">
        <f t="shared" si="21"/>
        <v>3180.7142857142862</v>
      </c>
      <c r="L66" s="343">
        <f t="shared" si="22"/>
        <v>1060.2380952380954</v>
      </c>
      <c r="M66" s="344">
        <v>0.20833333333333334</v>
      </c>
      <c r="N66" s="344">
        <v>0.26666666666666666</v>
      </c>
      <c r="O66" s="342">
        <v>17</v>
      </c>
      <c r="P66" s="456">
        <f t="shared" ref="P66:P71" si="24">(N66-M66)*24*60</f>
        <v>83.999999999999986</v>
      </c>
      <c r="Q66" s="345"/>
      <c r="R66" s="345"/>
    </row>
    <row r="67" spans="1:18" ht="15.6" customHeight="1">
      <c r="A67" s="576"/>
      <c r="B67" s="336" t="s">
        <v>165</v>
      </c>
      <c r="C67" s="453"/>
      <c r="D67" s="360" t="s">
        <v>182</v>
      </c>
      <c r="E67" s="362"/>
      <c r="F67" s="339">
        <v>18.18</v>
      </c>
      <c r="G67" s="346">
        <v>1972</v>
      </c>
      <c r="H67" s="340">
        <f t="shared" si="23"/>
        <v>35850.959999999999</v>
      </c>
      <c r="I67" s="454"/>
      <c r="J67" s="341">
        <v>3</v>
      </c>
      <c r="K67" s="342">
        <f t="shared" si="21"/>
        <v>3197.837837837842</v>
      </c>
      <c r="L67" s="343">
        <f t="shared" si="22"/>
        <v>1065.9459459459474</v>
      </c>
      <c r="M67" s="344">
        <v>0.27777777777777779</v>
      </c>
      <c r="N67" s="344">
        <v>0.3034722222222222</v>
      </c>
      <c r="O67" s="342">
        <v>16</v>
      </c>
      <c r="P67" s="456">
        <f t="shared" si="24"/>
        <v>36.99999999999995</v>
      </c>
      <c r="Q67" s="345"/>
      <c r="R67" s="345"/>
    </row>
    <row r="68" spans="1:18" ht="15.6" customHeight="1">
      <c r="A68" s="576"/>
      <c r="B68" s="336" t="s">
        <v>165</v>
      </c>
      <c r="C68" s="453"/>
      <c r="D68" s="361" t="s">
        <v>397</v>
      </c>
      <c r="E68" s="362"/>
      <c r="F68" s="339">
        <v>17.07</v>
      </c>
      <c r="G68" s="346">
        <v>1473</v>
      </c>
      <c r="H68" s="340">
        <f t="shared" si="23"/>
        <v>25144.11</v>
      </c>
      <c r="I68" s="454"/>
      <c r="J68" s="341">
        <v>3</v>
      </c>
      <c r="K68" s="342">
        <f t="shared" si="21"/>
        <v>3156.4285714285738</v>
      </c>
      <c r="L68" s="343">
        <f t="shared" si="22"/>
        <v>1052.142857142858</v>
      </c>
      <c r="M68" s="344">
        <v>0.3125</v>
      </c>
      <c r="N68" s="344">
        <v>0.33194444444444443</v>
      </c>
      <c r="O68" s="342">
        <v>13</v>
      </c>
      <c r="P68" s="456">
        <f t="shared" si="24"/>
        <v>27.999999999999979</v>
      </c>
      <c r="Q68" s="345"/>
      <c r="R68" s="345"/>
    </row>
    <row r="69" spans="1:18" ht="15.6" customHeight="1">
      <c r="A69" s="576"/>
      <c r="B69" s="336" t="s">
        <v>165</v>
      </c>
      <c r="C69" s="453"/>
      <c r="D69" s="363" t="s">
        <v>398</v>
      </c>
      <c r="E69" s="362"/>
      <c r="F69" s="339">
        <v>20.72</v>
      </c>
      <c r="G69" s="346">
        <v>777</v>
      </c>
      <c r="H69" s="340">
        <f t="shared" si="23"/>
        <v>16099.439999999999</v>
      </c>
      <c r="I69" s="454"/>
      <c r="J69" s="341">
        <v>3</v>
      </c>
      <c r="K69" s="342">
        <f t="shared" si="21"/>
        <v>3107.9999999999941</v>
      </c>
      <c r="L69" s="343">
        <f t="shared" si="22"/>
        <v>1035.999999999998</v>
      </c>
      <c r="M69" s="344">
        <v>0.34027777777777773</v>
      </c>
      <c r="N69" s="344">
        <v>0.35069444444444442</v>
      </c>
      <c r="O69" s="342">
        <v>12</v>
      </c>
      <c r="P69" s="456">
        <f t="shared" si="24"/>
        <v>15.000000000000027</v>
      </c>
      <c r="Q69" s="345"/>
      <c r="R69" s="345"/>
    </row>
    <row r="70" spans="1:18" ht="15.75" customHeight="1">
      <c r="A70" s="576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7261</v>
      </c>
      <c r="H70" s="340">
        <f t="shared" si="23"/>
        <v>103728.57142857141</v>
      </c>
      <c r="I70" s="454"/>
      <c r="J70" s="341">
        <v>3</v>
      </c>
      <c r="K70" s="342">
        <f t="shared" si="21"/>
        <v>3180</v>
      </c>
      <c r="L70" s="343">
        <f t="shared" si="22"/>
        <v>1060</v>
      </c>
      <c r="M70" s="344">
        <v>0.3611111111111111</v>
      </c>
      <c r="N70" s="344">
        <v>0.45624999999999999</v>
      </c>
      <c r="O70" s="342">
        <v>15</v>
      </c>
      <c r="P70" s="456">
        <f t="shared" si="24"/>
        <v>137</v>
      </c>
      <c r="Q70" s="345"/>
      <c r="R70" s="345"/>
    </row>
    <row r="71" spans="1:18" ht="15.6" customHeight="1">
      <c r="A71" s="576"/>
      <c r="B71" s="336" t="s">
        <v>165</v>
      </c>
      <c r="C71" s="377"/>
      <c r="D71" s="361" t="s">
        <v>399</v>
      </c>
      <c r="E71" s="362"/>
      <c r="F71" s="339">
        <v>24.76</v>
      </c>
      <c r="G71" s="378">
        <v>1330</v>
      </c>
      <c r="H71" s="340">
        <f t="shared" si="23"/>
        <v>32930.800000000003</v>
      </c>
      <c r="I71" s="454"/>
      <c r="J71" s="341">
        <v>4</v>
      </c>
      <c r="K71" s="342">
        <f t="shared" si="21"/>
        <v>3191.9999999999909</v>
      </c>
      <c r="L71" s="343">
        <f t="shared" si="22"/>
        <v>797.99999999999773</v>
      </c>
      <c r="M71" s="344">
        <v>0.46527777777777773</v>
      </c>
      <c r="N71" s="344">
        <v>0.4826388888888889</v>
      </c>
      <c r="O71" s="342">
        <v>13</v>
      </c>
      <c r="P71" s="456">
        <f t="shared" si="24"/>
        <v>25.000000000000071</v>
      </c>
      <c r="Q71" s="345"/>
      <c r="R71" s="345"/>
    </row>
    <row r="72" spans="1:18" ht="15.6" customHeight="1">
      <c r="A72" s="576"/>
      <c r="B72" s="336">
        <v>0</v>
      </c>
      <c r="C72" s="453"/>
      <c r="D72" s="363"/>
      <c r="E72" s="362"/>
      <c r="F72" s="339" t="s">
        <v>161</v>
      </c>
      <c r="G72" s="346"/>
      <c r="H72" s="340">
        <f t="shared" si="23"/>
        <v>0</v>
      </c>
      <c r="I72" s="454"/>
      <c r="J72" s="341"/>
      <c r="K72" s="342"/>
      <c r="L72" s="343"/>
      <c r="M72" s="344"/>
      <c r="N72" s="344"/>
      <c r="O72" s="342"/>
      <c r="P72" s="456"/>
      <c r="Q72" s="345"/>
      <c r="R72" s="345"/>
    </row>
    <row r="73" spans="1:18" ht="15.6" customHeight="1">
      <c r="A73" s="576"/>
      <c r="B73" s="336">
        <v>0</v>
      </c>
      <c r="C73" s="453"/>
      <c r="D73" s="361"/>
      <c r="E73" s="362"/>
      <c r="F73" s="339" t="s">
        <v>161</v>
      </c>
      <c r="G73" s="346"/>
      <c r="H73" s="340">
        <f t="shared" si="23"/>
        <v>0</v>
      </c>
      <c r="I73" s="454"/>
      <c r="J73" s="341"/>
      <c r="K73" s="342"/>
      <c r="L73" s="343"/>
      <c r="M73" s="344"/>
      <c r="N73" s="344"/>
      <c r="O73" s="342"/>
      <c r="P73" s="456"/>
      <c r="Q73" s="345"/>
      <c r="R73" s="345"/>
    </row>
    <row r="74" spans="1:18" ht="15.6" customHeight="1">
      <c r="A74" s="576"/>
      <c r="B74" s="336">
        <v>0</v>
      </c>
      <c r="C74" s="453"/>
      <c r="D74" s="363"/>
      <c r="E74" s="362"/>
      <c r="F74" s="339" t="s">
        <v>161</v>
      </c>
      <c r="G74" s="346"/>
      <c r="H74" s="340">
        <f t="shared" si="23"/>
        <v>0</v>
      </c>
      <c r="I74" s="454"/>
      <c r="J74" s="341"/>
      <c r="K74" s="342"/>
      <c r="L74" s="343"/>
      <c r="M74" s="344"/>
      <c r="N74" s="344"/>
      <c r="O74" s="342"/>
      <c r="P74" s="456"/>
      <c r="Q74" s="345"/>
      <c r="R74" s="345"/>
    </row>
    <row r="75" spans="1:18" ht="15.75" customHeight="1">
      <c r="A75" s="577"/>
      <c r="B75" s="336">
        <v>0</v>
      </c>
      <c r="C75" s="204" t="s">
        <v>400</v>
      </c>
      <c r="D75" s="571" t="s">
        <v>377</v>
      </c>
      <c r="E75" s="571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3165.4941365500367</v>
      </c>
      <c r="L75" s="355">
        <f>AVERAGE(L65:L74)</f>
        <v>1017.1647121833456</v>
      </c>
      <c r="M75" s="344"/>
      <c r="N75" s="344"/>
      <c r="O75" s="335"/>
      <c r="P75" s="335"/>
      <c r="Q75" s="335"/>
      <c r="R75" s="335"/>
    </row>
    <row r="76" spans="1:18" ht="16.2" customHeight="1">
      <c r="A76" s="556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7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456"/>
      <c r="Q76" s="345"/>
      <c r="R76" s="345"/>
    </row>
    <row r="77" spans="1:18">
      <c r="A77" s="556"/>
      <c r="B77" s="336">
        <v>0</v>
      </c>
      <c r="C77" s="349"/>
      <c r="D77" s="557"/>
      <c r="E77" s="558"/>
      <c r="F77" s="339" t="s">
        <v>161</v>
      </c>
      <c r="G77" s="452"/>
      <c r="H77" s="340">
        <f t="shared" si="17"/>
        <v>0</v>
      </c>
      <c r="I77" s="454"/>
      <c r="J77" s="341"/>
      <c r="K77" s="342"/>
      <c r="L77" s="343"/>
      <c r="M77" s="344"/>
      <c r="N77" s="344"/>
      <c r="O77" s="335"/>
      <c r="P77" s="456"/>
      <c r="Q77" s="335"/>
      <c r="R77" s="335"/>
    </row>
    <row r="78" spans="1:18">
      <c r="A78" s="556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7"/>
        <v>0</v>
      </c>
      <c r="I78" s="454"/>
      <c r="J78" s="341"/>
      <c r="K78" s="342"/>
      <c r="L78" s="343"/>
      <c r="M78" s="344"/>
      <c r="N78" s="344"/>
      <c r="O78" s="335"/>
      <c r="P78" s="456"/>
      <c r="Q78" s="335"/>
      <c r="R78" s="335"/>
    </row>
    <row r="79" spans="1:18">
      <c r="A79" s="556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7"/>
        <v>0</v>
      </c>
      <c r="I79" s="454"/>
      <c r="J79" s="341"/>
      <c r="K79" s="342"/>
      <c r="L79" s="343"/>
      <c r="M79" s="344"/>
      <c r="N79" s="344"/>
      <c r="O79" s="335"/>
      <c r="P79" s="456"/>
      <c r="Q79" s="335"/>
      <c r="R79" s="335"/>
    </row>
    <row r="80" spans="1:18">
      <c r="A80" s="556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7"/>
        <v>0</v>
      </c>
      <c r="I80" s="454"/>
      <c r="J80" s="341"/>
      <c r="K80" s="342"/>
      <c r="L80" s="343"/>
      <c r="M80" s="344"/>
      <c r="N80" s="344"/>
      <c r="O80" s="335"/>
      <c r="P80" s="456"/>
      <c r="Q80" s="335"/>
      <c r="R80" s="335"/>
    </row>
    <row r="81" spans="1:18" ht="15.75" customHeight="1">
      <c r="A81" s="556"/>
      <c r="B81" s="336">
        <v>0</v>
      </c>
      <c r="C81" s="204" t="s">
        <v>31</v>
      </c>
      <c r="D81" s="559" t="s">
        <v>377</v>
      </c>
      <c r="E81" s="560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561" t="s">
        <v>401</v>
      </c>
      <c r="B82" s="336" t="s">
        <v>165</v>
      </c>
      <c r="C82" s="359"/>
      <c r="D82" s="361" t="s">
        <v>402</v>
      </c>
      <c r="E82" s="388"/>
      <c r="F82" s="339">
        <v>22.32</v>
      </c>
      <c r="G82" s="364">
        <v>2571</v>
      </c>
      <c r="H82" s="389">
        <f t="shared" ref="H82:H90" si="25">F82*G82</f>
        <v>57384.72</v>
      </c>
      <c r="I82" s="454"/>
      <c r="J82" s="341">
        <v>4</v>
      </c>
      <c r="K82" s="342">
        <f>G82/P82*60</f>
        <v>3085.2000000000107</v>
      </c>
      <c r="L82" s="343">
        <f t="shared" ref="L82:L83" si="26">K82/J82</f>
        <v>771.30000000000268</v>
      </c>
      <c r="M82" s="344">
        <v>0.72291666666666676</v>
      </c>
      <c r="N82" s="344">
        <v>0.75763888888888886</v>
      </c>
      <c r="O82" s="342">
        <v>21</v>
      </c>
      <c r="P82" s="456">
        <f>(N82-M82)*24*60</f>
        <v>49.999999999999822</v>
      </c>
      <c r="Q82" s="345"/>
      <c r="R82" s="345"/>
    </row>
    <row r="83" spans="1:18">
      <c r="A83" s="562"/>
      <c r="B83" s="336" t="s">
        <v>165</v>
      </c>
      <c r="C83" s="359"/>
      <c r="D83" s="394" t="s">
        <v>403</v>
      </c>
      <c r="E83" s="388"/>
      <c r="F83" s="339">
        <v>24.54</v>
      </c>
      <c r="G83" s="364">
        <v>1679</v>
      </c>
      <c r="H83" s="389">
        <f t="shared" si="25"/>
        <v>41202.659999999996</v>
      </c>
      <c r="I83" s="454"/>
      <c r="J83" s="341">
        <v>3</v>
      </c>
      <c r="K83" s="342">
        <f t="shared" ref="K83" si="27">G83/P83*60</f>
        <v>2238.6666666666665</v>
      </c>
      <c r="L83" s="343">
        <f t="shared" si="26"/>
        <v>746.22222222222217</v>
      </c>
      <c r="M83" s="344">
        <v>0.8125</v>
      </c>
      <c r="N83" s="344">
        <v>0.84375</v>
      </c>
      <c r="O83" s="342">
        <v>19</v>
      </c>
      <c r="P83" s="456">
        <f t="shared" ref="P83" si="28">(N83-M83)*24*60</f>
        <v>45</v>
      </c>
      <c r="Q83" s="345"/>
      <c r="R83" s="345"/>
    </row>
    <row r="84" spans="1:18">
      <c r="A84" s="562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5"/>
        <v>0</v>
      </c>
      <c r="I84" s="454"/>
      <c r="J84" s="341"/>
      <c r="K84" s="342"/>
      <c r="L84" s="343"/>
      <c r="M84" s="344"/>
      <c r="N84" s="344"/>
      <c r="O84" s="342"/>
      <c r="P84" s="456"/>
      <c r="Q84" s="345"/>
      <c r="R84" s="345"/>
    </row>
    <row r="85" spans="1:18">
      <c r="A85" s="562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5"/>
        <v>0</v>
      </c>
      <c r="I85" s="454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562"/>
      <c r="B86" s="336">
        <v>0</v>
      </c>
      <c r="C86" s="359"/>
      <c r="D86" s="361"/>
      <c r="E86" s="388"/>
      <c r="F86" s="339" t="s">
        <v>161</v>
      </c>
      <c r="G86" s="452"/>
      <c r="H86" s="390">
        <f t="shared" si="25"/>
        <v>0</v>
      </c>
      <c r="I86" s="454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562"/>
      <c r="B87" s="336">
        <v>0</v>
      </c>
      <c r="C87" s="359"/>
      <c r="D87" s="361"/>
      <c r="E87" s="388"/>
      <c r="F87" s="339" t="s">
        <v>161</v>
      </c>
      <c r="G87" s="452"/>
      <c r="H87" s="390">
        <f t="shared" si="25"/>
        <v>0</v>
      </c>
      <c r="I87" s="454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562"/>
      <c r="B88" s="336">
        <v>0</v>
      </c>
      <c r="C88" s="359"/>
      <c r="D88" s="361"/>
      <c r="E88" s="388"/>
      <c r="F88" s="339" t="s">
        <v>161</v>
      </c>
      <c r="G88" s="452"/>
      <c r="H88" s="390">
        <f t="shared" si="25"/>
        <v>0</v>
      </c>
      <c r="I88" s="454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562"/>
      <c r="B89" s="336">
        <v>0</v>
      </c>
      <c r="C89" s="359"/>
      <c r="D89" s="361"/>
      <c r="E89" s="388"/>
      <c r="F89" s="339" t="s">
        <v>161</v>
      </c>
      <c r="G89" s="452"/>
      <c r="H89" s="390">
        <f t="shared" si="25"/>
        <v>0</v>
      </c>
      <c r="I89" s="454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562"/>
      <c r="B90" s="336">
        <v>0</v>
      </c>
      <c r="C90" s="359"/>
      <c r="D90" s="361"/>
      <c r="E90" s="388"/>
      <c r="F90" s="339" t="s">
        <v>161</v>
      </c>
      <c r="G90" s="452"/>
      <c r="H90" s="390">
        <f t="shared" si="25"/>
        <v>0</v>
      </c>
      <c r="I90" s="454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562"/>
      <c r="B91" s="336">
        <v>0</v>
      </c>
      <c r="C91" s="204" t="s">
        <v>383</v>
      </c>
      <c r="D91" s="563" t="s">
        <v>377</v>
      </c>
      <c r="E91" s="563"/>
      <c r="F91" s="350"/>
      <c r="G91" s="392"/>
      <c r="H91" s="393"/>
      <c r="I91" s="353"/>
      <c r="J91" s="354">
        <f>AVERAGE(J82:J90)</f>
        <v>3.5</v>
      </c>
      <c r="K91" s="354">
        <f>AVERAGE(K82:K90)</f>
        <v>2661.9333333333389</v>
      </c>
      <c r="L91" s="355">
        <f>AVERAGE(L82:L90)</f>
        <v>758.76111111111243</v>
      </c>
      <c r="M91" s="344"/>
      <c r="N91" s="344"/>
      <c r="O91" s="342"/>
      <c r="P91" s="342"/>
      <c r="Q91" s="343"/>
      <c r="R91" s="343"/>
    </row>
    <row r="92" spans="1:18" ht="16.2" customHeight="1">
      <c r="A92" s="564" t="s">
        <v>404</v>
      </c>
      <c r="B92" s="336" t="s">
        <v>165</v>
      </c>
      <c r="C92" s="349"/>
      <c r="D92" s="361" t="s">
        <v>185</v>
      </c>
      <c r="E92" s="388"/>
      <c r="F92" s="339">
        <v>16.66</v>
      </c>
      <c r="G92" s="452">
        <v>9273</v>
      </c>
      <c r="H92" s="340">
        <f t="shared" ref="H92:H99" si="29">F92*G92</f>
        <v>154488.18</v>
      </c>
      <c r="I92" s="454"/>
      <c r="J92" s="341">
        <v>4</v>
      </c>
      <c r="K92" s="342">
        <f>G92/P92*60</f>
        <v>2853.23076923077</v>
      </c>
      <c r="L92" s="343">
        <f t="shared" ref="L92:L93" si="30">K92/J92</f>
        <v>713.30769230769249</v>
      </c>
      <c r="M92" s="344">
        <v>0.72152777777777777</v>
      </c>
      <c r="N92" s="344">
        <v>0.8569444444444444</v>
      </c>
      <c r="O92" s="335">
        <v>19</v>
      </c>
      <c r="P92" s="456">
        <f>(N92-M92)*24*60</f>
        <v>194.99999999999994</v>
      </c>
      <c r="Q92" s="345"/>
      <c r="R92" s="345"/>
    </row>
    <row r="93" spans="1:18">
      <c r="A93" s="565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6105</v>
      </c>
      <c r="H93" s="340">
        <f t="shared" si="29"/>
        <v>109224</v>
      </c>
      <c r="I93" s="454"/>
      <c r="J93" s="341">
        <v>3</v>
      </c>
      <c r="K93" s="342">
        <f t="shared" ref="K93" si="31">G93/P93*60</f>
        <v>2817.6923076923104</v>
      </c>
      <c r="L93" s="343">
        <f t="shared" si="30"/>
        <v>939.23076923077008</v>
      </c>
      <c r="M93" s="344">
        <v>0.87152777777777779</v>
      </c>
      <c r="N93" s="344">
        <v>0.96180555555555547</v>
      </c>
      <c r="O93" s="335">
        <v>21</v>
      </c>
      <c r="P93" s="456">
        <f>(N93-M93)*24*60</f>
        <v>129.99999999999986</v>
      </c>
      <c r="Q93" s="345"/>
      <c r="R93" s="345"/>
    </row>
    <row r="94" spans="1:18">
      <c r="A94" s="565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9"/>
        <v>0</v>
      </c>
      <c r="I94" s="454"/>
      <c r="J94" s="341"/>
      <c r="K94" s="342"/>
      <c r="L94" s="343"/>
      <c r="M94" s="344"/>
      <c r="N94" s="344"/>
      <c r="O94" s="335"/>
      <c r="P94" s="456"/>
      <c r="Q94" s="345"/>
      <c r="R94" s="345"/>
    </row>
    <row r="95" spans="1:18">
      <c r="A95" s="566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9"/>
        <v>0</v>
      </c>
      <c r="I95" s="454"/>
      <c r="J95" s="341"/>
      <c r="K95" s="342"/>
      <c r="L95" s="343"/>
      <c r="M95" s="344"/>
      <c r="N95" s="344"/>
      <c r="O95" s="335"/>
      <c r="P95" s="456"/>
      <c r="Q95" s="345"/>
      <c r="R95" s="345"/>
    </row>
    <row r="96" spans="1:18">
      <c r="A96" s="566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9"/>
        <v>0</v>
      </c>
      <c r="I96" s="454"/>
      <c r="J96" s="341"/>
      <c r="K96" s="342"/>
      <c r="L96" s="343"/>
      <c r="M96" s="344"/>
      <c r="N96" s="344"/>
      <c r="O96" s="335"/>
      <c r="P96" s="456"/>
      <c r="Q96" s="345"/>
      <c r="R96" s="345"/>
    </row>
    <row r="97" spans="1:18">
      <c r="A97" s="566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9"/>
        <v>0</v>
      </c>
      <c r="I97" s="454"/>
      <c r="J97" s="341"/>
      <c r="K97" s="342"/>
      <c r="L97" s="343"/>
      <c r="M97" s="344"/>
      <c r="N97" s="344"/>
      <c r="O97" s="335"/>
      <c r="P97" s="456"/>
      <c r="Q97" s="345"/>
      <c r="R97" s="345"/>
    </row>
    <row r="98" spans="1:18">
      <c r="A98" s="566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9"/>
        <v>0</v>
      </c>
      <c r="I98" s="454"/>
      <c r="J98" s="341"/>
      <c r="K98" s="342"/>
      <c r="L98" s="343"/>
      <c r="M98" s="344"/>
      <c r="N98" s="344"/>
      <c r="O98" s="335"/>
      <c r="P98" s="456"/>
      <c r="Q98" s="345"/>
      <c r="R98" s="345"/>
    </row>
    <row r="99" spans="1:18">
      <c r="A99" s="566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9"/>
        <v>0</v>
      </c>
      <c r="I99" s="454"/>
      <c r="J99" s="341"/>
      <c r="K99" s="342"/>
      <c r="L99" s="343"/>
      <c r="M99" s="344"/>
      <c r="N99" s="344"/>
      <c r="O99" s="335"/>
      <c r="P99" s="456"/>
      <c r="Q99" s="345"/>
      <c r="R99" s="345"/>
    </row>
    <row r="100" spans="1:18" ht="15.75" customHeight="1">
      <c r="A100" s="566"/>
      <c r="B100" s="336">
        <v>0</v>
      </c>
      <c r="C100" s="204" t="s">
        <v>405</v>
      </c>
      <c r="D100" s="559" t="s">
        <v>377</v>
      </c>
      <c r="E100" s="560"/>
      <c r="F100" s="350"/>
      <c r="G100" s="351"/>
      <c r="H100" s="395"/>
      <c r="I100" s="353"/>
      <c r="J100" s="354">
        <f>AVERAGE(J92:J99)</f>
        <v>3.5</v>
      </c>
      <c r="K100" s="354">
        <f>AVERAGE(K92:K99)</f>
        <v>2835.4615384615399</v>
      </c>
      <c r="L100" s="355">
        <f>AVERAGE(L92:L99)</f>
        <v>826.26923076923129</v>
      </c>
      <c r="M100" s="344"/>
      <c r="N100" s="344"/>
      <c r="O100" s="342"/>
      <c r="P100" s="342"/>
      <c r="Q100" s="343"/>
      <c r="R100" s="343"/>
    </row>
    <row r="101" spans="1:18" ht="16.2" customHeight="1">
      <c r="A101" s="551" t="s">
        <v>406</v>
      </c>
      <c r="B101" s="336" t="s">
        <v>165</v>
      </c>
      <c r="C101" s="204"/>
      <c r="D101" s="361" t="s">
        <v>407</v>
      </c>
      <c r="E101" s="448"/>
      <c r="F101" s="339">
        <v>30</v>
      </c>
      <c r="G101" s="452">
        <v>2531</v>
      </c>
      <c r="H101" s="340">
        <f t="shared" ref="H101:H110" si="32">F101*G101</f>
        <v>75930</v>
      </c>
      <c r="I101" s="454"/>
      <c r="J101" s="341">
        <v>3</v>
      </c>
      <c r="K101" s="342">
        <f>G101/P101*60</f>
        <v>3037.2000000000007</v>
      </c>
      <c r="L101" s="343">
        <f t="shared" ref="L101:L105" si="33">K101/J101</f>
        <v>1012.4000000000002</v>
      </c>
      <c r="M101" s="344">
        <v>0.72083333333333333</v>
      </c>
      <c r="N101" s="344">
        <v>0.75555555555555554</v>
      </c>
      <c r="O101" s="335">
        <v>18</v>
      </c>
      <c r="P101" s="342">
        <f t="shared" ref="P101:P103" si="34">(N101-M101)*24*60</f>
        <v>49.999999999999986</v>
      </c>
      <c r="Q101" s="343"/>
      <c r="R101" s="345"/>
    </row>
    <row r="102" spans="1:18" ht="15.6" customHeight="1">
      <c r="A102" s="551"/>
      <c r="B102" s="336" t="s">
        <v>165</v>
      </c>
      <c r="C102" s="204"/>
      <c r="D102" s="361" t="s">
        <v>187</v>
      </c>
      <c r="E102" s="448"/>
      <c r="F102" s="339">
        <v>24.82</v>
      </c>
      <c r="G102" s="452">
        <v>2273</v>
      </c>
      <c r="H102" s="340">
        <f t="shared" si="32"/>
        <v>56415.86</v>
      </c>
      <c r="I102" s="454"/>
      <c r="J102" s="341">
        <v>4</v>
      </c>
      <c r="K102" s="342">
        <f t="shared" ref="K102:K105" si="35">G102/P102*60</f>
        <v>3030.666666666667</v>
      </c>
      <c r="L102" s="343">
        <f t="shared" si="33"/>
        <v>757.66666666666674</v>
      </c>
      <c r="M102" s="344">
        <v>0.77083333333333337</v>
      </c>
      <c r="N102" s="344">
        <v>0.80208333333333337</v>
      </c>
      <c r="O102" s="335">
        <v>22</v>
      </c>
      <c r="P102" s="342">
        <f t="shared" si="34"/>
        <v>45</v>
      </c>
      <c r="Q102" s="345"/>
      <c r="R102" s="345"/>
    </row>
    <row r="103" spans="1:18">
      <c r="A103" s="551"/>
      <c r="B103" s="336" t="s">
        <v>165</v>
      </c>
      <c r="C103" s="204"/>
      <c r="D103" s="361" t="s">
        <v>408</v>
      </c>
      <c r="E103" s="361"/>
      <c r="F103" s="339">
        <v>23.8</v>
      </c>
      <c r="G103" s="452">
        <v>980</v>
      </c>
      <c r="H103" s="340">
        <f t="shared" si="32"/>
        <v>23324</v>
      </c>
      <c r="I103" s="454"/>
      <c r="J103" s="341">
        <v>4</v>
      </c>
      <c r="K103" s="342">
        <f t="shared" si="35"/>
        <v>3458.8235294117444</v>
      </c>
      <c r="L103" s="343">
        <f t="shared" si="33"/>
        <v>864.7058823529361</v>
      </c>
      <c r="M103" s="344">
        <v>0.81597222222222221</v>
      </c>
      <c r="N103" s="344">
        <v>0.82777777777777783</v>
      </c>
      <c r="O103" s="335">
        <v>20</v>
      </c>
      <c r="P103" s="342">
        <f t="shared" si="34"/>
        <v>17.000000000000099</v>
      </c>
      <c r="Q103" s="345"/>
      <c r="R103" s="345"/>
    </row>
    <row r="104" spans="1:18">
      <c r="A104" s="551"/>
      <c r="B104" s="336" t="s">
        <v>165</v>
      </c>
      <c r="C104" s="204"/>
      <c r="D104" s="361" t="s">
        <v>409</v>
      </c>
      <c r="E104" s="379"/>
      <c r="F104" s="339">
        <v>24.76</v>
      </c>
      <c r="G104" s="452">
        <v>1681</v>
      </c>
      <c r="H104" s="340">
        <f t="shared" si="32"/>
        <v>41621.560000000005</v>
      </c>
      <c r="I104" s="454"/>
      <c r="J104" s="341">
        <v>4</v>
      </c>
      <c r="K104" s="342">
        <f t="shared" si="35"/>
        <v>3361.9999999999941</v>
      </c>
      <c r="L104" s="343">
        <f t="shared" si="33"/>
        <v>840.49999999999852</v>
      </c>
      <c r="M104" s="344">
        <v>0.84027777777777779</v>
      </c>
      <c r="N104" s="344">
        <v>0.86111111111111116</v>
      </c>
      <c r="O104" s="335">
        <v>18</v>
      </c>
      <c r="P104" s="342">
        <f>(N104-M104)*24*60</f>
        <v>30.000000000000053</v>
      </c>
      <c r="Q104" s="345"/>
      <c r="R104" s="345"/>
    </row>
    <row r="105" spans="1:18">
      <c r="A105" s="551"/>
      <c r="B105" s="336" t="s">
        <v>165</v>
      </c>
      <c r="C105" s="204"/>
      <c r="D105" s="361" t="s">
        <v>410</v>
      </c>
      <c r="E105" s="363"/>
      <c r="F105" s="339">
        <v>14.03</v>
      </c>
      <c r="G105" s="452">
        <v>9285</v>
      </c>
      <c r="H105" s="340">
        <f t="shared" si="32"/>
        <v>130268.54999999999</v>
      </c>
      <c r="I105" s="454"/>
      <c r="J105" s="341">
        <v>3</v>
      </c>
      <c r="K105" s="342">
        <f t="shared" si="35"/>
        <v>3011.3513514271499</v>
      </c>
      <c r="L105" s="343">
        <f t="shared" si="33"/>
        <v>1003.78378380905</v>
      </c>
      <c r="M105" s="344">
        <v>46299.875</v>
      </c>
      <c r="N105" s="344">
        <v>46300.003472222219</v>
      </c>
      <c r="O105" s="335">
        <v>20</v>
      </c>
      <c r="P105" s="342">
        <f>(N105-M105)*24*60</f>
        <v>184.99999999534339</v>
      </c>
      <c r="Q105" s="343"/>
      <c r="R105" s="345"/>
    </row>
    <row r="106" spans="1:18">
      <c r="A106" s="551"/>
      <c r="B106" s="336">
        <v>0</v>
      </c>
      <c r="C106" s="204"/>
      <c r="D106" s="363"/>
      <c r="E106" s="448"/>
      <c r="F106" s="339" t="s">
        <v>161</v>
      </c>
      <c r="G106" s="346"/>
      <c r="H106" s="340">
        <f t="shared" si="32"/>
        <v>0</v>
      </c>
      <c r="I106" s="454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551"/>
      <c r="B107" s="336">
        <v>0</v>
      </c>
      <c r="C107" s="204"/>
      <c r="D107" s="361"/>
      <c r="E107" s="363"/>
      <c r="F107" s="339" t="s">
        <v>161</v>
      </c>
      <c r="G107" s="452"/>
      <c r="H107" s="340">
        <f t="shared" si="32"/>
        <v>0</v>
      </c>
      <c r="I107" s="454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551"/>
      <c r="B108" s="336">
        <v>0</v>
      </c>
      <c r="C108" s="204"/>
      <c r="D108" s="361"/>
      <c r="E108" s="363"/>
      <c r="F108" s="339" t="s">
        <v>161</v>
      </c>
      <c r="G108" s="452"/>
      <c r="H108" s="340">
        <f t="shared" si="32"/>
        <v>0</v>
      </c>
      <c r="I108" s="454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551"/>
      <c r="B109" s="336">
        <v>0</v>
      </c>
      <c r="C109" s="349"/>
      <c r="D109" s="361"/>
      <c r="E109" s="363"/>
      <c r="F109" s="339" t="s">
        <v>161</v>
      </c>
      <c r="G109" s="452"/>
      <c r="H109" s="340">
        <f t="shared" si="32"/>
        <v>0</v>
      </c>
      <c r="I109" s="454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551"/>
      <c r="B110" s="336">
        <v>0</v>
      </c>
      <c r="C110" s="349"/>
      <c r="D110" s="361"/>
      <c r="E110" s="363"/>
      <c r="F110" s="339" t="s">
        <v>161</v>
      </c>
      <c r="G110" s="452"/>
      <c r="H110" s="340">
        <f t="shared" si="32"/>
        <v>0</v>
      </c>
      <c r="I110" s="454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551"/>
      <c r="B111" s="336">
        <v>0</v>
      </c>
      <c r="C111" s="204" t="s">
        <v>395</v>
      </c>
      <c r="D111" s="552" t="s">
        <v>377</v>
      </c>
      <c r="E111" s="553"/>
      <c r="F111" s="396"/>
      <c r="G111" s="397"/>
      <c r="H111" s="352"/>
      <c r="I111" s="353"/>
      <c r="J111" s="354">
        <f>AVERAGE(J101:J110)</f>
        <v>3.6</v>
      </c>
      <c r="K111" s="354">
        <f>AVERAGE(K101:K110)</f>
        <v>3180.0083095011114</v>
      </c>
      <c r="L111" s="355">
        <f>AVERAGE(L101:L110)</f>
        <v>895.81126656573031</v>
      </c>
      <c r="M111" s="344"/>
      <c r="N111" s="344"/>
      <c r="O111" s="342"/>
      <c r="P111" s="342"/>
      <c r="Q111" s="343"/>
      <c r="R111" s="335"/>
    </row>
    <row r="112" spans="1:18" ht="16.2" customHeight="1">
      <c r="A112" s="554" t="s">
        <v>411</v>
      </c>
      <c r="B112" s="336" t="s">
        <v>165</v>
      </c>
      <c r="C112" s="204"/>
      <c r="D112" s="363" t="s">
        <v>188</v>
      </c>
      <c r="E112" s="398"/>
      <c r="F112" s="339">
        <v>28.57</v>
      </c>
      <c r="G112" s="452">
        <v>4426</v>
      </c>
      <c r="H112" s="389">
        <f t="shared" si="17"/>
        <v>126450.82</v>
      </c>
      <c r="I112" s="454"/>
      <c r="J112" s="341">
        <v>3</v>
      </c>
      <c r="K112" s="342">
        <f t="shared" ref="K112:K117" si="36">G112/P112*60</f>
        <v>3448.8311688311669</v>
      </c>
      <c r="L112" s="343">
        <f t="shared" ref="L112:L117" si="37">K112/J112</f>
        <v>1149.6103896103889</v>
      </c>
      <c r="M112" s="344">
        <v>0.72222222222222221</v>
      </c>
      <c r="N112" s="344">
        <v>0.77569444444444446</v>
      </c>
      <c r="O112" s="335">
        <v>20</v>
      </c>
      <c r="P112" s="456">
        <f t="shared" ref="P112:P116" si="38">(N112-M112)*24*60</f>
        <v>77.000000000000043</v>
      </c>
      <c r="Q112" s="335"/>
      <c r="R112" s="335"/>
    </row>
    <row r="113" spans="1:18">
      <c r="A113" s="554"/>
      <c r="B113" s="336" t="s">
        <v>165</v>
      </c>
      <c r="C113" s="359"/>
      <c r="D113" s="386" t="s">
        <v>412</v>
      </c>
      <c r="E113" s="386"/>
      <c r="F113" s="339">
        <v>25.03</v>
      </c>
      <c r="G113" s="452">
        <v>1403</v>
      </c>
      <c r="H113" s="389">
        <f t="shared" si="17"/>
        <v>35117.090000000004</v>
      </c>
      <c r="I113" s="454"/>
      <c r="J113" s="341">
        <v>4</v>
      </c>
      <c r="K113" s="342">
        <f t="shared" si="36"/>
        <v>3006.428571428582</v>
      </c>
      <c r="L113" s="343">
        <f t="shared" si="37"/>
        <v>751.6071428571455</v>
      </c>
      <c r="M113" s="344">
        <v>0.79166666666666663</v>
      </c>
      <c r="N113" s="344">
        <v>0.81111111111111101</v>
      </c>
      <c r="O113" s="335">
        <v>23</v>
      </c>
      <c r="P113" s="456">
        <f t="shared" si="38"/>
        <v>27.999999999999901</v>
      </c>
      <c r="Q113" s="345"/>
      <c r="R113" s="345"/>
    </row>
    <row r="114" spans="1:18">
      <c r="A114" s="554"/>
      <c r="B114" s="336" t="s">
        <v>165</v>
      </c>
      <c r="C114" s="359"/>
      <c r="D114" s="386" t="s">
        <v>413</v>
      </c>
      <c r="E114" s="361"/>
      <c r="F114" s="339">
        <v>16.7</v>
      </c>
      <c r="G114" s="452">
        <v>4983</v>
      </c>
      <c r="H114" s="389">
        <f t="shared" si="17"/>
        <v>83216.099999999991</v>
      </c>
      <c r="I114" s="454"/>
      <c r="J114" s="341">
        <v>3</v>
      </c>
      <c r="K114" s="342">
        <f t="shared" si="36"/>
        <v>3082.2680412371192</v>
      </c>
      <c r="L114" s="343">
        <f t="shared" si="37"/>
        <v>1027.422680412373</v>
      </c>
      <c r="M114" s="344">
        <v>0.82430555555555562</v>
      </c>
      <c r="N114" s="344">
        <v>0.89166666666666661</v>
      </c>
      <c r="O114" s="335">
        <v>19</v>
      </c>
      <c r="P114" s="456">
        <f t="shared" si="38"/>
        <v>96.999999999999815</v>
      </c>
      <c r="Q114" s="345"/>
      <c r="R114" s="345"/>
    </row>
    <row r="115" spans="1:18">
      <c r="A115" s="554"/>
      <c r="B115" s="336" t="s">
        <v>165</v>
      </c>
      <c r="C115" s="359"/>
      <c r="D115" s="363" t="s">
        <v>414</v>
      </c>
      <c r="E115" s="379"/>
      <c r="F115" s="339">
        <v>18.18</v>
      </c>
      <c r="G115" s="452">
        <v>1757</v>
      </c>
      <c r="H115" s="389">
        <f t="shared" si="17"/>
        <v>31942.26</v>
      </c>
      <c r="I115" s="454"/>
      <c r="J115" s="341">
        <v>3</v>
      </c>
      <c r="K115" s="342">
        <f t="shared" si="36"/>
        <v>3011.9999999999968</v>
      </c>
      <c r="L115" s="343">
        <f t="shared" si="37"/>
        <v>1003.999999999999</v>
      </c>
      <c r="M115" s="344">
        <v>0.90555555555555556</v>
      </c>
      <c r="N115" s="344">
        <v>0.92986111111111114</v>
      </c>
      <c r="O115" s="335">
        <v>20</v>
      </c>
      <c r="P115" s="456">
        <f t="shared" si="38"/>
        <v>35.000000000000036</v>
      </c>
      <c r="Q115" s="345"/>
      <c r="R115" s="345"/>
    </row>
    <row r="116" spans="1:18">
      <c r="A116" s="554"/>
      <c r="B116" s="336" t="s">
        <v>165</v>
      </c>
      <c r="C116" s="359"/>
      <c r="D116" s="386" t="s">
        <v>415</v>
      </c>
      <c r="E116" s="363"/>
      <c r="F116" s="339">
        <v>18.18</v>
      </c>
      <c r="G116" s="452">
        <v>1717</v>
      </c>
      <c r="H116" s="389">
        <f t="shared" si="17"/>
        <v>31215.06</v>
      </c>
      <c r="I116" s="454"/>
      <c r="J116" s="341">
        <v>3</v>
      </c>
      <c r="K116" s="342">
        <f t="shared" si="36"/>
        <v>3029.9999999999964</v>
      </c>
      <c r="L116" s="343">
        <f t="shared" si="37"/>
        <v>1009.9999999999987</v>
      </c>
      <c r="M116" s="344">
        <v>0.9458333333333333</v>
      </c>
      <c r="N116" s="391">
        <v>0.96944444444444444</v>
      </c>
      <c r="O116" s="335">
        <v>23</v>
      </c>
      <c r="P116" s="456">
        <f t="shared" si="38"/>
        <v>34.000000000000043</v>
      </c>
      <c r="Q116" s="345"/>
      <c r="R116" s="345"/>
    </row>
    <row r="117" spans="1:18">
      <c r="A117" s="554"/>
      <c r="B117" s="336" t="s">
        <v>165</v>
      </c>
      <c r="C117" s="359"/>
      <c r="D117" s="361" t="s">
        <v>416</v>
      </c>
      <c r="E117" s="376"/>
      <c r="F117" s="339">
        <v>14.285714285714283</v>
      </c>
      <c r="G117" s="452">
        <v>13208</v>
      </c>
      <c r="H117" s="389">
        <f t="shared" ref="H117:H123" si="39">F117*G117</f>
        <v>188685.71428571426</v>
      </c>
      <c r="I117" s="454"/>
      <c r="J117" s="341">
        <v>3</v>
      </c>
      <c r="K117" s="342">
        <f t="shared" si="36"/>
        <v>2935.1111111111109</v>
      </c>
      <c r="L117" s="343">
        <f t="shared" si="37"/>
        <v>978.37037037037032</v>
      </c>
      <c r="M117" s="344">
        <v>46299.986111111109</v>
      </c>
      <c r="N117" s="344">
        <v>46300.173611111109</v>
      </c>
      <c r="O117" s="335">
        <v>24</v>
      </c>
      <c r="P117" s="342">
        <f>(N117-M117)*24*60</f>
        <v>270</v>
      </c>
      <c r="Q117" s="345"/>
      <c r="R117" s="345"/>
    </row>
    <row r="118" spans="1:18">
      <c r="A118" s="554"/>
      <c r="B118" s="336">
        <v>0</v>
      </c>
      <c r="C118" s="359"/>
      <c r="D118" s="363"/>
      <c r="E118" s="376"/>
      <c r="F118" s="339" t="s">
        <v>161</v>
      </c>
      <c r="G118" s="452"/>
      <c r="H118" s="389">
        <f t="shared" si="39"/>
        <v>0</v>
      </c>
      <c r="I118" s="454"/>
      <c r="J118" s="341"/>
      <c r="K118" s="342"/>
      <c r="L118" s="343"/>
      <c r="M118" s="344"/>
      <c r="N118" s="344"/>
      <c r="O118" s="342"/>
      <c r="P118" s="456"/>
      <c r="Q118" s="345"/>
      <c r="R118" s="345"/>
    </row>
    <row r="119" spans="1:18">
      <c r="A119" s="554"/>
      <c r="B119" s="336">
        <v>0</v>
      </c>
      <c r="C119" s="359"/>
      <c r="D119" s="386"/>
      <c r="E119" s="376"/>
      <c r="F119" s="339" t="s">
        <v>161</v>
      </c>
      <c r="G119" s="452"/>
      <c r="H119" s="389">
        <f t="shared" si="39"/>
        <v>0</v>
      </c>
      <c r="I119" s="454"/>
      <c r="J119" s="341"/>
      <c r="K119" s="342"/>
      <c r="L119" s="343"/>
      <c r="M119" s="344"/>
      <c r="N119" s="344"/>
      <c r="O119" s="335"/>
      <c r="P119" s="456"/>
      <c r="Q119" s="345"/>
      <c r="R119" s="345"/>
    </row>
    <row r="120" spans="1:18">
      <c r="A120" s="554"/>
      <c r="B120" s="336">
        <v>0</v>
      </c>
      <c r="C120" s="359"/>
      <c r="D120" s="363"/>
      <c r="E120" s="376"/>
      <c r="F120" s="339" t="s">
        <v>161</v>
      </c>
      <c r="G120" s="452"/>
      <c r="H120" s="389">
        <f t="shared" si="39"/>
        <v>0</v>
      </c>
      <c r="I120" s="454"/>
      <c r="J120" s="341"/>
      <c r="K120" s="342"/>
      <c r="L120" s="343"/>
      <c r="M120" s="344"/>
      <c r="N120" s="344"/>
      <c r="O120" s="335"/>
      <c r="P120" s="456"/>
      <c r="Q120" s="345"/>
      <c r="R120" s="345"/>
    </row>
    <row r="121" spans="1:18">
      <c r="A121" s="554"/>
      <c r="B121" s="336">
        <v>0</v>
      </c>
      <c r="C121" s="359"/>
      <c r="D121" s="363"/>
      <c r="E121" s="376"/>
      <c r="F121" s="339" t="s">
        <v>161</v>
      </c>
      <c r="G121" s="452"/>
      <c r="H121" s="389">
        <f t="shared" si="39"/>
        <v>0</v>
      </c>
      <c r="I121" s="454"/>
      <c r="J121" s="341"/>
      <c r="K121" s="342"/>
      <c r="L121" s="343"/>
      <c r="M121" s="344"/>
      <c r="N121" s="344"/>
      <c r="O121" s="335"/>
      <c r="P121" s="456"/>
      <c r="Q121" s="345"/>
      <c r="R121" s="345"/>
    </row>
    <row r="122" spans="1:18" ht="15.6" customHeight="1">
      <c r="A122" s="554"/>
      <c r="B122" s="336">
        <v>0</v>
      </c>
      <c r="C122" s="359"/>
      <c r="D122" s="363"/>
      <c r="E122" s="376"/>
      <c r="F122" s="339" t="s">
        <v>161</v>
      </c>
      <c r="G122" s="452"/>
      <c r="H122" s="389">
        <f t="shared" si="39"/>
        <v>0</v>
      </c>
      <c r="I122" s="454"/>
      <c r="J122" s="341"/>
      <c r="K122" s="342"/>
      <c r="L122" s="343"/>
      <c r="M122" s="344"/>
      <c r="N122" s="344"/>
      <c r="O122" s="335"/>
      <c r="P122" s="456"/>
      <c r="Q122" s="345"/>
      <c r="R122" s="345"/>
    </row>
    <row r="123" spans="1:18">
      <c r="A123" s="554"/>
      <c r="B123" s="336">
        <v>0</v>
      </c>
      <c r="C123" s="359"/>
      <c r="D123" s="363"/>
      <c r="E123" s="376"/>
      <c r="F123" s="339" t="s">
        <v>161</v>
      </c>
      <c r="G123" s="452"/>
      <c r="H123" s="389">
        <f t="shared" si="39"/>
        <v>0</v>
      </c>
      <c r="I123" s="454"/>
      <c r="J123" s="341"/>
      <c r="K123" s="342"/>
      <c r="L123" s="343"/>
      <c r="M123" s="344"/>
      <c r="N123" s="344"/>
      <c r="O123" s="335"/>
      <c r="P123" s="456"/>
      <c r="Q123" s="345"/>
      <c r="R123" s="345"/>
    </row>
    <row r="124" spans="1:18" ht="17.399999999999999" customHeight="1">
      <c r="A124" s="554"/>
      <c r="B124" s="349">
        <v>0</v>
      </c>
      <c r="C124" s="204" t="s">
        <v>400</v>
      </c>
      <c r="D124" s="555" t="s">
        <v>377</v>
      </c>
      <c r="E124" s="555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3085.7731487679953</v>
      </c>
      <c r="L124" s="355">
        <f>AVERAGE(L112:L123)</f>
        <v>986.83509720837935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5" activePane="bottomRight" state="frozen"/>
      <selection activeCell="H11" sqref="H11"/>
      <selection pane="topRight" activeCell="H11" sqref="H11"/>
      <selection pane="bottomLeft" activeCell="H11" sqref="H11"/>
      <selection pane="bottomRight" activeCell="R38" sqref="R38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417</v>
      </c>
      <c r="B1" s="57"/>
      <c r="C1" s="57"/>
      <c r="D1" s="474" t="s">
        <v>311</v>
      </c>
      <c r="E1" s="58">
        <f>SUM(G5:G173)</f>
        <v>182941.95</v>
      </c>
      <c r="F1" s="459" t="s">
        <v>3</v>
      </c>
      <c r="G1" s="59">
        <f>SUM(H5:H173)</f>
        <v>7424274.3489982467</v>
      </c>
      <c r="H1" s="473" t="s">
        <v>77</v>
      </c>
      <c r="I1" s="60">
        <f>M17+M30+M43+M56+M69+M82+M95+M108+M121+M134+M147+M160+M173</f>
        <v>191.62420634920636</v>
      </c>
      <c r="J1" s="674" t="s">
        <v>78</v>
      </c>
      <c r="K1" s="674"/>
      <c r="L1" s="674"/>
      <c r="M1" s="674" t="s">
        <v>79</v>
      </c>
      <c r="N1" s="674"/>
      <c r="O1" s="674"/>
      <c r="P1" s="674" t="s">
        <v>418</v>
      </c>
      <c r="Q1" s="674"/>
      <c r="R1" s="674"/>
      <c r="S1" s="674"/>
      <c r="T1" s="674" t="s">
        <v>419</v>
      </c>
      <c r="U1" s="674"/>
      <c r="V1" s="674"/>
      <c r="W1" s="674"/>
      <c r="X1" s="674"/>
      <c r="Y1" s="674"/>
      <c r="Z1" s="61" t="s">
        <v>420</v>
      </c>
      <c r="AA1" s="61" t="s">
        <v>421</v>
      </c>
      <c r="AB1" s="681" t="s">
        <v>422</v>
      </c>
      <c r="AC1" s="682"/>
      <c r="AD1" s="61" t="s">
        <v>420</v>
      </c>
      <c r="AE1" s="61" t="s">
        <v>423</v>
      </c>
      <c r="AF1" s="674" t="s">
        <v>424</v>
      </c>
      <c r="AG1" s="685"/>
      <c r="AH1" s="685"/>
      <c r="AK1" s="62" t="s">
        <v>425</v>
      </c>
    </row>
    <row r="2" spans="1:37" ht="26.25" customHeight="1">
      <c r="A2" s="671" t="s">
        <v>471</v>
      </c>
      <c r="B2" s="671"/>
      <c r="C2" s="474"/>
      <c r="D2" s="474" t="s">
        <v>427</v>
      </c>
      <c r="E2" s="63">
        <f>AVERAGE(O17,O30,O43,O56,O69,O82,O95,O108,O121,O134,O147,O160,O173)</f>
        <v>125.42327693364243</v>
      </c>
      <c r="F2" s="64" t="s">
        <v>80</v>
      </c>
      <c r="G2" s="65">
        <f>G1/E1</f>
        <v>40.582678543648662</v>
      </c>
      <c r="H2" s="473" t="s">
        <v>81</v>
      </c>
      <c r="I2" s="473">
        <f>COUNT(I5:I173)</f>
        <v>16</v>
      </c>
      <c r="J2" s="674"/>
      <c r="K2" s="674"/>
      <c r="L2" s="674"/>
      <c r="M2" s="674"/>
      <c r="N2" s="674"/>
      <c r="O2" s="674"/>
      <c r="P2" s="674"/>
      <c r="Q2" s="674"/>
      <c r="R2" s="674"/>
      <c r="S2" s="674"/>
      <c r="T2" s="674"/>
      <c r="U2" s="674"/>
      <c r="V2" s="674"/>
      <c r="W2" s="674"/>
      <c r="X2" s="674"/>
      <c r="Y2" s="674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683"/>
      <c r="AC2" s="684"/>
      <c r="AD2" s="67">
        <f>AD17+AD30+AD43+AD56+AD69+AD82+AD95+AD108+AD121+AD134+AD147+AD160+AD173</f>
        <v>7</v>
      </c>
      <c r="AE2" s="67">
        <f>AE17+AE30+AE43+AE56+AE69+AE82+AE95+AE108+AE121+AE134+AE147+AE160+AE173</f>
        <v>6</v>
      </c>
      <c r="AF2" s="685"/>
      <c r="AG2" s="685"/>
      <c r="AH2" s="685"/>
      <c r="AK2" s="402">
        <f>AVERAGE(AK5:AK9999)</f>
        <v>6.3341781874040093</v>
      </c>
    </row>
    <row r="3" spans="1:37" ht="30.6" customHeight="1">
      <c r="A3" s="616" t="s">
        <v>428</v>
      </c>
      <c r="B3" s="616" t="s">
        <v>82</v>
      </c>
      <c r="C3" s="672"/>
      <c r="D3" s="616" t="s">
        <v>429</v>
      </c>
      <c r="E3" s="616"/>
      <c r="F3" s="672" t="s">
        <v>83</v>
      </c>
      <c r="G3" s="676" t="s">
        <v>84</v>
      </c>
      <c r="H3" s="672" t="s">
        <v>85</v>
      </c>
      <c r="I3" s="677" t="s">
        <v>430</v>
      </c>
      <c r="J3" s="680" t="s">
        <v>86</v>
      </c>
      <c r="K3" s="669" t="s">
        <v>87</v>
      </c>
      <c r="L3" s="645" t="s">
        <v>35</v>
      </c>
      <c r="M3" s="676" t="s">
        <v>86</v>
      </c>
      <c r="N3" s="669" t="s">
        <v>431</v>
      </c>
      <c r="O3" s="645" t="s">
        <v>427</v>
      </c>
      <c r="P3" s="680" t="s">
        <v>432</v>
      </c>
      <c r="Q3" s="645" t="s">
        <v>427</v>
      </c>
      <c r="R3" s="670" t="s">
        <v>433</v>
      </c>
      <c r="S3" s="646" t="s">
        <v>472</v>
      </c>
      <c r="T3" s="676" t="s">
        <v>88</v>
      </c>
      <c r="U3" s="676"/>
      <c r="V3" s="675" t="s">
        <v>89</v>
      </c>
      <c r="W3" s="677" t="s">
        <v>473</v>
      </c>
      <c r="X3" s="676" t="s">
        <v>474</v>
      </c>
      <c r="Y3" s="676"/>
      <c r="Z3" s="678" t="s">
        <v>475</v>
      </c>
      <c r="AA3" s="679"/>
      <c r="AB3" s="665" t="s">
        <v>476</v>
      </c>
      <c r="AC3" s="666"/>
      <c r="AD3" s="667" t="s">
        <v>477</v>
      </c>
      <c r="AE3" s="668"/>
      <c r="AF3" s="669" t="s">
        <v>431</v>
      </c>
      <c r="AG3" s="670" t="s">
        <v>433</v>
      </c>
      <c r="AH3" s="646" t="s">
        <v>472</v>
      </c>
      <c r="AK3" s="675" t="s">
        <v>89</v>
      </c>
    </row>
    <row r="4" spans="1:37" ht="30.6" customHeight="1">
      <c r="A4" s="672"/>
      <c r="B4" s="616"/>
      <c r="C4" s="673"/>
      <c r="D4" s="616"/>
      <c r="E4" s="616"/>
      <c r="F4" s="673"/>
      <c r="G4" s="676"/>
      <c r="H4" s="673"/>
      <c r="I4" s="677"/>
      <c r="J4" s="680"/>
      <c r="K4" s="669"/>
      <c r="L4" s="645"/>
      <c r="M4" s="676"/>
      <c r="N4" s="669"/>
      <c r="O4" s="645"/>
      <c r="P4" s="680"/>
      <c r="Q4" s="645"/>
      <c r="R4" s="670"/>
      <c r="S4" s="646"/>
      <c r="T4" s="468" t="s">
        <v>90</v>
      </c>
      <c r="U4" s="468" t="s">
        <v>91</v>
      </c>
      <c r="V4" s="676"/>
      <c r="W4" s="677"/>
      <c r="X4" s="459" t="s">
        <v>478</v>
      </c>
      <c r="Y4" s="459" t="s">
        <v>36</v>
      </c>
      <c r="Z4" s="468" t="s">
        <v>479</v>
      </c>
      <c r="AA4" s="468" t="s">
        <v>480</v>
      </c>
      <c r="AB4" s="666"/>
      <c r="AC4" s="666"/>
      <c r="AD4" s="468" t="s">
        <v>481</v>
      </c>
      <c r="AE4" s="68" t="s">
        <v>482</v>
      </c>
      <c r="AF4" s="669"/>
      <c r="AG4" s="670"/>
      <c r="AH4" s="646"/>
      <c r="AK4" s="676"/>
    </row>
    <row r="5" spans="1:37" ht="18.75" customHeight="1">
      <c r="A5" s="661" t="s">
        <v>483</v>
      </c>
      <c r="B5" s="69" t="s">
        <v>163</v>
      </c>
      <c r="C5" s="70"/>
      <c r="D5" s="71" t="s">
        <v>93</v>
      </c>
      <c r="E5" s="72"/>
      <c r="F5" s="73">
        <v>36.92</v>
      </c>
      <c r="G5" s="74">
        <v>1116.1499999999999</v>
      </c>
      <c r="H5" s="75">
        <f t="shared" ref="H5:H16" si="0">F5*G5</f>
        <v>41208.257999999994</v>
      </c>
      <c r="I5" s="469"/>
      <c r="J5" s="76">
        <v>12</v>
      </c>
      <c r="K5" s="74">
        <v>2000</v>
      </c>
      <c r="L5" s="77">
        <v>166.66666666666666</v>
      </c>
      <c r="M5" s="470">
        <v>12</v>
      </c>
      <c r="N5" s="74">
        <f t="shared" ref="N5:N13" si="1">G5/W5*60</f>
        <v>1557.4186046511625</v>
      </c>
      <c r="O5" s="77">
        <f t="shared" ref="O5:O13" si="2">N5/M5</f>
        <v>129.7848837209302</v>
      </c>
      <c r="P5" s="78">
        <f t="shared" ref="P5:P13" si="3">M5-J5</f>
        <v>0</v>
      </c>
      <c r="Q5" s="79">
        <f t="shared" ref="Q5:Q13" si="4">O5-L5</f>
        <v>-36.881782945736461</v>
      </c>
      <c r="R5" s="461">
        <f t="shared" ref="R5:R13" si="5">O5/L5</f>
        <v>0.77870930232558122</v>
      </c>
      <c r="S5" s="631">
        <f>R17</f>
        <v>0.88075490430440606</v>
      </c>
      <c r="T5" s="80">
        <v>0.25</v>
      </c>
      <c r="U5" s="80">
        <v>0.27986111111111112</v>
      </c>
      <c r="V5" s="459">
        <v>5</v>
      </c>
      <c r="W5" s="469">
        <f>(U5-T5)*24*60</f>
        <v>43.000000000000007</v>
      </c>
      <c r="X5" s="459"/>
      <c r="Y5" s="459"/>
      <c r="Z5" s="81"/>
      <c r="AA5" s="81"/>
      <c r="AB5" s="616"/>
      <c r="AC5" s="616"/>
      <c r="AD5" s="82"/>
      <c r="AE5" s="82"/>
      <c r="AF5" s="78">
        <f t="shared" ref="AF5:AF70" si="6">N5-K5</f>
        <v>-442.58139534883753</v>
      </c>
      <c r="AG5" s="461">
        <f t="shared" ref="AG5:AG70" si="7">N5/K5</f>
        <v>0.77870930232558122</v>
      </c>
      <c r="AH5" s="631">
        <f>AG17</f>
        <v>0.88686417256719074</v>
      </c>
      <c r="AJ5" s="62" t="str">
        <f>A5</f>
        <v>四度一組
(ET-600)</v>
      </c>
      <c r="AK5" s="404">
        <f>AVERAGE(AK6:AK16)</f>
        <v>6.3750000000000036</v>
      </c>
    </row>
    <row r="6" spans="1:37" ht="19.2" customHeight="1">
      <c r="A6" s="662"/>
      <c r="B6" s="69" t="s">
        <v>162</v>
      </c>
      <c r="C6" s="70"/>
      <c r="D6" s="71" t="s">
        <v>92</v>
      </c>
      <c r="E6" s="72"/>
      <c r="F6" s="73">
        <v>37.83</v>
      </c>
      <c r="G6" s="74">
        <v>4801.55</v>
      </c>
      <c r="H6" s="75">
        <f t="shared" si="0"/>
        <v>181642.63649999999</v>
      </c>
      <c r="I6" s="469"/>
      <c r="J6" s="76">
        <v>20</v>
      </c>
      <c r="K6" s="74">
        <v>2400</v>
      </c>
      <c r="L6" s="77">
        <v>120</v>
      </c>
      <c r="M6" s="470">
        <v>20</v>
      </c>
      <c r="N6" s="74">
        <f t="shared" si="1"/>
        <v>2304.7439999999997</v>
      </c>
      <c r="O6" s="77">
        <f t="shared" si="2"/>
        <v>115.23719999999999</v>
      </c>
      <c r="P6" s="78">
        <f t="shared" si="3"/>
        <v>0</v>
      </c>
      <c r="Q6" s="79">
        <f t="shared" si="4"/>
        <v>-4.7628000000000128</v>
      </c>
      <c r="R6" s="461">
        <f t="shared" si="5"/>
        <v>0.96030999999999989</v>
      </c>
      <c r="S6" s="631"/>
      <c r="T6" s="80">
        <v>0.28472222222222221</v>
      </c>
      <c r="U6" s="80">
        <v>0.37152777777777779</v>
      </c>
      <c r="V6" s="459">
        <v>7</v>
      </c>
      <c r="W6" s="469">
        <f t="shared" ref="W6:W17" si="8">(U6-T6)*24*60</f>
        <v>125.00000000000003</v>
      </c>
      <c r="X6" s="83"/>
      <c r="Y6" s="83"/>
      <c r="Z6" s="84"/>
      <c r="AA6" s="84"/>
      <c r="AB6" s="616"/>
      <c r="AC6" s="616"/>
      <c r="AD6" s="457"/>
      <c r="AE6" s="457">
        <v>1</v>
      </c>
      <c r="AF6" s="78">
        <f t="shared" si="6"/>
        <v>-95.256000000000313</v>
      </c>
      <c r="AG6" s="461">
        <f t="shared" si="7"/>
        <v>0.96030999999999989</v>
      </c>
      <c r="AH6" s="631"/>
      <c r="AJ6" s="405">
        <f>IF((IF(V6&lt;10,V6,(X6-U5)*1440))=0,"",IF(V6&lt;10,V6,(X6-U5)*1440))</f>
        <v>7</v>
      </c>
      <c r="AK6" s="406">
        <f>IF(AJ6&gt;4,AJ6,"")</f>
        <v>7</v>
      </c>
    </row>
    <row r="7" spans="1:37" ht="19.2" customHeight="1">
      <c r="A7" s="662"/>
      <c r="B7" s="69" t="s">
        <v>162</v>
      </c>
      <c r="C7" s="70"/>
      <c r="D7" s="71" t="s">
        <v>94</v>
      </c>
      <c r="E7" s="72"/>
      <c r="F7" s="73">
        <v>35.89</v>
      </c>
      <c r="G7" s="74">
        <v>2227</v>
      </c>
      <c r="H7" s="75">
        <f t="shared" si="0"/>
        <v>79927.03</v>
      </c>
      <c r="I7" s="469"/>
      <c r="J7" s="76">
        <v>18</v>
      </c>
      <c r="K7" s="74">
        <v>2571</v>
      </c>
      <c r="L7" s="77">
        <v>142.83333333333334</v>
      </c>
      <c r="M7" s="470">
        <v>18</v>
      </c>
      <c r="N7" s="74">
        <f t="shared" si="1"/>
        <v>2303.7931034482745</v>
      </c>
      <c r="O7" s="77">
        <f t="shared" si="2"/>
        <v>127.98850574712635</v>
      </c>
      <c r="P7" s="78">
        <f t="shared" si="3"/>
        <v>0</v>
      </c>
      <c r="Q7" s="79">
        <f t="shared" si="4"/>
        <v>-14.844827586206989</v>
      </c>
      <c r="R7" s="461">
        <f t="shared" si="5"/>
        <v>0.89606888504405846</v>
      </c>
      <c r="S7" s="631"/>
      <c r="T7" s="80">
        <v>0.38680555555555557</v>
      </c>
      <c r="U7" s="80">
        <v>0.42708333333333337</v>
      </c>
      <c r="V7" s="459">
        <v>22</v>
      </c>
      <c r="W7" s="469">
        <f t="shared" si="8"/>
        <v>58.000000000000036</v>
      </c>
      <c r="X7" s="83">
        <v>0.3756944444444445</v>
      </c>
      <c r="Y7" s="83">
        <v>0.38611111111111113</v>
      </c>
      <c r="Z7" s="84"/>
      <c r="AA7" s="84"/>
      <c r="AB7" s="616"/>
      <c r="AC7" s="616"/>
      <c r="AD7" s="457"/>
      <c r="AE7" s="457"/>
      <c r="AF7" s="78">
        <f t="shared" si="6"/>
        <v>-267.20689655172555</v>
      </c>
      <c r="AG7" s="461">
        <f t="shared" si="7"/>
        <v>0.89606888504405857</v>
      </c>
      <c r="AH7" s="631"/>
      <c r="AJ7" s="405">
        <f t="shared" ref="AJ7:AJ16" si="9">IF((IF(V7&lt;10,V7,(X7-U6)*1440))=0,"",IF(V7&lt;10,V7,(X7-U6)*1440))</f>
        <v>6.0000000000000586</v>
      </c>
      <c r="AK7" s="406">
        <f t="shared" ref="AK7:AK16" si="10">IF(AJ7&gt;4,AJ7,"")</f>
        <v>6.0000000000000586</v>
      </c>
    </row>
    <row r="8" spans="1:37" ht="19.2" customHeight="1">
      <c r="A8" s="662"/>
      <c r="B8" s="69" t="s">
        <v>162</v>
      </c>
      <c r="C8" s="70"/>
      <c r="D8" s="71" t="s">
        <v>95</v>
      </c>
      <c r="E8" s="72"/>
      <c r="F8" s="73">
        <v>36.729999999999997</v>
      </c>
      <c r="G8" s="85">
        <v>934</v>
      </c>
      <c r="H8" s="75">
        <f t="shared" si="0"/>
        <v>34305.82</v>
      </c>
      <c r="I8" s="469"/>
      <c r="J8" s="76">
        <v>18</v>
      </c>
      <c r="K8" s="74">
        <v>2571</v>
      </c>
      <c r="L8" s="77">
        <v>142.83333333333334</v>
      </c>
      <c r="M8" s="470">
        <v>18</v>
      </c>
      <c r="N8" s="74">
        <f t="shared" si="1"/>
        <v>2241.6000000000008</v>
      </c>
      <c r="O8" s="77">
        <f t="shared" si="2"/>
        <v>124.53333333333337</v>
      </c>
      <c r="P8" s="78">
        <f t="shared" si="3"/>
        <v>0</v>
      </c>
      <c r="Q8" s="79">
        <f t="shared" si="4"/>
        <v>-18.299999999999969</v>
      </c>
      <c r="R8" s="461">
        <f t="shared" si="5"/>
        <v>0.87187864644107371</v>
      </c>
      <c r="S8" s="631"/>
      <c r="T8" s="80">
        <v>0.43194444444444446</v>
      </c>
      <c r="U8" s="80">
        <v>0.44930555555555557</v>
      </c>
      <c r="V8" s="459">
        <v>7</v>
      </c>
      <c r="W8" s="469">
        <f t="shared" si="8"/>
        <v>24.999999999999993</v>
      </c>
      <c r="X8" s="83"/>
      <c r="Y8" s="83"/>
      <c r="Z8" s="84"/>
      <c r="AA8" s="84"/>
      <c r="AB8" s="616"/>
      <c r="AC8" s="616"/>
      <c r="AD8" s="457"/>
      <c r="AE8" s="457"/>
      <c r="AF8" s="78">
        <f t="shared" si="6"/>
        <v>-329.39999999999918</v>
      </c>
      <c r="AG8" s="461">
        <f t="shared" si="7"/>
        <v>0.87187864644107382</v>
      </c>
      <c r="AH8" s="631"/>
      <c r="AJ8" s="405">
        <f t="shared" si="9"/>
        <v>7</v>
      </c>
      <c r="AK8" s="406">
        <f t="shared" si="10"/>
        <v>7</v>
      </c>
    </row>
    <row r="9" spans="1:37" ht="19.2" customHeight="1">
      <c r="A9" s="662"/>
      <c r="B9" s="69" t="s">
        <v>162</v>
      </c>
      <c r="C9" s="86"/>
      <c r="D9" s="71" t="s">
        <v>96</v>
      </c>
      <c r="E9" s="87"/>
      <c r="F9" s="73">
        <v>28.86</v>
      </c>
      <c r="G9" s="74">
        <v>1323</v>
      </c>
      <c r="H9" s="75">
        <f t="shared" si="0"/>
        <v>38181.78</v>
      </c>
      <c r="I9" s="457"/>
      <c r="J9" s="76">
        <v>17</v>
      </c>
      <c r="K9" s="74">
        <v>2571</v>
      </c>
      <c r="L9" s="77">
        <v>151.23529411764707</v>
      </c>
      <c r="M9" s="470">
        <v>17</v>
      </c>
      <c r="N9" s="74">
        <f t="shared" si="1"/>
        <v>2267.9999999999977</v>
      </c>
      <c r="O9" s="77">
        <f t="shared" si="2"/>
        <v>133.41176470588221</v>
      </c>
      <c r="P9" s="78">
        <f t="shared" si="3"/>
        <v>0</v>
      </c>
      <c r="Q9" s="79">
        <f t="shared" si="4"/>
        <v>-17.823529411764866</v>
      </c>
      <c r="R9" s="461">
        <f t="shared" si="5"/>
        <v>0.882147024504083</v>
      </c>
      <c r="S9" s="631"/>
      <c r="T9" s="80">
        <v>0.45347222222222222</v>
      </c>
      <c r="U9" s="80">
        <v>0.4777777777777778</v>
      </c>
      <c r="V9" s="459">
        <v>6</v>
      </c>
      <c r="W9" s="469">
        <f t="shared" si="8"/>
        <v>35.000000000000036</v>
      </c>
      <c r="X9" s="83"/>
      <c r="Y9" s="83"/>
      <c r="Z9" s="84"/>
      <c r="AA9" s="84"/>
      <c r="AB9" s="616"/>
      <c r="AC9" s="616"/>
      <c r="AD9" s="457"/>
      <c r="AE9" s="457"/>
      <c r="AF9" s="78">
        <f t="shared" si="6"/>
        <v>-303.00000000000227</v>
      </c>
      <c r="AG9" s="461">
        <f t="shared" si="7"/>
        <v>0.88214702450408311</v>
      </c>
      <c r="AH9" s="631"/>
      <c r="AJ9" s="405">
        <f t="shared" si="9"/>
        <v>6</v>
      </c>
      <c r="AK9" s="406">
        <f t="shared" si="10"/>
        <v>6</v>
      </c>
    </row>
    <row r="10" spans="1:37" ht="19.2" customHeight="1">
      <c r="A10" s="663"/>
      <c r="B10" s="69" t="s">
        <v>162</v>
      </c>
      <c r="C10" s="70"/>
      <c r="D10" s="71" t="s">
        <v>97</v>
      </c>
      <c r="E10" s="72"/>
      <c r="F10" s="73">
        <v>31.11</v>
      </c>
      <c r="G10" s="74">
        <v>1975</v>
      </c>
      <c r="H10" s="75">
        <f t="shared" si="0"/>
        <v>61442.25</v>
      </c>
      <c r="I10" s="469"/>
      <c r="J10" s="76">
        <v>18</v>
      </c>
      <c r="K10" s="74">
        <v>2769</v>
      </c>
      <c r="L10" s="77">
        <v>153.83333333333334</v>
      </c>
      <c r="M10" s="470">
        <v>18</v>
      </c>
      <c r="N10" s="74">
        <f t="shared" si="1"/>
        <v>2370.0000000000009</v>
      </c>
      <c r="O10" s="77">
        <f t="shared" si="2"/>
        <v>131.66666666666671</v>
      </c>
      <c r="P10" s="78">
        <f t="shared" si="3"/>
        <v>0</v>
      </c>
      <c r="Q10" s="79">
        <f t="shared" si="4"/>
        <v>-22.166666666666629</v>
      </c>
      <c r="R10" s="461">
        <f t="shared" si="5"/>
        <v>0.85590465872156041</v>
      </c>
      <c r="S10" s="632"/>
      <c r="T10" s="80">
        <v>0.5180555555555556</v>
      </c>
      <c r="U10" s="80">
        <v>0.55277777777777781</v>
      </c>
      <c r="V10" s="459">
        <v>5</v>
      </c>
      <c r="W10" s="469">
        <f t="shared" si="8"/>
        <v>49.999999999999986</v>
      </c>
      <c r="X10" s="83"/>
      <c r="Y10" s="83"/>
      <c r="Z10" s="84"/>
      <c r="AA10" s="84"/>
      <c r="AB10" s="616"/>
      <c r="AC10" s="616"/>
      <c r="AD10" s="457"/>
      <c r="AE10" s="457"/>
      <c r="AF10" s="78">
        <f>N10-K10</f>
        <v>-398.99999999999909</v>
      </c>
      <c r="AG10" s="461">
        <f>N10/K10</f>
        <v>0.85590465872156041</v>
      </c>
      <c r="AH10" s="632"/>
      <c r="AJ10" s="405">
        <f t="shared" si="9"/>
        <v>5</v>
      </c>
      <c r="AK10" s="406">
        <f t="shared" si="10"/>
        <v>5</v>
      </c>
    </row>
    <row r="11" spans="1:37" ht="19.2" customHeight="1">
      <c r="A11" s="663"/>
      <c r="B11" s="69" t="s">
        <v>162</v>
      </c>
      <c r="C11" s="70"/>
      <c r="D11" s="88" t="s">
        <v>98</v>
      </c>
      <c r="E11" s="72"/>
      <c r="F11" s="73">
        <v>38.479999999999997</v>
      </c>
      <c r="G11" s="74">
        <v>2762</v>
      </c>
      <c r="H11" s="75">
        <f t="shared" si="0"/>
        <v>106281.76</v>
      </c>
      <c r="I11" s="469"/>
      <c r="J11" s="76">
        <v>19</v>
      </c>
      <c r="K11" s="74">
        <v>2769</v>
      </c>
      <c r="L11" s="77">
        <v>145.73684210526315</v>
      </c>
      <c r="M11" s="470">
        <v>19</v>
      </c>
      <c r="N11" s="74">
        <f t="shared" si="1"/>
        <v>2473.4328358208927</v>
      </c>
      <c r="O11" s="77">
        <f t="shared" si="2"/>
        <v>130.18067556952067</v>
      </c>
      <c r="P11" s="78">
        <f t="shared" si="3"/>
        <v>0</v>
      </c>
      <c r="Q11" s="79">
        <f t="shared" si="4"/>
        <v>-15.556166535742477</v>
      </c>
      <c r="R11" s="461">
        <f t="shared" si="5"/>
        <v>0.89325851781180676</v>
      </c>
      <c r="S11" s="632"/>
      <c r="T11" s="80">
        <v>0.55763888888888891</v>
      </c>
      <c r="U11" s="80">
        <v>0.60416666666666674</v>
      </c>
      <c r="V11" s="459">
        <v>7</v>
      </c>
      <c r="W11" s="469">
        <f t="shared" si="8"/>
        <v>67.000000000000085</v>
      </c>
      <c r="X11" s="83"/>
      <c r="Y11" s="83"/>
      <c r="Z11" s="84"/>
      <c r="AA11" s="84"/>
      <c r="AB11" s="616"/>
      <c r="AC11" s="616"/>
      <c r="AD11" s="457">
        <v>1</v>
      </c>
      <c r="AE11" s="457"/>
      <c r="AF11" s="78">
        <f>N11-K11</f>
        <v>-295.56716417910729</v>
      </c>
      <c r="AG11" s="461">
        <f>N11/K11</f>
        <v>0.89325851781180665</v>
      </c>
      <c r="AH11" s="632"/>
      <c r="AJ11" s="405">
        <f t="shared" si="9"/>
        <v>7</v>
      </c>
      <c r="AK11" s="406">
        <f t="shared" si="10"/>
        <v>7</v>
      </c>
    </row>
    <row r="12" spans="1:37" ht="19.2" customHeight="1">
      <c r="A12" s="663"/>
      <c r="B12" s="69" t="s">
        <v>162</v>
      </c>
      <c r="C12" s="70"/>
      <c r="D12" s="88" t="s">
        <v>99</v>
      </c>
      <c r="E12" s="72"/>
      <c r="F12" s="73">
        <v>37.799999999999997</v>
      </c>
      <c r="G12" s="74">
        <v>3583</v>
      </c>
      <c r="H12" s="75">
        <f t="shared" si="0"/>
        <v>135437.4</v>
      </c>
      <c r="I12" s="469"/>
      <c r="J12" s="76">
        <v>20</v>
      </c>
      <c r="K12" s="74">
        <v>2769</v>
      </c>
      <c r="L12" s="77">
        <v>138.44999999999999</v>
      </c>
      <c r="M12" s="470">
        <v>20</v>
      </c>
      <c r="N12" s="74">
        <f t="shared" si="1"/>
        <v>2471.0344827586205</v>
      </c>
      <c r="O12" s="77">
        <f t="shared" si="2"/>
        <v>123.55172413793102</v>
      </c>
      <c r="P12" s="78">
        <f t="shared" si="3"/>
        <v>0</v>
      </c>
      <c r="Q12" s="79">
        <f t="shared" si="4"/>
        <v>-14.898275862068971</v>
      </c>
      <c r="R12" s="461">
        <f t="shared" si="5"/>
        <v>0.89239237369397639</v>
      </c>
      <c r="S12" s="632"/>
      <c r="T12" s="80">
        <v>0.61944444444444446</v>
      </c>
      <c r="U12" s="80">
        <v>0.67986111111111114</v>
      </c>
      <c r="V12" s="459">
        <v>22</v>
      </c>
      <c r="W12" s="469">
        <f t="shared" si="8"/>
        <v>87.000000000000014</v>
      </c>
      <c r="X12" s="83">
        <v>0.60902777777777783</v>
      </c>
      <c r="Y12" s="83">
        <v>0.61875000000000002</v>
      </c>
      <c r="Z12" s="84"/>
      <c r="AA12" s="84"/>
      <c r="AB12" s="616"/>
      <c r="AC12" s="616"/>
      <c r="AD12" s="457"/>
      <c r="AE12" s="457"/>
      <c r="AF12" s="78">
        <f t="shared" si="6"/>
        <v>-297.96551724137953</v>
      </c>
      <c r="AG12" s="461">
        <f t="shared" si="7"/>
        <v>0.89239237369397628</v>
      </c>
      <c r="AH12" s="632"/>
      <c r="AJ12" s="405">
        <f t="shared" si="9"/>
        <v>6.9999999999999751</v>
      </c>
      <c r="AK12" s="406">
        <f t="shared" si="10"/>
        <v>6.9999999999999751</v>
      </c>
    </row>
    <row r="13" spans="1:37" ht="19.2" customHeight="1">
      <c r="A13" s="663"/>
      <c r="B13" s="69" t="s">
        <v>162</v>
      </c>
      <c r="C13" s="89"/>
      <c r="D13" s="88" t="s">
        <v>92</v>
      </c>
      <c r="E13" s="90"/>
      <c r="F13" s="73">
        <v>37.83</v>
      </c>
      <c r="G13" s="91">
        <v>2585.4499999999998</v>
      </c>
      <c r="H13" s="75">
        <f t="shared" si="0"/>
        <v>97807.573499999984</v>
      </c>
      <c r="I13" s="471">
        <v>1</v>
      </c>
      <c r="J13" s="76">
        <v>20</v>
      </c>
      <c r="K13" s="74">
        <v>2400</v>
      </c>
      <c r="L13" s="77">
        <v>120</v>
      </c>
      <c r="M13" s="92">
        <v>20</v>
      </c>
      <c r="N13" s="74">
        <f t="shared" si="1"/>
        <v>2248.2173913043453</v>
      </c>
      <c r="O13" s="77">
        <f t="shared" si="2"/>
        <v>112.41086956521727</v>
      </c>
      <c r="P13" s="78">
        <f t="shared" si="3"/>
        <v>0</v>
      </c>
      <c r="Q13" s="79">
        <f t="shared" si="4"/>
        <v>-7.5891304347827315</v>
      </c>
      <c r="R13" s="461">
        <f t="shared" si="5"/>
        <v>0.93675724637681057</v>
      </c>
      <c r="S13" s="632"/>
      <c r="T13" s="80">
        <v>0.68402777777777779</v>
      </c>
      <c r="U13" s="80">
        <v>0.73194444444444451</v>
      </c>
      <c r="V13" s="471">
        <v>6</v>
      </c>
      <c r="W13" s="469">
        <f t="shared" si="8"/>
        <v>69.000000000000071</v>
      </c>
      <c r="X13" s="93"/>
      <c r="Y13" s="93"/>
      <c r="Z13" s="84"/>
      <c r="AA13" s="84"/>
      <c r="AB13" s="616"/>
      <c r="AC13" s="616"/>
      <c r="AD13" s="457"/>
      <c r="AE13" s="457"/>
      <c r="AF13" s="78">
        <f t="shared" si="6"/>
        <v>-151.78260869565474</v>
      </c>
      <c r="AG13" s="461">
        <f t="shared" si="7"/>
        <v>0.93675724637681057</v>
      </c>
      <c r="AH13" s="632"/>
      <c r="AJ13" s="405">
        <f t="shared" si="9"/>
        <v>6</v>
      </c>
      <c r="AK13" s="406">
        <f t="shared" si="10"/>
        <v>6</v>
      </c>
    </row>
    <row r="14" spans="1:37" ht="19.2" customHeight="1">
      <c r="A14" s="663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471"/>
      <c r="J14" s="76"/>
      <c r="K14" s="74"/>
      <c r="L14" s="77"/>
      <c r="M14" s="92"/>
      <c r="N14" s="74"/>
      <c r="O14" s="77"/>
      <c r="P14" s="78"/>
      <c r="Q14" s="79"/>
      <c r="R14" s="461"/>
      <c r="S14" s="632"/>
      <c r="T14" s="80"/>
      <c r="U14" s="80"/>
      <c r="V14" s="471"/>
      <c r="W14" s="469">
        <f t="shared" si="8"/>
        <v>0</v>
      </c>
      <c r="X14" s="93"/>
      <c r="Y14" s="93"/>
      <c r="Z14" s="84"/>
      <c r="AA14" s="84"/>
      <c r="AB14" s="616"/>
      <c r="AC14" s="616"/>
      <c r="AD14" s="457"/>
      <c r="AE14" s="457"/>
      <c r="AF14" s="78">
        <f t="shared" si="6"/>
        <v>0</v>
      </c>
      <c r="AG14" s="461" t="e">
        <f t="shared" si="7"/>
        <v>#DIV/0!</v>
      </c>
      <c r="AH14" s="632"/>
      <c r="AJ14" s="405" t="str">
        <f t="shared" si="9"/>
        <v/>
      </c>
      <c r="AK14" s="406" t="str">
        <f t="shared" si="10"/>
        <v/>
      </c>
    </row>
    <row r="15" spans="1:37" ht="19.2" customHeight="1">
      <c r="A15" s="663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471"/>
      <c r="J15" s="76"/>
      <c r="K15" s="74"/>
      <c r="L15" s="77"/>
      <c r="M15" s="92"/>
      <c r="N15" s="96"/>
      <c r="O15" s="77"/>
      <c r="P15" s="78"/>
      <c r="Q15" s="79"/>
      <c r="R15" s="461"/>
      <c r="S15" s="632"/>
      <c r="T15" s="80"/>
      <c r="U15" s="80"/>
      <c r="V15" s="471"/>
      <c r="W15" s="469">
        <f t="shared" si="8"/>
        <v>0</v>
      </c>
      <c r="X15" s="93"/>
      <c r="Y15" s="93"/>
      <c r="Z15" s="84"/>
      <c r="AA15" s="84"/>
      <c r="AB15" s="616"/>
      <c r="AC15" s="616"/>
      <c r="AD15" s="457"/>
      <c r="AE15" s="457"/>
      <c r="AF15" s="78">
        <f t="shared" si="6"/>
        <v>0</v>
      </c>
      <c r="AG15" s="461" t="e">
        <f t="shared" si="7"/>
        <v>#DIV/0!</v>
      </c>
      <c r="AH15" s="632"/>
      <c r="AJ15" s="405" t="str">
        <f t="shared" si="9"/>
        <v/>
      </c>
      <c r="AK15" s="406" t="str">
        <f t="shared" si="10"/>
        <v/>
      </c>
    </row>
    <row r="16" spans="1:37" ht="19.2" customHeight="1">
      <c r="A16" s="663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471"/>
      <c r="J16" s="76"/>
      <c r="K16" s="74"/>
      <c r="L16" s="77"/>
      <c r="M16" s="92"/>
      <c r="N16" s="96"/>
      <c r="O16" s="77"/>
      <c r="P16" s="78"/>
      <c r="Q16" s="79"/>
      <c r="R16" s="461"/>
      <c r="S16" s="632"/>
      <c r="T16" s="80"/>
      <c r="U16" s="80"/>
      <c r="V16" s="471"/>
      <c r="W16" s="469">
        <f t="shared" si="8"/>
        <v>0</v>
      </c>
      <c r="X16" s="93"/>
      <c r="Y16" s="93"/>
      <c r="Z16" s="84"/>
      <c r="AA16" s="84"/>
      <c r="AB16" s="616"/>
      <c r="AC16" s="616"/>
      <c r="AD16" s="457"/>
      <c r="AE16" s="457"/>
      <c r="AF16" s="78">
        <f t="shared" si="6"/>
        <v>0</v>
      </c>
      <c r="AG16" s="461" t="e">
        <f t="shared" si="7"/>
        <v>#DIV/0!</v>
      </c>
      <c r="AH16" s="632"/>
      <c r="AJ16" s="405" t="str">
        <f t="shared" si="9"/>
        <v/>
      </c>
      <c r="AK16" s="406" t="str">
        <f t="shared" si="10"/>
        <v/>
      </c>
    </row>
    <row r="17" spans="1:37" ht="19.2" customHeight="1">
      <c r="A17" s="663"/>
      <c r="B17" s="97">
        <v>0</v>
      </c>
      <c r="C17" s="97" t="s">
        <v>444</v>
      </c>
      <c r="D17" s="626" t="s">
        <v>377</v>
      </c>
      <c r="E17" s="626"/>
      <c r="F17" s="98"/>
      <c r="G17" s="99"/>
      <c r="H17" s="100"/>
      <c r="I17" s="101"/>
      <c r="J17" s="99">
        <v>18</v>
      </c>
      <c r="K17" s="99">
        <v>2535.5555555555557</v>
      </c>
      <c r="L17" s="102">
        <v>142.39875587661967</v>
      </c>
      <c r="M17" s="103">
        <f t="shared" ref="M17:O17" si="11">AVERAGE(M5:M16)</f>
        <v>18</v>
      </c>
      <c r="N17" s="99">
        <f t="shared" si="11"/>
        <v>2248.6933797759216</v>
      </c>
      <c r="O17" s="102">
        <f t="shared" si="11"/>
        <v>125.41840260517864</v>
      </c>
      <c r="P17" s="104">
        <f t="shared" ref="P17:P25" si="12">M17-J17</f>
        <v>0</v>
      </c>
      <c r="Q17" s="105">
        <f t="shared" ref="Q17:Q25" si="13">O17-L17</f>
        <v>-16.980353271441032</v>
      </c>
      <c r="R17" s="106">
        <f>O17/L17</f>
        <v>0.88075490430440606</v>
      </c>
      <c r="S17" s="632"/>
      <c r="T17" s="80"/>
      <c r="U17" s="80"/>
      <c r="V17" s="471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616"/>
      <c r="AC17" s="616"/>
      <c r="AD17" s="110">
        <f>SUM(AD5:AD16)</f>
        <v>1</v>
      </c>
      <c r="AE17" s="110">
        <f>SUM(AE5:AE16)</f>
        <v>1</v>
      </c>
      <c r="AF17" s="104">
        <f t="shared" si="6"/>
        <v>-286.86217577963407</v>
      </c>
      <c r="AG17" s="462">
        <f t="shared" si="7"/>
        <v>0.88686417256719074</v>
      </c>
      <c r="AH17" s="632"/>
    </row>
    <row r="18" spans="1:37" ht="19.2" customHeight="1">
      <c r="A18" s="614" t="s">
        <v>445</v>
      </c>
      <c r="B18" s="111" t="s">
        <v>163</v>
      </c>
      <c r="C18" s="112"/>
      <c r="D18" s="113" t="s">
        <v>191</v>
      </c>
      <c r="E18" s="114"/>
      <c r="F18" s="115">
        <v>28.26</v>
      </c>
      <c r="G18" s="85">
        <v>754.19999999999993</v>
      </c>
      <c r="H18" s="116">
        <f t="shared" ref="H18:H29" si="14">F18*G18</f>
        <v>21313.691999999999</v>
      </c>
      <c r="I18" s="457"/>
      <c r="J18" s="117">
        <v>12</v>
      </c>
      <c r="K18" s="85">
        <v>2000</v>
      </c>
      <c r="L18" s="118">
        <v>166.66666666666666</v>
      </c>
      <c r="M18" s="117">
        <v>12</v>
      </c>
      <c r="N18" s="85">
        <f t="shared" ref="N18:N25" si="15">G18/W18*60</f>
        <v>1508.3999999999992</v>
      </c>
      <c r="O18" s="118">
        <f t="shared" ref="O18:O25" si="16">N18/M18</f>
        <v>125.69999999999993</v>
      </c>
      <c r="P18" s="84">
        <f t="shared" si="12"/>
        <v>0</v>
      </c>
      <c r="Q18" s="119">
        <f t="shared" si="13"/>
        <v>-40.966666666666725</v>
      </c>
      <c r="R18" s="458">
        <f t="shared" ref="R18:R25" si="17">O18/L18</f>
        <v>0.75419999999999965</v>
      </c>
      <c r="S18" s="615">
        <f>R30</f>
        <v>0.87882156796267541</v>
      </c>
      <c r="T18" s="80">
        <v>0.16666666666666666</v>
      </c>
      <c r="U18" s="80">
        <v>0.1875</v>
      </c>
      <c r="V18" s="457">
        <v>5</v>
      </c>
      <c r="W18" s="120">
        <f>(U18-T18)*24*60</f>
        <v>30.000000000000014</v>
      </c>
      <c r="X18" s="118"/>
      <c r="Y18" s="118"/>
      <c r="Z18" s="84"/>
      <c r="AA18" s="84"/>
      <c r="AB18" s="616"/>
      <c r="AC18" s="616"/>
      <c r="AD18" s="457"/>
      <c r="AE18" s="457"/>
      <c r="AF18" s="121">
        <f t="shared" si="6"/>
        <v>-491.60000000000082</v>
      </c>
      <c r="AG18" s="122">
        <f t="shared" si="7"/>
        <v>0.75419999999999954</v>
      </c>
      <c r="AH18" s="657">
        <f>AG30</f>
        <v>0.88685519964143822</v>
      </c>
      <c r="AJ18" s="62" t="str">
        <f>A18</f>
        <v>四度二組A
熱麵
固定線
(ET-55)</v>
      </c>
      <c r="AK18" s="404">
        <f>AVERAGE(AK19:AK29)</f>
        <v>6.4999999999999964</v>
      </c>
    </row>
    <row r="19" spans="1:37" ht="19.2" customHeight="1">
      <c r="A19" s="614"/>
      <c r="B19" s="466" t="s">
        <v>164</v>
      </c>
      <c r="C19" s="465"/>
      <c r="D19" s="113" t="s">
        <v>101</v>
      </c>
      <c r="E19" s="114"/>
      <c r="F19" s="73">
        <v>53.27</v>
      </c>
      <c r="G19" s="85">
        <v>806</v>
      </c>
      <c r="H19" s="116">
        <f t="shared" si="14"/>
        <v>42935.62</v>
      </c>
      <c r="I19" s="457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1422.3529411764687</v>
      </c>
      <c r="O19" s="125">
        <f t="shared" si="16"/>
        <v>83.667820069204041</v>
      </c>
      <c r="P19" s="84">
        <f t="shared" si="12"/>
        <v>0</v>
      </c>
      <c r="Q19" s="119">
        <f t="shared" si="13"/>
        <v>-8.3910034602077275</v>
      </c>
      <c r="R19" s="458">
        <f t="shared" si="17"/>
        <v>0.9088517196015774</v>
      </c>
      <c r="S19" s="615"/>
      <c r="T19" s="80">
        <v>0.19166666666666665</v>
      </c>
      <c r="U19" s="80">
        <v>0.21527777777777779</v>
      </c>
      <c r="V19" s="457">
        <v>6</v>
      </c>
      <c r="W19" s="120">
        <f>(U19-T19)*24*60</f>
        <v>34.000000000000043</v>
      </c>
      <c r="X19" s="126"/>
      <c r="Y19" s="126"/>
      <c r="Z19" s="84"/>
      <c r="AA19" s="84"/>
      <c r="AB19" s="616"/>
      <c r="AC19" s="616"/>
      <c r="AD19" s="457"/>
      <c r="AE19" s="457"/>
      <c r="AF19" s="78">
        <f t="shared" si="6"/>
        <v>-142.64705882353132</v>
      </c>
      <c r="AG19" s="461">
        <f t="shared" si="7"/>
        <v>0.9088517196015774</v>
      </c>
      <c r="AH19" s="658"/>
      <c r="AJ19" s="405">
        <f t="shared" ref="AJ19:AJ29" si="18">IF((IF(V19&lt;10,V19,(X19-U18)*1440))=0,"",IF(V19&lt;10,V19,(X19-U18)*1440))</f>
        <v>6</v>
      </c>
      <c r="AK19" s="406">
        <f>IF(AJ19&gt;4,AJ19,"")</f>
        <v>6</v>
      </c>
    </row>
    <row r="20" spans="1:37" ht="19.2" customHeight="1">
      <c r="A20" s="614"/>
      <c r="B20" s="466" t="s">
        <v>164</v>
      </c>
      <c r="C20" s="86"/>
      <c r="D20" s="71" t="s">
        <v>102</v>
      </c>
      <c r="E20" s="114"/>
      <c r="F20" s="73">
        <v>49.91</v>
      </c>
      <c r="G20" s="85">
        <v>1255</v>
      </c>
      <c r="H20" s="116">
        <f t="shared" si="14"/>
        <v>62637.049999999996</v>
      </c>
      <c r="I20" s="457"/>
      <c r="J20" s="123">
        <v>17</v>
      </c>
      <c r="K20" s="74">
        <v>1565</v>
      </c>
      <c r="L20" s="77">
        <v>92.058823529411768</v>
      </c>
      <c r="M20" s="123">
        <v>17</v>
      </c>
      <c r="N20" s="124">
        <f t="shared" si="15"/>
        <v>1420.7547169811317</v>
      </c>
      <c r="O20" s="125">
        <f t="shared" si="16"/>
        <v>83.573806881243044</v>
      </c>
      <c r="P20" s="84">
        <f t="shared" si="12"/>
        <v>0</v>
      </c>
      <c r="Q20" s="119">
        <f t="shared" si="13"/>
        <v>-8.4850166481687239</v>
      </c>
      <c r="R20" s="458">
        <f t="shared" si="17"/>
        <v>0.90783049008379024</v>
      </c>
      <c r="S20" s="615"/>
      <c r="T20" s="80">
        <v>0.22013888888888891</v>
      </c>
      <c r="U20" s="80">
        <v>0.25694444444444448</v>
      </c>
      <c r="V20" s="457">
        <v>7</v>
      </c>
      <c r="W20" s="120">
        <f t="shared" ref="W20:W29" si="19">(U20-T20)*24*60</f>
        <v>53.000000000000014</v>
      </c>
      <c r="X20" s="126"/>
      <c r="Y20" s="126"/>
      <c r="Z20" s="84"/>
      <c r="AA20" s="84"/>
      <c r="AB20" s="616"/>
      <c r="AC20" s="616"/>
      <c r="AD20" s="457"/>
      <c r="AE20" s="457"/>
      <c r="AF20" s="121">
        <f t="shared" si="6"/>
        <v>-144.24528301886835</v>
      </c>
      <c r="AG20" s="122">
        <f t="shared" si="7"/>
        <v>0.90783049008379024</v>
      </c>
      <c r="AH20" s="658"/>
      <c r="AJ20" s="405">
        <f t="shared" si="18"/>
        <v>7</v>
      </c>
      <c r="AK20" s="406">
        <f t="shared" ref="AK20:AK29" si="20">IF(AJ20&gt;4,AJ20,"")</f>
        <v>7</v>
      </c>
    </row>
    <row r="21" spans="1:37" ht="19.2" customHeight="1">
      <c r="A21" s="614"/>
      <c r="B21" s="466" t="s">
        <v>164</v>
      </c>
      <c r="C21" s="127"/>
      <c r="D21" s="128" t="s">
        <v>104</v>
      </c>
      <c r="E21" s="72"/>
      <c r="F21" s="73">
        <v>44.3</v>
      </c>
      <c r="G21" s="74">
        <v>1096</v>
      </c>
      <c r="H21" s="116">
        <f t="shared" si="14"/>
        <v>48552.799999999996</v>
      </c>
      <c r="I21" s="459"/>
      <c r="J21" s="123">
        <v>18</v>
      </c>
      <c r="K21" s="74">
        <v>1565</v>
      </c>
      <c r="L21" s="77">
        <v>86.944444444444443</v>
      </c>
      <c r="M21" s="123">
        <v>18</v>
      </c>
      <c r="N21" s="124">
        <f t="shared" si="15"/>
        <v>1429.5652173913043</v>
      </c>
      <c r="O21" s="125">
        <f t="shared" si="16"/>
        <v>79.420289855072454</v>
      </c>
      <c r="P21" s="84">
        <f t="shared" si="12"/>
        <v>0</v>
      </c>
      <c r="Q21" s="119">
        <f t="shared" si="13"/>
        <v>-7.5241545893719888</v>
      </c>
      <c r="R21" s="458">
        <f t="shared" si="17"/>
        <v>0.9134602028059452</v>
      </c>
      <c r="S21" s="615"/>
      <c r="T21" s="80">
        <v>0.2729166666666667</v>
      </c>
      <c r="U21" s="80">
        <v>0.30486111111111114</v>
      </c>
      <c r="V21" s="457">
        <v>23</v>
      </c>
      <c r="W21" s="120">
        <f t="shared" si="19"/>
        <v>46</v>
      </c>
      <c r="X21" s="126">
        <v>0.26111111111111113</v>
      </c>
      <c r="Y21" s="126">
        <v>0.2722222222222222</v>
      </c>
      <c r="Z21" s="84"/>
      <c r="AA21" s="84"/>
      <c r="AB21" s="616"/>
      <c r="AC21" s="616"/>
      <c r="AD21" s="457"/>
      <c r="AE21" s="457"/>
      <c r="AF21" s="78">
        <f t="shared" si="6"/>
        <v>-135.43478260869574</v>
      </c>
      <c r="AG21" s="461">
        <f t="shared" si="7"/>
        <v>0.9134602028059452</v>
      </c>
      <c r="AH21" s="659"/>
      <c r="AJ21" s="405">
        <f t="shared" si="18"/>
        <v>5.9999999999999787</v>
      </c>
      <c r="AK21" s="406">
        <f t="shared" si="20"/>
        <v>5.9999999999999787</v>
      </c>
    </row>
    <row r="22" spans="1:37" ht="19.2" customHeight="1">
      <c r="A22" s="614"/>
      <c r="B22" s="466" t="s">
        <v>164</v>
      </c>
      <c r="C22" s="127"/>
      <c r="D22" s="71" t="s">
        <v>105</v>
      </c>
      <c r="E22" s="72"/>
      <c r="F22" s="73">
        <v>49.91</v>
      </c>
      <c r="G22" s="74">
        <v>2382.25</v>
      </c>
      <c r="H22" s="116">
        <f t="shared" si="14"/>
        <v>118898.09749999999</v>
      </c>
      <c r="I22" s="459"/>
      <c r="J22" s="117">
        <v>17</v>
      </c>
      <c r="K22" s="85">
        <v>1565</v>
      </c>
      <c r="L22" s="118">
        <v>92.058823529411768</v>
      </c>
      <c r="M22" s="123">
        <v>17</v>
      </c>
      <c r="N22" s="124">
        <f t="shared" si="15"/>
        <v>1429.3500000000004</v>
      </c>
      <c r="O22" s="125">
        <f t="shared" si="16"/>
        <v>84.07941176470591</v>
      </c>
      <c r="P22" s="84">
        <f t="shared" si="12"/>
        <v>0</v>
      </c>
      <c r="Q22" s="119">
        <f t="shared" si="13"/>
        <v>-7.9794117647058584</v>
      </c>
      <c r="R22" s="458">
        <f t="shared" si="17"/>
        <v>0.9133226837060705</v>
      </c>
      <c r="S22" s="615"/>
      <c r="T22" s="80">
        <v>0.30902777777777779</v>
      </c>
      <c r="U22" s="80">
        <v>0.37847222222222221</v>
      </c>
      <c r="V22" s="457">
        <v>6</v>
      </c>
      <c r="W22" s="120">
        <f t="shared" si="19"/>
        <v>99.999999999999972</v>
      </c>
      <c r="X22" s="126"/>
      <c r="Y22" s="126"/>
      <c r="Z22" s="84"/>
      <c r="AA22" s="84"/>
      <c r="AB22" s="616"/>
      <c r="AC22" s="616"/>
      <c r="AD22" s="457"/>
      <c r="AE22" s="457">
        <v>1</v>
      </c>
      <c r="AF22" s="121">
        <f t="shared" si="6"/>
        <v>-135.64999999999964</v>
      </c>
      <c r="AG22" s="122">
        <f t="shared" si="7"/>
        <v>0.9133226837060705</v>
      </c>
      <c r="AH22" s="659"/>
      <c r="AJ22" s="405">
        <f t="shared" si="18"/>
        <v>6</v>
      </c>
      <c r="AK22" s="406">
        <f t="shared" si="20"/>
        <v>6</v>
      </c>
    </row>
    <row r="23" spans="1:37" ht="19.2" customHeight="1">
      <c r="A23" s="614"/>
      <c r="B23" s="466" t="s">
        <v>162</v>
      </c>
      <c r="C23" s="127"/>
      <c r="D23" s="71" t="s">
        <v>106</v>
      </c>
      <c r="E23" s="72"/>
      <c r="F23" s="73">
        <v>36.729999999999997</v>
      </c>
      <c r="G23" s="74">
        <v>5740</v>
      </c>
      <c r="H23" s="116">
        <f t="shared" si="14"/>
        <v>210830.19999999998</v>
      </c>
      <c r="I23" s="459"/>
      <c r="J23" s="123">
        <v>18</v>
      </c>
      <c r="K23" s="74">
        <v>2400</v>
      </c>
      <c r="L23" s="77">
        <v>133.33333333333334</v>
      </c>
      <c r="M23" s="123">
        <v>18</v>
      </c>
      <c r="N23" s="124">
        <f t="shared" si="15"/>
        <v>2179.746835443038</v>
      </c>
      <c r="O23" s="125">
        <f t="shared" si="16"/>
        <v>121.09704641350211</v>
      </c>
      <c r="P23" s="84">
        <f t="shared" si="12"/>
        <v>0</v>
      </c>
      <c r="Q23" s="119">
        <f t="shared" si="13"/>
        <v>-12.23628691983123</v>
      </c>
      <c r="R23" s="458">
        <f t="shared" si="17"/>
        <v>0.90822784810126578</v>
      </c>
      <c r="S23" s="615"/>
      <c r="T23" s="80">
        <v>0.3833333333333333</v>
      </c>
      <c r="U23" s="80">
        <v>0.49305555555555552</v>
      </c>
      <c r="V23" s="457">
        <v>7</v>
      </c>
      <c r="W23" s="120">
        <f t="shared" si="19"/>
        <v>158</v>
      </c>
      <c r="X23" s="126"/>
      <c r="Y23" s="126"/>
      <c r="Z23" s="84"/>
      <c r="AA23" s="84"/>
      <c r="AB23" s="616"/>
      <c r="AC23" s="616"/>
      <c r="AD23" s="457"/>
      <c r="AE23" s="457"/>
      <c r="AF23" s="78">
        <f t="shared" si="6"/>
        <v>-220.25316455696202</v>
      </c>
      <c r="AG23" s="461">
        <f t="shared" si="7"/>
        <v>0.90822784810126578</v>
      </c>
      <c r="AH23" s="659"/>
      <c r="AJ23" s="405">
        <f t="shared" si="18"/>
        <v>7</v>
      </c>
      <c r="AK23" s="406">
        <f t="shared" si="20"/>
        <v>7</v>
      </c>
    </row>
    <row r="24" spans="1:37" ht="19.2" customHeight="1">
      <c r="A24" s="614"/>
      <c r="B24" s="466" t="s">
        <v>164</v>
      </c>
      <c r="C24" s="112"/>
      <c r="D24" s="113" t="s">
        <v>103</v>
      </c>
      <c r="E24" s="114"/>
      <c r="F24" s="73">
        <v>38.39</v>
      </c>
      <c r="G24" s="85">
        <v>660</v>
      </c>
      <c r="H24" s="116">
        <f t="shared" si="14"/>
        <v>25337.4</v>
      </c>
      <c r="I24" s="459">
        <v>1</v>
      </c>
      <c r="J24" s="123">
        <v>17</v>
      </c>
      <c r="K24" s="74">
        <v>1565</v>
      </c>
      <c r="L24" s="77">
        <v>92.058823529411768</v>
      </c>
      <c r="M24" s="123">
        <v>17</v>
      </c>
      <c r="N24" s="124">
        <f t="shared" si="15"/>
        <v>1414.2857142857113</v>
      </c>
      <c r="O24" s="125">
        <f t="shared" si="16"/>
        <v>83.193277310924188</v>
      </c>
      <c r="P24" s="84">
        <f t="shared" si="12"/>
        <v>0</v>
      </c>
      <c r="Q24" s="119">
        <f t="shared" si="13"/>
        <v>-8.8655462184875802</v>
      </c>
      <c r="R24" s="458">
        <f t="shared" si="17"/>
        <v>0.90369694203559814</v>
      </c>
      <c r="S24" s="615"/>
      <c r="T24" s="80">
        <v>0.53263888888888888</v>
      </c>
      <c r="U24" s="80">
        <v>0.55208333333333337</v>
      </c>
      <c r="V24" s="457">
        <v>4</v>
      </c>
      <c r="W24" s="120">
        <f t="shared" si="19"/>
        <v>28.00000000000006</v>
      </c>
      <c r="X24" s="126"/>
      <c r="Y24" s="126"/>
      <c r="Z24" s="84"/>
      <c r="AA24" s="84"/>
      <c r="AB24" s="616"/>
      <c r="AC24" s="616"/>
      <c r="AD24" s="457"/>
      <c r="AE24" s="457"/>
      <c r="AF24" s="121">
        <f t="shared" si="6"/>
        <v>-150.71428571428874</v>
      </c>
      <c r="AG24" s="122">
        <f t="shared" si="7"/>
        <v>0.90369694203559825</v>
      </c>
      <c r="AH24" s="659"/>
      <c r="AJ24" s="405">
        <f t="shared" si="18"/>
        <v>4</v>
      </c>
      <c r="AK24" s="406" t="str">
        <f t="shared" si="20"/>
        <v/>
      </c>
    </row>
    <row r="25" spans="1:37" ht="19.2" customHeight="1">
      <c r="A25" s="614"/>
      <c r="B25" s="466" t="s">
        <v>164</v>
      </c>
      <c r="C25" s="112"/>
      <c r="D25" s="113" t="s">
        <v>105</v>
      </c>
      <c r="E25" s="114"/>
      <c r="F25" s="73">
        <v>49.91</v>
      </c>
      <c r="G25" s="85">
        <v>1282.75</v>
      </c>
      <c r="H25" s="116">
        <f t="shared" si="14"/>
        <v>64022.052499999998</v>
      </c>
      <c r="I25" s="120">
        <v>1</v>
      </c>
      <c r="J25" s="123">
        <v>17</v>
      </c>
      <c r="K25" s="74">
        <v>1565</v>
      </c>
      <c r="L25" s="77">
        <v>92.058823529411768</v>
      </c>
      <c r="M25" s="123">
        <v>17</v>
      </c>
      <c r="N25" s="124">
        <f t="shared" si="15"/>
        <v>1425.2777777777785</v>
      </c>
      <c r="O25" s="125">
        <f t="shared" si="16"/>
        <v>83.839869281045793</v>
      </c>
      <c r="P25" s="84">
        <f t="shared" si="12"/>
        <v>0</v>
      </c>
      <c r="Q25" s="119">
        <f t="shared" si="13"/>
        <v>-8.218954248365975</v>
      </c>
      <c r="R25" s="458">
        <f t="shared" si="17"/>
        <v>0.9107206247781332</v>
      </c>
      <c r="S25" s="615"/>
      <c r="T25" s="80">
        <v>0.55694444444444446</v>
      </c>
      <c r="U25" s="80">
        <v>0.59444444444444444</v>
      </c>
      <c r="V25" s="457">
        <v>7</v>
      </c>
      <c r="W25" s="120">
        <f t="shared" si="19"/>
        <v>53.999999999999972</v>
      </c>
      <c r="X25" s="457"/>
      <c r="Y25" s="457"/>
      <c r="Z25" s="84"/>
      <c r="AA25" s="84"/>
      <c r="AB25" s="616"/>
      <c r="AC25" s="616"/>
      <c r="AD25" s="457"/>
      <c r="AE25" s="457"/>
      <c r="AF25" s="78">
        <f t="shared" si="6"/>
        <v>-139.72222222222149</v>
      </c>
      <c r="AG25" s="461">
        <f t="shared" si="7"/>
        <v>0.9107206247781332</v>
      </c>
      <c r="AH25" s="659"/>
      <c r="AJ25" s="405">
        <f t="shared" si="18"/>
        <v>7</v>
      </c>
      <c r="AK25" s="406">
        <f t="shared" si="20"/>
        <v>7</v>
      </c>
    </row>
    <row r="26" spans="1:37" ht="19.2" customHeight="1">
      <c r="A26" s="614"/>
      <c r="B26" s="466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23"/>
      <c r="K26" s="74"/>
      <c r="L26" s="77"/>
      <c r="M26" s="123"/>
      <c r="N26" s="124"/>
      <c r="O26" s="125"/>
      <c r="P26" s="84"/>
      <c r="Q26" s="119"/>
      <c r="R26" s="458"/>
      <c r="S26" s="615"/>
      <c r="T26" s="80"/>
      <c r="U26" s="80"/>
      <c r="V26" s="457"/>
      <c r="W26" s="120">
        <f t="shared" si="19"/>
        <v>0</v>
      </c>
      <c r="X26" s="457"/>
      <c r="Y26" s="457"/>
      <c r="Z26" s="84"/>
      <c r="AA26" s="84"/>
      <c r="AB26" s="616"/>
      <c r="AC26" s="616"/>
      <c r="AD26" s="457"/>
      <c r="AE26" s="457"/>
      <c r="AF26" s="121">
        <f t="shared" si="6"/>
        <v>0</v>
      </c>
      <c r="AG26" s="122" t="e">
        <f t="shared" si="7"/>
        <v>#DIV/0!</v>
      </c>
      <c r="AH26" s="659"/>
      <c r="AJ26" s="405" t="str">
        <f t="shared" si="18"/>
        <v/>
      </c>
      <c r="AK26" s="406" t="str">
        <f t="shared" si="20"/>
        <v/>
      </c>
    </row>
    <row r="27" spans="1:37" ht="19.2" customHeight="1">
      <c r="A27" s="614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458"/>
      <c r="S27" s="615"/>
      <c r="T27" s="80"/>
      <c r="U27" s="80"/>
      <c r="V27" s="457"/>
      <c r="W27" s="120">
        <f t="shared" si="19"/>
        <v>0</v>
      </c>
      <c r="X27" s="457"/>
      <c r="Y27" s="457"/>
      <c r="Z27" s="84"/>
      <c r="AA27" s="84"/>
      <c r="AB27" s="616"/>
      <c r="AC27" s="616"/>
      <c r="AD27" s="457"/>
      <c r="AE27" s="457"/>
      <c r="AF27" s="78">
        <f t="shared" si="6"/>
        <v>0</v>
      </c>
      <c r="AG27" s="461" t="e">
        <f t="shared" si="7"/>
        <v>#DIV/0!</v>
      </c>
      <c r="AH27" s="659"/>
      <c r="AJ27" s="405" t="str">
        <f t="shared" si="18"/>
        <v/>
      </c>
      <c r="AK27" s="406" t="str">
        <f t="shared" si="20"/>
        <v/>
      </c>
    </row>
    <row r="28" spans="1:37" ht="19.2" customHeight="1">
      <c r="A28" s="614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458"/>
      <c r="S28" s="615"/>
      <c r="T28" s="80"/>
      <c r="U28" s="80"/>
      <c r="V28" s="457"/>
      <c r="W28" s="120">
        <f t="shared" si="19"/>
        <v>0</v>
      </c>
      <c r="X28" s="457"/>
      <c r="Y28" s="457"/>
      <c r="Z28" s="84"/>
      <c r="AA28" s="84"/>
      <c r="AB28" s="616"/>
      <c r="AC28" s="616"/>
      <c r="AD28" s="457"/>
      <c r="AE28" s="457"/>
      <c r="AF28" s="121">
        <f t="shared" si="6"/>
        <v>0</v>
      </c>
      <c r="AG28" s="122" t="e">
        <f t="shared" si="7"/>
        <v>#DIV/0!</v>
      </c>
      <c r="AH28" s="659"/>
      <c r="AJ28" s="405" t="str">
        <f t="shared" si="18"/>
        <v/>
      </c>
      <c r="AK28" s="406" t="str">
        <f t="shared" si="20"/>
        <v/>
      </c>
    </row>
    <row r="29" spans="1:37" ht="19.2" customHeight="1">
      <c r="A29" s="614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458"/>
      <c r="S29" s="615"/>
      <c r="T29" s="80"/>
      <c r="U29" s="80"/>
      <c r="V29" s="457"/>
      <c r="W29" s="120">
        <f t="shared" si="19"/>
        <v>0</v>
      </c>
      <c r="X29" s="457"/>
      <c r="Y29" s="457"/>
      <c r="Z29" s="84"/>
      <c r="AA29" s="84"/>
      <c r="AB29" s="616"/>
      <c r="AC29" s="616"/>
      <c r="AD29" s="457"/>
      <c r="AE29" s="457"/>
      <c r="AF29" s="78">
        <f t="shared" si="6"/>
        <v>0</v>
      </c>
      <c r="AG29" s="461"/>
      <c r="AH29" s="659"/>
      <c r="AJ29" s="405" t="str">
        <f t="shared" si="18"/>
        <v/>
      </c>
      <c r="AK29" s="406" t="str">
        <f t="shared" si="20"/>
        <v/>
      </c>
    </row>
    <row r="30" spans="1:37" ht="19.2" customHeight="1">
      <c r="A30" s="614"/>
      <c r="B30" s="131">
        <v>0</v>
      </c>
      <c r="C30" s="132" t="s">
        <v>446</v>
      </c>
      <c r="D30" s="664" t="s">
        <v>377</v>
      </c>
      <c r="E30" s="664"/>
      <c r="F30" s="133"/>
      <c r="G30" s="103"/>
      <c r="H30" s="134"/>
      <c r="I30" s="135"/>
      <c r="J30" s="103">
        <v>16.625</v>
      </c>
      <c r="K30" s="103">
        <v>1723.75</v>
      </c>
      <c r="L30" s="136">
        <v>105.90482026143792</v>
      </c>
      <c r="M30" s="103">
        <f t="shared" ref="M30:O30" si="21">AVERAGE(M18:M29)</f>
        <v>16.625</v>
      </c>
      <c r="N30" s="103">
        <f t="shared" si="21"/>
        <v>1528.7166503819292</v>
      </c>
      <c r="O30" s="136">
        <f t="shared" si="21"/>
        <v>93.071440196962186</v>
      </c>
      <c r="P30" s="84">
        <f t="shared" ref="P30:P39" si="22">M30-J30</f>
        <v>0</v>
      </c>
      <c r="Q30" s="119">
        <f t="shared" ref="Q30:Q36" si="23">O30-L30</f>
        <v>-12.833380064475733</v>
      </c>
      <c r="R30" s="137">
        <f t="shared" ref="R30:R36" si="24">O30/L30</f>
        <v>0.87882156796267541</v>
      </c>
      <c r="S30" s="615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616"/>
      <c r="AC30" s="616"/>
      <c r="AD30" s="139">
        <f>SUM(AD18:AD29)</f>
        <v>0</v>
      </c>
      <c r="AE30" s="139">
        <f>SUM(AE18:AE29)</f>
        <v>1</v>
      </c>
      <c r="AF30" s="140">
        <f t="shared" si="6"/>
        <v>-195.03334961807082</v>
      </c>
      <c r="AG30" s="141">
        <f t="shared" ref="AG30" si="25">N30/K30</f>
        <v>0.88685519964143822</v>
      </c>
      <c r="AH30" s="660"/>
    </row>
    <row r="31" spans="1:37" ht="19.2" customHeight="1">
      <c r="A31" s="651" t="s">
        <v>447</v>
      </c>
      <c r="B31" s="142" t="s">
        <v>163</v>
      </c>
      <c r="C31" s="94"/>
      <c r="D31" s="71" t="s">
        <v>108</v>
      </c>
      <c r="E31" s="143"/>
      <c r="F31" s="144">
        <v>26.5</v>
      </c>
      <c r="G31" s="145">
        <v>986.80000000000007</v>
      </c>
      <c r="H31" s="146">
        <f t="shared" ref="H31:H41" si="26">F31*G31</f>
        <v>26150.2</v>
      </c>
      <c r="I31" s="82"/>
      <c r="J31" s="147">
        <v>12</v>
      </c>
      <c r="K31" s="124">
        <v>2000</v>
      </c>
      <c r="L31" s="125">
        <v>166.66666666666666</v>
      </c>
      <c r="M31" s="92">
        <v>12</v>
      </c>
      <c r="N31" s="148">
        <f t="shared" ref="N31:N36" si="27">G31/W31*60</f>
        <v>1644.6666666666672</v>
      </c>
      <c r="O31" s="149">
        <f t="shared" ref="O31:O36" si="28">N31/M31</f>
        <v>137.0555555555556</v>
      </c>
      <c r="P31" s="150">
        <f t="shared" si="22"/>
        <v>0</v>
      </c>
      <c r="Q31" s="151">
        <f t="shared" si="23"/>
        <v>-29.611111111111057</v>
      </c>
      <c r="R31" s="460">
        <f t="shared" si="24"/>
        <v>0.82233333333333369</v>
      </c>
      <c r="S31" s="652">
        <f>R43</f>
        <v>0.90367268620108965</v>
      </c>
      <c r="T31" s="152">
        <v>0.16666666666666666</v>
      </c>
      <c r="U31" s="152">
        <v>0.19166666666666665</v>
      </c>
      <c r="V31" s="153">
        <v>5</v>
      </c>
      <c r="W31" s="154">
        <f t="shared" ref="W31:W42" si="29">(U31-T31)*24*60</f>
        <v>35.999999999999993</v>
      </c>
      <c r="X31" s="82"/>
      <c r="Y31" s="82"/>
      <c r="Z31" s="81"/>
      <c r="AA31" s="81"/>
      <c r="AB31" s="616"/>
      <c r="AC31" s="616"/>
      <c r="AD31" s="82"/>
      <c r="AE31" s="82"/>
      <c r="AF31" s="150">
        <f t="shared" si="6"/>
        <v>-355.3333333333328</v>
      </c>
      <c r="AG31" s="155">
        <f t="shared" si="7"/>
        <v>0.82233333333333358</v>
      </c>
      <c r="AH31" s="630">
        <f>AG43</f>
        <v>0.91292298777120851</v>
      </c>
      <c r="AJ31" s="62" t="str">
        <f>A31</f>
        <v>四度二組
(ET-55)</v>
      </c>
      <c r="AK31" s="404">
        <f>AVERAGE(AK32:AK42)</f>
        <v>6.0000000000000115</v>
      </c>
    </row>
    <row r="32" spans="1:37" ht="19.2" customHeight="1">
      <c r="A32" s="644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2293.85</v>
      </c>
      <c r="H32" s="116">
        <f t="shared" si="26"/>
        <v>78518.485499999995</v>
      </c>
      <c r="I32" s="469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2150.4843749999995</v>
      </c>
      <c r="O32" s="77">
        <f t="shared" si="28"/>
        <v>165.42187499999997</v>
      </c>
      <c r="P32" s="150">
        <f t="shared" si="22"/>
        <v>0</v>
      </c>
      <c r="Q32" s="79">
        <f t="shared" si="23"/>
        <v>-7.6550480769230944</v>
      </c>
      <c r="R32" s="461">
        <f t="shared" si="24"/>
        <v>0.95577083333333324</v>
      </c>
      <c r="S32" s="615"/>
      <c r="T32" s="80">
        <v>0.19513888888888886</v>
      </c>
      <c r="U32" s="80">
        <v>0.23958333333333331</v>
      </c>
      <c r="V32" s="153">
        <v>5</v>
      </c>
      <c r="W32" s="120">
        <f t="shared" si="29"/>
        <v>64.000000000000014</v>
      </c>
      <c r="X32" s="158"/>
      <c r="Y32" s="158"/>
      <c r="Z32" s="159"/>
      <c r="AA32" s="159"/>
      <c r="AB32" s="616"/>
      <c r="AC32" s="616"/>
      <c r="AD32" s="457"/>
      <c r="AE32" s="457"/>
      <c r="AF32" s="78">
        <f t="shared" si="6"/>
        <v>-99.515625000000455</v>
      </c>
      <c r="AG32" s="461">
        <f t="shared" si="7"/>
        <v>0.95577083333333313</v>
      </c>
      <c r="AH32" s="631"/>
      <c r="AJ32" s="405">
        <f t="shared" ref="AJ32:AJ42" si="30">IF((IF(V32&lt;10,V32,(X32-U31)*1440))=0,"",IF(V32&lt;10,V32,(X32-U31)*1440))</f>
        <v>5</v>
      </c>
      <c r="AK32" s="406">
        <f>IF(AJ32&gt;4,AJ32,"")</f>
        <v>5</v>
      </c>
    </row>
    <row r="33" spans="1:37" ht="19.2" customHeight="1">
      <c r="A33" s="644"/>
      <c r="B33" s="156" t="s">
        <v>165</v>
      </c>
      <c r="C33" s="457"/>
      <c r="D33" s="71" t="s">
        <v>110</v>
      </c>
      <c r="E33" s="114"/>
      <c r="F33" s="73">
        <v>35.83</v>
      </c>
      <c r="G33" s="145">
        <v>3612.7000000000003</v>
      </c>
      <c r="H33" s="116">
        <f t="shared" si="26"/>
        <v>129443.041</v>
      </c>
      <c r="I33" s="457"/>
      <c r="J33" s="76">
        <v>11</v>
      </c>
      <c r="K33" s="74">
        <v>2250</v>
      </c>
      <c r="L33" s="77">
        <v>204.54545454545453</v>
      </c>
      <c r="M33" s="92">
        <v>11</v>
      </c>
      <c r="N33" s="74">
        <f t="shared" si="27"/>
        <v>2104.4854368932042</v>
      </c>
      <c r="O33" s="77">
        <f t="shared" si="28"/>
        <v>191.3168578993822</v>
      </c>
      <c r="P33" s="150">
        <f t="shared" si="22"/>
        <v>0</v>
      </c>
      <c r="Q33" s="79">
        <f t="shared" si="23"/>
        <v>-13.228596646072333</v>
      </c>
      <c r="R33" s="461">
        <f t="shared" si="24"/>
        <v>0.93532686084142413</v>
      </c>
      <c r="S33" s="615"/>
      <c r="T33" s="80">
        <v>0.24444444444444444</v>
      </c>
      <c r="U33" s="80">
        <v>0.31597222222222221</v>
      </c>
      <c r="V33" s="153">
        <v>7</v>
      </c>
      <c r="W33" s="120">
        <f t="shared" si="29"/>
        <v>103</v>
      </c>
      <c r="X33" s="158"/>
      <c r="Y33" s="158"/>
      <c r="Z33" s="159"/>
      <c r="AA33" s="159"/>
      <c r="AB33" s="616"/>
      <c r="AC33" s="616"/>
      <c r="AD33" s="457"/>
      <c r="AE33" s="457"/>
      <c r="AF33" s="78">
        <f t="shared" si="6"/>
        <v>-145.51456310679578</v>
      </c>
      <c r="AG33" s="160">
        <f t="shared" si="7"/>
        <v>0.93532686084142413</v>
      </c>
      <c r="AH33" s="631"/>
      <c r="AJ33" s="405">
        <f t="shared" si="30"/>
        <v>7</v>
      </c>
      <c r="AK33" s="406">
        <f t="shared" ref="AK33:AK42" si="31">IF(AJ33&gt;4,AJ33,"")</f>
        <v>7</v>
      </c>
    </row>
    <row r="34" spans="1:37" ht="19.2" customHeight="1">
      <c r="A34" s="644"/>
      <c r="B34" s="156" t="s">
        <v>164</v>
      </c>
      <c r="C34" s="161"/>
      <c r="D34" s="162" t="s">
        <v>103</v>
      </c>
      <c r="E34" s="114"/>
      <c r="F34" s="73">
        <v>38.39</v>
      </c>
      <c r="G34" s="163">
        <v>1540</v>
      </c>
      <c r="H34" s="116">
        <f t="shared" si="26"/>
        <v>59120.6</v>
      </c>
      <c r="I34" s="457"/>
      <c r="J34" s="147">
        <v>17</v>
      </c>
      <c r="K34" s="124">
        <v>1565</v>
      </c>
      <c r="L34" s="125">
        <v>92.058823529411768</v>
      </c>
      <c r="M34" s="164">
        <v>17</v>
      </c>
      <c r="N34" s="74">
        <f t="shared" si="27"/>
        <v>1421.5384615384612</v>
      </c>
      <c r="O34" s="77">
        <f t="shared" si="28"/>
        <v>83.619909502262431</v>
      </c>
      <c r="P34" s="150">
        <f t="shared" si="22"/>
        <v>0</v>
      </c>
      <c r="Q34" s="79">
        <f t="shared" si="23"/>
        <v>-8.4389140271493375</v>
      </c>
      <c r="R34" s="461">
        <f t="shared" si="24"/>
        <v>0.90833128532809027</v>
      </c>
      <c r="S34" s="615"/>
      <c r="T34" s="80">
        <v>0.33124999999999999</v>
      </c>
      <c r="U34" s="80">
        <v>0.37638888888888888</v>
      </c>
      <c r="V34" s="163">
        <v>22</v>
      </c>
      <c r="W34" s="120">
        <f t="shared" si="29"/>
        <v>65.000000000000014</v>
      </c>
      <c r="X34" s="158">
        <v>0.32013888888888892</v>
      </c>
      <c r="Y34" s="158">
        <v>0.33055555555555555</v>
      </c>
      <c r="Z34" s="159"/>
      <c r="AA34" s="159"/>
      <c r="AB34" s="616"/>
      <c r="AC34" s="616"/>
      <c r="AD34" s="457"/>
      <c r="AE34" s="457"/>
      <c r="AF34" s="78">
        <f t="shared" si="6"/>
        <v>-143.46153846153879</v>
      </c>
      <c r="AG34" s="160">
        <f t="shared" si="7"/>
        <v>0.90833128532809027</v>
      </c>
      <c r="AH34" s="631"/>
      <c r="AJ34" s="405">
        <f t="shared" si="30"/>
        <v>6.0000000000000586</v>
      </c>
      <c r="AK34" s="406">
        <f t="shared" si="31"/>
        <v>6.0000000000000586</v>
      </c>
    </row>
    <row r="35" spans="1:37" ht="19.2" customHeight="1">
      <c r="A35" s="644"/>
      <c r="B35" s="156" t="s">
        <v>164</v>
      </c>
      <c r="C35" s="70"/>
      <c r="D35" s="165" t="s">
        <v>107</v>
      </c>
      <c r="E35" s="72"/>
      <c r="F35" s="73">
        <v>49.52</v>
      </c>
      <c r="G35" s="163">
        <v>3773</v>
      </c>
      <c r="H35" s="116">
        <f t="shared" si="26"/>
        <v>186838.96000000002</v>
      </c>
      <c r="I35" s="459"/>
      <c r="J35" s="76">
        <v>18</v>
      </c>
      <c r="K35" s="74">
        <v>1565</v>
      </c>
      <c r="L35" s="77">
        <v>86.944444444444443</v>
      </c>
      <c r="M35" s="164">
        <v>18</v>
      </c>
      <c r="N35" s="74">
        <f t="shared" si="27"/>
        <v>1432.7848101265822</v>
      </c>
      <c r="O35" s="77">
        <f t="shared" si="28"/>
        <v>79.599156118143455</v>
      </c>
      <c r="P35" s="150">
        <f t="shared" si="22"/>
        <v>0</v>
      </c>
      <c r="Q35" s="79">
        <f t="shared" si="23"/>
        <v>-7.345288326300988</v>
      </c>
      <c r="R35" s="461">
        <f t="shared" si="24"/>
        <v>0.91551745056011646</v>
      </c>
      <c r="S35" s="615"/>
      <c r="T35" s="80">
        <v>0.38124999999999998</v>
      </c>
      <c r="U35" s="80">
        <v>0.4909722222222222</v>
      </c>
      <c r="V35" s="145">
        <v>7</v>
      </c>
      <c r="W35" s="120">
        <f t="shared" si="29"/>
        <v>158</v>
      </c>
      <c r="X35" s="158"/>
      <c r="Y35" s="158"/>
      <c r="Z35" s="159"/>
      <c r="AA35" s="159"/>
      <c r="AB35" s="616"/>
      <c r="AC35" s="616"/>
      <c r="AD35" s="457"/>
      <c r="AE35" s="457"/>
      <c r="AF35" s="150">
        <f t="shared" si="6"/>
        <v>-132.21518987341778</v>
      </c>
      <c r="AG35" s="155">
        <f t="shared" si="7"/>
        <v>0.91551745056011646</v>
      </c>
      <c r="AH35" s="632"/>
      <c r="AJ35" s="405">
        <f t="shared" si="30"/>
        <v>7</v>
      </c>
      <c r="AK35" s="406">
        <f t="shared" si="31"/>
        <v>7</v>
      </c>
    </row>
    <row r="36" spans="1:37" ht="19.2" customHeight="1">
      <c r="A36" s="644"/>
      <c r="B36" s="156" t="s">
        <v>189</v>
      </c>
      <c r="C36" s="166"/>
      <c r="D36" s="165" t="s">
        <v>170</v>
      </c>
      <c r="E36" s="114"/>
      <c r="F36" s="73">
        <v>29.85</v>
      </c>
      <c r="G36" s="145">
        <v>3137.4</v>
      </c>
      <c r="H36" s="116">
        <f t="shared" si="26"/>
        <v>93651.390000000014</v>
      </c>
      <c r="I36" s="457"/>
      <c r="J36" s="76">
        <v>15</v>
      </c>
      <c r="K36" s="74">
        <v>1800</v>
      </c>
      <c r="L36" s="77">
        <v>120</v>
      </c>
      <c r="M36" s="164">
        <v>16</v>
      </c>
      <c r="N36" s="74">
        <f t="shared" si="27"/>
        <v>1680.7499999999986</v>
      </c>
      <c r="O36" s="77">
        <f t="shared" si="28"/>
        <v>105.04687499999991</v>
      </c>
      <c r="P36" s="150">
        <f t="shared" si="22"/>
        <v>1</v>
      </c>
      <c r="Q36" s="79">
        <f t="shared" si="23"/>
        <v>-14.953125000000085</v>
      </c>
      <c r="R36" s="461">
        <f t="shared" si="24"/>
        <v>0.87539062499999931</v>
      </c>
      <c r="S36" s="615"/>
      <c r="T36" s="80">
        <v>0.53124999999999989</v>
      </c>
      <c r="U36" s="80">
        <v>0.60902777777777772</v>
      </c>
      <c r="V36" s="145">
        <v>5</v>
      </c>
      <c r="W36" s="120">
        <f t="shared" si="29"/>
        <v>112.00000000000009</v>
      </c>
      <c r="X36" s="158"/>
      <c r="Y36" s="158"/>
      <c r="Z36" s="159"/>
      <c r="AA36" s="159"/>
      <c r="AB36" s="616"/>
      <c r="AC36" s="616"/>
      <c r="AD36" s="457">
        <v>1</v>
      </c>
      <c r="AE36" s="457"/>
      <c r="AF36" s="78">
        <f t="shared" si="6"/>
        <v>-119.25000000000136</v>
      </c>
      <c r="AG36" s="461">
        <f t="shared" si="7"/>
        <v>0.93374999999999919</v>
      </c>
      <c r="AH36" s="632"/>
      <c r="AJ36" s="405">
        <f t="shared" si="30"/>
        <v>5</v>
      </c>
      <c r="AK36" s="406">
        <f t="shared" si="31"/>
        <v>5</v>
      </c>
    </row>
    <row r="37" spans="1:37" ht="19.2" customHeight="1">
      <c r="A37" s="644"/>
      <c r="B37" s="156">
        <v>0</v>
      </c>
      <c r="C37" s="166"/>
      <c r="D37" s="71"/>
      <c r="E37" s="114"/>
      <c r="F37" s="73" t="s">
        <v>161</v>
      </c>
      <c r="G37" s="85"/>
      <c r="H37" s="116">
        <f t="shared" si="26"/>
        <v>0</v>
      </c>
      <c r="I37" s="457"/>
      <c r="J37" s="76"/>
      <c r="K37" s="74"/>
      <c r="L37" s="77"/>
      <c r="M37" s="467"/>
      <c r="N37" s="74"/>
      <c r="O37" s="77"/>
      <c r="P37" s="150">
        <f t="shared" si="22"/>
        <v>0</v>
      </c>
      <c r="Q37" s="79"/>
      <c r="R37" s="461"/>
      <c r="S37" s="615"/>
      <c r="T37" s="80"/>
      <c r="U37" s="80"/>
      <c r="V37" s="145"/>
      <c r="W37" s="120">
        <f t="shared" si="29"/>
        <v>0</v>
      </c>
      <c r="X37" s="158"/>
      <c r="Y37" s="158"/>
      <c r="Z37" s="159"/>
      <c r="AA37" s="159"/>
      <c r="AB37" s="616"/>
      <c r="AC37" s="616"/>
      <c r="AD37" s="457"/>
      <c r="AE37" s="457"/>
      <c r="AF37" s="78">
        <f t="shared" si="6"/>
        <v>0</v>
      </c>
      <c r="AG37" s="160" t="e">
        <f t="shared" si="7"/>
        <v>#DIV/0!</v>
      </c>
      <c r="AH37" s="632"/>
      <c r="AJ37" s="405" t="str">
        <f t="shared" si="30"/>
        <v/>
      </c>
      <c r="AK37" s="406" t="str">
        <f t="shared" si="31"/>
        <v/>
      </c>
    </row>
    <row r="38" spans="1:37" ht="19.2" customHeight="1">
      <c r="A38" s="644"/>
      <c r="B38" s="156">
        <v>0</v>
      </c>
      <c r="C38" s="166"/>
      <c r="D38" s="71"/>
      <c r="E38" s="114"/>
      <c r="F38" s="73" t="s">
        <v>161</v>
      </c>
      <c r="G38" s="85"/>
      <c r="H38" s="116">
        <f t="shared" si="26"/>
        <v>0</v>
      </c>
      <c r="I38" s="457"/>
      <c r="J38" s="76"/>
      <c r="K38" s="74"/>
      <c r="L38" s="77"/>
      <c r="M38" s="467"/>
      <c r="N38" s="74"/>
      <c r="O38" s="77"/>
      <c r="P38" s="150">
        <f t="shared" si="22"/>
        <v>0</v>
      </c>
      <c r="Q38" s="79"/>
      <c r="R38" s="461"/>
      <c r="S38" s="615"/>
      <c r="T38" s="167"/>
      <c r="U38" s="167"/>
      <c r="V38" s="457"/>
      <c r="W38" s="120">
        <f t="shared" si="29"/>
        <v>0</v>
      </c>
      <c r="X38" s="158"/>
      <c r="Y38" s="158"/>
      <c r="Z38" s="159"/>
      <c r="AA38" s="159"/>
      <c r="AB38" s="616"/>
      <c r="AC38" s="616"/>
      <c r="AD38" s="457"/>
      <c r="AE38" s="457"/>
      <c r="AF38" s="78">
        <f t="shared" si="6"/>
        <v>0</v>
      </c>
      <c r="AG38" s="160" t="e">
        <f t="shared" si="7"/>
        <v>#DIV/0!</v>
      </c>
      <c r="AH38" s="632"/>
      <c r="AJ38" s="405" t="str">
        <f t="shared" si="30"/>
        <v/>
      </c>
      <c r="AK38" s="406" t="str">
        <f t="shared" si="31"/>
        <v/>
      </c>
    </row>
    <row r="39" spans="1:37" ht="19.2" customHeight="1">
      <c r="A39" s="644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457"/>
      <c r="J39" s="76"/>
      <c r="K39" s="74"/>
      <c r="L39" s="77"/>
      <c r="M39" s="467"/>
      <c r="N39" s="74"/>
      <c r="O39" s="77"/>
      <c r="P39" s="150">
        <f t="shared" si="22"/>
        <v>0</v>
      </c>
      <c r="Q39" s="79"/>
      <c r="R39" s="461"/>
      <c r="S39" s="615"/>
      <c r="T39" s="80"/>
      <c r="U39" s="80"/>
      <c r="V39" s="457"/>
      <c r="W39" s="120">
        <f t="shared" si="29"/>
        <v>0</v>
      </c>
      <c r="X39" s="158"/>
      <c r="Y39" s="158"/>
      <c r="Z39" s="159"/>
      <c r="AA39" s="159"/>
      <c r="AB39" s="616"/>
      <c r="AC39" s="616"/>
      <c r="AD39" s="457"/>
      <c r="AE39" s="457"/>
      <c r="AF39" s="150">
        <f t="shared" si="6"/>
        <v>0</v>
      </c>
      <c r="AG39" s="155" t="e">
        <f t="shared" si="7"/>
        <v>#DIV/0!</v>
      </c>
      <c r="AH39" s="632"/>
      <c r="AJ39" s="405" t="str">
        <f t="shared" si="30"/>
        <v/>
      </c>
      <c r="AK39" s="406" t="str">
        <f t="shared" si="31"/>
        <v/>
      </c>
    </row>
    <row r="40" spans="1:37" ht="19.2" customHeight="1">
      <c r="A40" s="644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459"/>
      <c r="J40" s="76"/>
      <c r="K40" s="74"/>
      <c r="L40" s="77"/>
      <c r="M40" s="470"/>
      <c r="N40" s="74"/>
      <c r="O40" s="77"/>
      <c r="P40" s="150"/>
      <c r="Q40" s="79"/>
      <c r="R40" s="461"/>
      <c r="S40" s="615"/>
      <c r="T40" s="80"/>
      <c r="U40" s="80"/>
      <c r="V40" s="457"/>
      <c r="W40" s="120">
        <f>(U40-T40)*24*60</f>
        <v>0</v>
      </c>
      <c r="X40" s="158"/>
      <c r="Y40" s="158"/>
      <c r="Z40" s="159"/>
      <c r="AA40" s="159"/>
      <c r="AB40" s="616"/>
      <c r="AC40" s="616"/>
      <c r="AD40" s="457"/>
      <c r="AE40" s="457"/>
      <c r="AF40" s="78">
        <f t="shared" si="6"/>
        <v>0</v>
      </c>
      <c r="AG40" s="461" t="e">
        <f t="shared" si="7"/>
        <v>#DIV/0!</v>
      </c>
      <c r="AH40" s="632"/>
      <c r="AJ40" s="405" t="str">
        <f t="shared" si="30"/>
        <v/>
      </c>
      <c r="AK40" s="406" t="str">
        <f t="shared" si="31"/>
        <v/>
      </c>
    </row>
    <row r="41" spans="1:37" ht="19.2" customHeight="1">
      <c r="A41" s="644"/>
      <c r="B41" s="457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457"/>
      <c r="J41" s="129"/>
      <c r="K41" s="85"/>
      <c r="L41" s="118"/>
      <c r="M41" s="467"/>
      <c r="N41" s="85"/>
      <c r="O41" s="118"/>
      <c r="P41" s="84"/>
      <c r="Q41" s="119"/>
      <c r="R41" s="458"/>
      <c r="S41" s="615"/>
      <c r="T41" s="80"/>
      <c r="U41" s="80"/>
      <c r="V41" s="457"/>
      <c r="W41" s="120">
        <f>(U41-T41)*24*60</f>
        <v>0</v>
      </c>
      <c r="X41" s="158"/>
      <c r="Y41" s="158"/>
      <c r="Z41" s="159"/>
      <c r="AA41" s="159"/>
      <c r="AB41" s="616"/>
      <c r="AC41" s="616"/>
      <c r="AD41" s="457"/>
      <c r="AE41" s="457"/>
      <c r="AF41" s="78"/>
      <c r="AG41" s="169"/>
      <c r="AH41" s="632"/>
      <c r="AJ41" s="405" t="str">
        <f t="shared" si="30"/>
        <v/>
      </c>
      <c r="AK41" s="406" t="str">
        <f t="shared" si="31"/>
        <v/>
      </c>
    </row>
    <row r="42" spans="1:37" ht="19.2" customHeight="1">
      <c r="A42" s="644"/>
      <c r="B42" s="457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457"/>
      <c r="J42" s="129"/>
      <c r="K42" s="85"/>
      <c r="L42" s="118"/>
      <c r="M42" s="467" t="s">
        <v>15</v>
      </c>
      <c r="N42" s="85"/>
      <c r="O42" s="118"/>
      <c r="P42" s="84"/>
      <c r="Q42" s="119"/>
      <c r="R42" s="458"/>
      <c r="S42" s="615"/>
      <c r="T42" s="80"/>
      <c r="U42" s="80"/>
      <c r="V42" s="457"/>
      <c r="W42" s="120">
        <f t="shared" si="29"/>
        <v>0</v>
      </c>
      <c r="X42" s="158"/>
      <c r="Y42" s="158"/>
      <c r="Z42" s="159"/>
      <c r="AA42" s="159"/>
      <c r="AB42" s="616"/>
      <c r="AC42" s="616"/>
      <c r="AD42" s="457"/>
      <c r="AE42" s="457"/>
      <c r="AF42" s="78"/>
      <c r="AG42" s="169"/>
      <c r="AH42" s="632"/>
      <c r="AJ42" s="405" t="str">
        <f t="shared" si="30"/>
        <v/>
      </c>
      <c r="AK42" s="406" t="str">
        <f t="shared" si="31"/>
        <v/>
      </c>
    </row>
    <row r="43" spans="1:37" ht="19.2" customHeight="1">
      <c r="A43" s="644"/>
      <c r="B43" s="156">
        <v>0</v>
      </c>
      <c r="C43" s="132" t="s">
        <v>448</v>
      </c>
      <c r="D43" s="612" t="s">
        <v>377</v>
      </c>
      <c r="E43" s="612"/>
      <c r="F43" s="133"/>
      <c r="G43" s="103"/>
      <c r="H43" s="134"/>
      <c r="I43" s="135"/>
      <c r="J43" s="103">
        <v>14.333333333333334</v>
      </c>
      <c r="K43" s="103">
        <v>1905</v>
      </c>
      <c r="L43" s="136">
        <v>140.54871871048343</v>
      </c>
      <c r="M43" s="103">
        <f t="shared" ref="M43:O43" si="32">AVERAGE(M31:M42)</f>
        <v>14.5</v>
      </c>
      <c r="N43" s="103">
        <f t="shared" si="32"/>
        <v>1739.1182917041522</v>
      </c>
      <c r="O43" s="136">
        <f t="shared" si="32"/>
        <v>127.01003817922391</v>
      </c>
      <c r="P43" s="84">
        <f>M43-J43</f>
        <v>0.16666666666666607</v>
      </c>
      <c r="Q43" s="119">
        <f>N43-K43</f>
        <v>-165.88170829584783</v>
      </c>
      <c r="R43" s="137">
        <f t="shared" ref="R43:R50" si="33">O43/L43</f>
        <v>0.90367268620108965</v>
      </c>
      <c r="S43" s="615"/>
      <c r="T43" s="80"/>
      <c r="U43" s="80"/>
      <c r="V43" s="457"/>
      <c r="W43" s="457"/>
      <c r="X43" s="158"/>
      <c r="Y43" s="158"/>
      <c r="Z43" s="171">
        <f>SUM(Z31:Z42)</f>
        <v>0</v>
      </c>
      <c r="AA43" s="171">
        <f>SUM(AA31:AA42)</f>
        <v>0</v>
      </c>
      <c r="AB43" s="616"/>
      <c r="AC43" s="616"/>
      <c r="AD43" s="139">
        <f>SUM(AD31:AD42)</f>
        <v>1</v>
      </c>
      <c r="AE43" s="139">
        <f>SUM(AE31:AE42)</f>
        <v>0</v>
      </c>
      <c r="AF43" s="78">
        <f t="shared" ref="AF43:AF54" si="34">N43-K43</f>
        <v>-165.88170829584783</v>
      </c>
      <c r="AG43" s="462">
        <f t="shared" si="7"/>
        <v>0.91292298777120851</v>
      </c>
      <c r="AH43" s="632"/>
      <c r="AJ43" s="182"/>
    </row>
    <row r="44" spans="1:37" s="182" customFormat="1" ht="19.2" customHeight="1">
      <c r="A44" s="654" t="s">
        <v>449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2025</v>
      </c>
      <c r="H44" s="75">
        <f>F44*G44</f>
        <v>50078.25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0" si="35">G44/W44*60</f>
        <v>2094.8275862068967</v>
      </c>
      <c r="O44" s="177">
        <f t="shared" ref="O44:O50" si="36">N44/M44</f>
        <v>418.96551724137936</v>
      </c>
      <c r="P44" s="81">
        <f t="shared" ref="P44:P50" si="37">M44-J44</f>
        <v>1</v>
      </c>
      <c r="Q44" s="178">
        <f t="shared" ref="Q44:Q50" si="38">O44-L44</f>
        <v>-81.034482758620641</v>
      </c>
      <c r="R44" s="179">
        <f t="shared" si="33"/>
        <v>0.83793103448275874</v>
      </c>
      <c r="S44" s="631">
        <f>R56</f>
        <v>0.89882252728342182</v>
      </c>
      <c r="T44" s="152">
        <v>0.16666666666666666</v>
      </c>
      <c r="U44" s="152">
        <v>0.20694444444444443</v>
      </c>
      <c r="V44" s="153">
        <v>5</v>
      </c>
      <c r="W44" s="180">
        <f t="shared" ref="W44:W56" si="39">(U44-T44)*24*60</f>
        <v>57.999999999999993</v>
      </c>
      <c r="X44" s="158"/>
      <c r="Y44" s="158"/>
      <c r="Z44" s="159"/>
      <c r="AA44" s="159"/>
      <c r="AB44" s="616"/>
      <c r="AC44" s="616"/>
      <c r="AD44" s="457"/>
      <c r="AE44" s="457"/>
      <c r="AF44" s="181">
        <f t="shared" si="34"/>
        <v>94.82758620689674</v>
      </c>
      <c r="AG44" s="464">
        <f t="shared" si="7"/>
        <v>1.0474137931034484</v>
      </c>
      <c r="AH44" s="648">
        <f>AG56</f>
        <v>0.98337139539158602</v>
      </c>
    </row>
    <row r="45" spans="1:37" s="182" customFormat="1" ht="19.2" customHeight="1">
      <c r="A45" s="655"/>
      <c r="B45" s="127" t="s">
        <v>165</v>
      </c>
      <c r="C45" s="172"/>
      <c r="D45" s="71" t="s">
        <v>113</v>
      </c>
      <c r="E45" s="72"/>
      <c r="F45" s="174">
        <v>24.73</v>
      </c>
      <c r="G45" s="145">
        <v>1778</v>
      </c>
      <c r="H45" s="75">
        <f>F45*G45</f>
        <v>43969.94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2091.7647058823536</v>
      </c>
      <c r="O45" s="177">
        <f t="shared" si="36"/>
        <v>418.35294117647072</v>
      </c>
      <c r="P45" s="81">
        <f t="shared" si="37"/>
        <v>1</v>
      </c>
      <c r="Q45" s="178">
        <f t="shared" si="38"/>
        <v>-81.647058823529278</v>
      </c>
      <c r="R45" s="179">
        <f t="shared" si="33"/>
        <v>0.83670588235294141</v>
      </c>
      <c r="S45" s="631"/>
      <c r="T45" s="80">
        <v>0.21041666666666664</v>
      </c>
      <c r="U45" s="80">
        <v>0.24583333333333329</v>
      </c>
      <c r="V45" s="153">
        <v>5</v>
      </c>
      <c r="W45" s="180">
        <f t="shared" si="39"/>
        <v>50.999999999999979</v>
      </c>
      <c r="X45" s="158"/>
      <c r="Y45" s="158"/>
      <c r="Z45" s="159"/>
      <c r="AA45" s="159"/>
      <c r="AB45" s="616"/>
      <c r="AC45" s="616"/>
      <c r="AD45" s="457"/>
      <c r="AE45" s="457"/>
      <c r="AF45" s="181">
        <f t="shared" si="34"/>
        <v>91.76470588235361</v>
      </c>
      <c r="AG45" s="464">
        <f t="shared" si="7"/>
        <v>1.0458823529411767</v>
      </c>
      <c r="AH45" s="648"/>
    </row>
    <row r="46" spans="1:37" s="182" customFormat="1" ht="19.2" customHeight="1">
      <c r="A46" s="655"/>
      <c r="B46" s="127" t="s">
        <v>163</v>
      </c>
      <c r="C46" s="172"/>
      <c r="D46" s="71" t="s">
        <v>114</v>
      </c>
      <c r="E46" s="72"/>
      <c r="F46" s="174">
        <v>28.26</v>
      </c>
      <c r="G46" s="145">
        <v>1198</v>
      </c>
      <c r="H46" s="75">
        <f t="shared" ref="H46:H55" si="40">F46*G46</f>
        <v>33855.480000000003</v>
      </c>
      <c r="I46" s="183"/>
      <c r="J46" s="176">
        <v>7</v>
      </c>
      <c r="K46" s="163">
        <v>1500</v>
      </c>
      <c r="L46" s="177">
        <v>214.28571428571428</v>
      </c>
      <c r="M46" s="92">
        <v>7</v>
      </c>
      <c r="N46" s="163">
        <f t="shared" si="35"/>
        <v>1437.6000000000004</v>
      </c>
      <c r="O46" s="177">
        <f t="shared" si="36"/>
        <v>205.37142857142862</v>
      </c>
      <c r="P46" s="81">
        <f t="shared" si="37"/>
        <v>0</v>
      </c>
      <c r="Q46" s="178">
        <f t="shared" si="38"/>
        <v>-8.9142857142856542</v>
      </c>
      <c r="R46" s="179">
        <f t="shared" si="33"/>
        <v>0.95840000000000025</v>
      </c>
      <c r="S46" s="631"/>
      <c r="T46" s="80">
        <v>0.2493055555555555</v>
      </c>
      <c r="U46" s="80">
        <v>0.28402777777777771</v>
      </c>
      <c r="V46" s="153">
        <v>5</v>
      </c>
      <c r="W46" s="180">
        <f t="shared" si="39"/>
        <v>49.999999999999986</v>
      </c>
      <c r="X46" s="158"/>
      <c r="Y46" s="158"/>
      <c r="Z46" s="159"/>
      <c r="AA46" s="159"/>
      <c r="AB46" s="616"/>
      <c r="AC46" s="616"/>
      <c r="AD46" s="457"/>
      <c r="AE46" s="457">
        <v>1</v>
      </c>
      <c r="AF46" s="181">
        <f t="shared" si="34"/>
        <v>-62.399999999999636</v>
      </c>
      <c r="AG46" s="464">
        <f t="shared" si="7"/>
        <v>0.95840000000000025</v>
      </c>
      <c r="AH46" s="648"/>
    </row>
    <row r="47" spans="1:37" s="182" customFormat="1" ht="19.2" customHeight="1">
      <c r="A47" s="655"/>
      <c r="B47" s="127" t="s">
        <v>163</v>
      </c>
      <c r="C47" s="172"/>
      <c r="D47" s="71" t="s">
        <v>115</v>
      </c>
      <c r="E47" s="184"/>
      <c r="F47" s="174">
        <v>28.47</v>
      </c>
      <c r="G47" s="163">
        <v>1020</v>
      </c>
      <c r="H47" s="75">
        <f t="shared" si="40"/>
        <v>29039.399999999998</v>
      </c>
      <c r="I47" s="183"/>
      <c r="J47" s="176">
        <v>7</v>
      </c>
      <c r="K47" s="163">
        <v>1500</v>
      </c>
      <c r="L47" s="177">
        <v>214.28571428571428</v>
      </c>
      <c r="M47" s="164">
        <v>7</v>
      </c>
      <c r="N47" s="163">
        <f t="shared" si="35"/>
        <v>1423.2558139534881</v>
      </c>
      <c r="O47" s="177">
        <f t="shared" si="36"/>
        <v>203.32225913621258</v>
      </c>
      <c r="P47" s="81">
        <f t="shared" si="37"/>
        <v>0</v>
      </c>
      <c r="Q47" s="178">
        <f t="shared" si="38"/>
        <v>-10.963455149501698</v>
      </c>
      <c r="R47" s="179">
        <f t="shared" si="33"/>
        <v>0.9488372093023254</v>
      </c>
      <c r="S47" s="631"/>
      <c r="T47" s="80">
        <v>0.28749999999999992</v>
      </c>
      <c r="U47" s="80">
        <v>0.31736111111111104</v>
      </c>
      <c r="V47" s="163">
        <v>5</v>
      </c>
      <c r="W47" s="180">
        <f t="shared" si="39"/>
        <v>43.000000000000007</v>
      </c>
      <c r="X47" s="158"/>
      <c r="Y47" s="158"/>
      <c r="Z47" s="159"/>
      <c r="AA47" s="159"/>
      <c r="AB47" s="616"/>
      <c r="AC47" s="616"/>
      <c r="AD47" s="457"/>
      <c r="AE47" s="457"/>
      <c r="AF47" s="181">
        <f t="shared" si="34"/>
        <v>-76.744186046511913</v>
      </c>
      <c r="AG47" s="464">
        <f t="shared" si="7"/>
        <v>0.9488372093023254</v>
      </c>
      <c r="AH47" s="648"/>
    </row>
    <row r="48" spans="1:37" s="182" customFormat="1" ht="19.2" customHeight="1">
      <c r="A48" s="655"/>
      <c r="B48" s="127" t="s">
        <v>163</v>
      </c>
      <c r="C48" s="172"/>
      <c r="D48" s="71" t="s">
        <v>116</v>
      </c>
      <c r="E48" s="184"/>
      <c r="F48" s="174">
        <v>11.86</v>
      </c>
      <c r="G48" s="163">
        <v>1303</v>
      </c>
      <c r="H48" s="75">
        <f t="shared" si="40"/>
        <v>15453.58</v>
      </c>
      <c r="I48" s="183"/>
      <c r="J48" s="176">
        <v>6</v>
      </c>
      <c r="K48" s="163">
        <v>1636</v>
      </c>
      <c r="L48" s="177">
        <v>272.66666666666669</v>
      </c>
      <c r="M48" s="164">
        <v>6</v>
      </c>
      <c r="N48" s="163">
        <f t="shared" si="35"/>
        <v>1475.0943396226423</v>
      </c>
      <c r="O48" s="177">
        <f t="shared" si="36"/>
        <v>245.84905660377373</v>
      </c>
      <c r="P48" s="81">
        <f t="shared" si="37"/>
        <v>0</v>
      </c>
      <c r="Q48" s="178">
        <f t="shared" si="38"/>
        <v>-26.817610062892953</v>
      </c>
      <c r="R48" s="179">
        <f t="shared" si="33"/>
        <v>0.90164690685980575</v>
      </c>
      <c r="S48" s="631"/>
      <c r="T48" s="80">
        <v>0.33472222222222214</v>
      </c>
      <c r="U48" s="80">
        <v>0.37152777777777768</v>
      </c>
      <c r="V48" s="145">
        <v>25</v>
      </c>
      <c r="W48" s="180">
        <f t="shared" si="39"/>
        <v>52.999999999999972</v>
      </c>
      <c r="X48" s="158">
        <v>0.32222222222222224</v>
      </c>
      <c r="Y48" s="158">
        <v>0.33333333333333331</v>
      </c>
      <c r="Z48" s="159"/>
      <c r="AA48" s="159"/>
      <c r="AB48" s="616"/>
      <c r="AC48" s="616"/>
      <c r="AD48" s="457"/>
      <c r="AE48" s="457"/>
      <c r="AF48" s="181">
        <f t="shared" si="34"/>
        <v>-160.90566037735766</v>
      </c>
      <c r="AG48" s="464">
        <f t="shared" si="7"/>
        <v>0.90164690685980586</v>
      </c>
      <c r="AH48" s="648"/>
    </row>
    <row r="49" spans="1:34" s="182" customFormat="1" ht="19.2" customHeight="1">
      <c r="A49" s="655"/>
      <c r="B49" s="127" t="s">
        <v>166</v>
      </c>
      <c r="C49" s="172"/>
      <c r="D49" s="71" t="s">
        <v>117</v>
      </c>
      <c r="E49" s="184"/>
      <c r="F49" s="174">
        <v>10.09</v>
      </c>
      <c r="G49" s="145">
        <v>3969.57</v>
      </c>
      <c r="H49" s="75">
        <f t="shared" si="40"/>
        <v>40052.961300000003</v>
      </c>
      <c r="I49" s="183"/>
      <c r="J49" s="176">
        <v>6</v>
      </c>
      <c r="K49" s="163">
        <v>1500</v>
      </c>
      <c r="L49" s="177">
        <v>250</v>
      </c>
      <c r="M49" s="164">
        <v>6</v>
      </c>
      <c r="N49" s="163">
        <f t="shared" si="35"/>
        <v>1470.2111111111114</v>
      </c>
      <c r="O49" s="177">
        <f t="shared" si="36"/>
        <v>245.03518518518524</v>
      </c>
      <c r="P49" s="81">
        <f t="shared" si="37"/>
        <v>0</v>
      </c>
      <c r="Q49" s="178">
        <f t="shared" si="38"/>
        <v>-4.9648148148147584</v>
      </c>
      <c r="R49" s="179">
        <f t="shared" si="33"/>
        <v>0.98014074074074098</v>
      </c>
      <c r="S49" s="631"/>
      <c r="T49" s="80">
        <v>0.37708333333333321</v>
      </c>
      <c r="U49" s="80">
        <v>0.4895833333333332</v>
      </c>
      <c r="V49" s="145">
        <v>8</v>
      </c>
      <c r="W49" s="180">
        <f t="shared" si="39"/>
        <v>161.99999999999997</v>
      </c>
      <c r="X49" s="185"/>
      <c r="Y49" s="185"/>
      <c r="Z49" s="186"/>
      <c r="AA49" s="159"/>
      <c r="AB49" s="616"/>
      <c r="AC49" s="616"/>
      <c r="AD49" s="457"/>
      <c r="AE49" s="457"/>
      <c r="AF49" s="181">
        <f t="shared" si="34"/>
        <v>-29.78888888888855</v>
      </c>
      <c r="AG49" s="464">
        <f t="shared" si="7"/>
        <v>0.98014074074074098</v>
      </c>
      <c r="AH49" s="648"/>
    </row>
    <row r="50" spans="1:34" s="182" customFormat="1" ht="19.2" customHeight="1">
      <c r="A50" s="655"/>
      <c r="B50" s="127" t="s">
        <v>166</v>
      </c>
      <c r="C50" s="172"/>
      <c r="D50" s="71" t="s">
        <v>117</v>
      </c>
      <c r="E50" s="184"/>
      <c r="F50" s="174">
        <v>10.09</v>
      </c>
      <c r="G50" s="145">
        <v>3624.39</v>
      </c>
      <c r="H50" s="75">
        <f t="shared" si="40"/>
        <v>36570.095099999999</v>
      </c>
      <c r="I50" s="183"/>
      <c r="J50" s="176">
        <v>6</v>
      </c>
      <c r="K50" s="163">
        <v>1500</v>
      </c>
      <c r="L50" s="177">
        <v>250</v>
      </c>
      <c r="M50" s="164">
        <v>6</v>
      </c>
      <c r="N50" s="163">
        <f t="shared" si="35"/>
        <v>1449.7560000000005</v>
      </c>
      <c r="O50" s="177">
        <f t="shared" si="36"/>
        <v>241.62600000000009</v>
      </c>
      <c r="P50" s="81">
        <f t="shared" si="37"/>
        <v>0</v>
      </c>
      <c r="Q50" s="178">
        <f t="shared" si="38"/>
        <v>-8.37399999999991</v>
      </c>
      <c r="R50" s="179">
        <f t="shared" si="33"/>
        <v>0.96650400000000036</v>
      </c>
      <c r="S50" s="631"/>
      <c r="T50" s="80">
        <v>0.52916666666666656</v>
      </c>
      <c r="U50" s="80">
        <v>0.63333333333333319</v>
      </c>
      <c r="V50" s="145">
        <v>4</v>
      </c>
      <c r="W50" s="180">
        <f t="shared" si="39"/>
        <v>149.99999999999994</v>
      </c>
      <c r="X50" s="185"/>
      <c r="Y50" s="185"/>
      <c r="Z50" s="186"/>
      <c r="AA50" s="186"/>
      <c r="AB50" s="616"/>
      <c r="AC50" s="616"/>
      <c r="AD50" s="457"/>
      <c r="AE50" s="457"/>
      <c r="AF50" s="181">
        <f t="shared" si="34"/>
        <v>-50.24399999999946</v>
      </c>
      <c r="AG50" s="464">
        <f t="shared" si="7"/>
        <v>0.96650400000000036</v>
      </c>
      <c r="AH50" s="648"/>
    </row>
    <row r="51" spans="1:34" s="182" customFormat="1" ht="19.2" customHeight="1">
      <c r="A51" s="655"/>
      <c r="B51" s="127">
        <v>0</v>
      </c>
      <c r="C51" s="172"/>
      <c r="D51" s="165"/>
      <c r="E51" s="184"/>
      <c r="F51" s="174" t="s">
        <v>161</v>
      </c>
      <c r="G51" s="145"/>
      <c r="H51" s="75">
        <f t="shared" si="40"/>
        <v>0</v>
      </c>
      <c r="I51" s="183"/>
      <c r="J51" s="176"/>
      <c r="K51" s="163"/>
      <c r="L51" s="177"/>
      <c r="M51" s="164"/>
      <c r="N51" s="163"/>
      <c r="O51" s="177"/>
      <c r="P51" s="81"/>
      <c r="Q51" s="178"/>
      <c r="R51" s="179"/>
      <c r="S51" s="631"/>
      <c r="T51" s="167"/>
      <c r="U51" s="167"/>
      <c r="V51" s="145"/>
      <c r="W51" s="180">
        <f t="shared" si="39"/>
        <v>0</v>
      </c>
      <c r="X51" s="185"/>
      <c r="Y51" s="185"/>
      <c r="Z51" s="186"/>
      <c r="AA51" s="186"/>
      <c r="AB51" s="616"/>
      <c r="AC51" s="616"/>
      <c r="AD51" s="457"/>
      <c r="AE51" s="457"/>
      <c r="AF51" s="181">
        <f t="shared" si="34"/>
        <v>0</v>
      </c>
      <c r="AG51" s="464" t="e">
        <f t="shared" si="7"/>
        <v>#DIV/0!</v>
      </c>
      <c r="AH51" s="648"/>
    </row>
    <row r="52" spans="1:34" s="182" customFormat="1" ht="19.2" customHeight="1">
      <c r="A52" s="655"/>
      <c r="B52" s="127">
        <v>0</v>
      </c>
      <c r="C52" s="172"/>
      <c r="D52" s="165"/>
      <c r="E52" s="184"/>
      <c r="F52" s="174" t="s">
        <v>161</v>
      </c>
      <c r="G52" s="145"/>
      <c r="H52" s="75">
        <f t="shared" si="40"/>
        <v>0</v>
      </c>
      <c r="I52" s="183"/>
      <c r="J52" s="176"/>
      <c r="K52" s="163"/>
      <c r="L52" s="177"/>
      <c r="M52" s="164"/>
      <c r="N52" s="163"/>
      <c r="O52" s="177"/>
      <c r="P52" s="81"/>
      <c r="Q52" s="178"/>
      <c r="R52" s="179"/>
      <c r="S52" s="631"/>
      <c r="T52" s="167"/>
      <c r="U52" s="167"/>
      <c r="V52" s="145"/>
      <c r="W52" s="180">
        <f t="shared" si="39"/>
        <v>0</v>
      </c>
      <c r="X52" s="185"/>
      <c r="Y52" s="185"/>
      <c r="Z52" s="186"/>
      <c r="AA52" s="186"/>
      <c r="AB52" s="616"/>
      <c r="AC52" s="616"/>
      <c r="AD52" s="457"/>
      <c r="AE52" s="457"/>
      <c r="AF52" s="181">
        <f t="shared" si="34"/>
        <v>0</v>
      </c>
      <c r="AG52" s="464" t="e">
        <f t="shared" si="7"/>
        <v>#DIV/0!</v>
      </c>
      <c r="AH52" s="648"/>
    </row>
    <row r="53" spans="1:34" s="182" customFormat="1" ht="19.2" customHeight="1">
      <c r="A53" s="655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458"/>
      <c r="S53" s="631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616"/>
      <c r="AC53" s="616"/>
      <c r="AD53" s="457"/>
      <c r="AE53" s="457"/>
      <c r="AF53" s="181">
        <f t="shared" si="34"/>
        <v>0</v>
      </c>
      <c r="AG53" s="464" t="e">
        <f t="shared" si="7"/>
        <v>#DIV/0!</v>
      </c>
      <c r="AH53" s="648"/>
    </row>
    <row r="54" spans="1:34" s="182" customFormat="1" ht="19.2" customHeight="1">
      <c r="A54" s="655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458"/>
      <c r="S54" s="631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616"/>
      <c r="AC54" s="616"/>
      <c r="AD54" s="457"/>
      <c r="AE54" s="457"/>
      <c r="AF54" s="181">
        <f t="shared" si="34"/>
        <v>0</v>
      </c>
      <c r="AG54" s="464" t="e">
        <f t="shared" si="7"/>
        <v>#DIV/0!</v>
      </c>
      <c r="AH54" s="648"/>
    </row>
    <row r="55" spans="1:34" s="182" customFormat="1" ht="19.2" customHeight="1">
      <c r="A55" s="655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458"/>
      <c r="S55" s="631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616"/>
      <c r="AC55" s="616"/>
      <c r="AD55" s="457"/>
      <c r="AE55" s="457"/>
      <c r="AF55" s="181"/>
      <c r="AG55" s="464"/>
      <c r="AH55" s="648"/>
    </row>
    <row r="56" spans="1:34" ht="19.2" customHeight="1">
      <c r="A56" s="656"/>
      <c r="B56" s="190">
        <v>0</v>
      </c>
      <c r="C56" s="191" t="s">
        <v>450</v>
      </c>
      <c r="D56" s="653" t="s">
        <v>377</v>
      </c>
      <c r="E56" s="612"/>
      <c r="F56" s="133"/>
      <c r="G56" s="103"/>
      <c r="H56" s="134"/>
      <c r="I56" s="135"/>
      <c r="J56" s="103">
        <v>5.7142857142857144</v>
      </c>
      <c r="K56" s="103">
        <v>1662.2857142857142</v>
      </c>
      <c r="L56" s="136">
        <v>314.46258503401361</v>
      </c>
      <c r="M56" s="103">
        <f t="shared" ref="M56:O56" si="41">AVERAGE(M44:M55)</f>
        <v>6</v>
      </c>
      <c r="N56" s="103">
        <f t="shared" si="41"/>
        <v>1634.6442223966421</v>
      </c>
      <c r="O56" s="136">
        <f t="shared" si="41"/>
        <v>282.64605541635007</v>
      </c>
      <c r="P56" s="192">
        <f>M56-J56</f>
        <v>0.28571428571428559</v>
      </c>
      <c r="Q56" s="151">
        <f>N56-K56</f>
        <v>-27.641491889072086</v>
      </c>
      <c r="R56" s="193">
        <f t="shared" ref="R56:R60" si="42">O56/L56</f>
        <v>0.89882252728342182</v>
      </c>
      <c r="S56" s="631"/>
      <c r="T56" s="194"/>
      <c r="U56" s="194"/>
      <c r="V56" s="472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616"/>
      <c r="AC56" s="616"/>
      <c r="AD56" s="139">
        <f>SUM(AD44:AD55)</f>
        <v>0</v>
      </c>
      <c r="AE56" s="139">
        <f>SUM(AE44:AE55)</f>
        <v>1</v>
      </c>
      <c r="AF56" s="196">
        <f>N56-K56</f>
        <v>-27.641491889072086</v>
      </c>
      <c r="AG56" s="458">
        <f>N56/K56</f>
        <v>0.98337139539158602</v>
      </c>
      <c r="AH56" s="648"/>
    </row>
    <row r="57" spans="1:34" ht="19.2" customHeight="1">
      <c r="A57" s="643" t="s">
        <v>451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3864</v>
      </c>
      <c r="H57" s="116">
        <f t="shared" ref="H57:H66" si="43">F57*G57</f>
        <v>107728.31999999999</v>
      </c>
      <c r="I57" s="457"/>
      <c r="J57" s="129">
        <v>7</v>
      </c>
      <c r="K57" s="85">
        <v>1500</v>
      </c>
      <c r="L57" s="118">
        <v>214.28571428571428</v>
      </c>
      <c r="M57" s="467">
        <v>7</v>
      </c>
      <c r="N57" s="85">
        <f t="shared" ref="N57:N60" si="44">G57/W57*60</f>
        <v>1476.6878980891718</v>
      </c>
      <c r="O57" s="118">
        <f t="shared" ref="O57:O60" si="45">N57/M57</f>
        <v>210.95541401273883</v>
      </c>
      <c r="P57" s="197">
        <f t="shared" ref="P57:P60" si="46">M57-J57</f>
        <v>0</v>
      </c>
      <c r="Q57" s="79">
        <f t="shared" ref="Q57:Q60" si="47">O57-L57</f>
        <v>-3.3303002729754496</v>
      </c>
      <c r="R57" s="461">
        <f t="shared" si="42"/>
        <v>0.98445859872611452</v>
      </c>
      <c r="S57" s="631">
        <f>R69</f>
        <v>0.96936648365262712</v>
      </c>
      <c r="T57" s="198">
        <v>0.16666666666666666</v>
      </c>
      <c r="U57" s="198">
        <v>0.27569444444444446</v>
      </c>
      <c r="V57" s="459">
        <v>5</v>
      </c>
      <c r="W57" s="469">
        <f>(U57-T57)*24*60</f>
        <v>157.00000000000003</v>
      </c>
      <c r="X57" s="83"/>
      <c r="Y57" s="83"/>
      <c r="Z57" s="84"/>
      <c r="AA57" s="84"/>
      <c r="AB57" s="616"/>
      <c r="AC57" s="616"/>
      <c r="AD57" s="457"/>
      <c r="AE57" s="457"/>
      <c r="AF57" s="78">
        <f t="shared" si="6"/>
        <v>-23.312101910828233</v>
      </c>
      <c r="AG57" s="460">
        <f t="shared" si="7"/>
        <v>0.98445859872611452</v>
      </c>
      <c r="AH57" s="630">
        <f>AG69</f>
        <v>0.96946745082034946</v>
      </c>
    </row>
    <row r="58" spans="1:34" ht="19.2" customHeight="1">
      <c r="A58" s="644"/>
      <c r="B58" s="156" t="s">
        <v>163</v>
      </c>
      <c r="C58" s="457"/>
      <c r="D58" s="71" t="s">
        <v>119</v>
      </c>
      <c r="E58" s="72"/>
      <c r="F58" s="73">
        <v>28</v>
      </c>
      <c r="G58" s="74">
        <v>3302</v>
      </c>
      <c r="H58" s="75">
        <f t="shared" si="43"/>
        <v>92456</v>
      </c>
      <c r="I58" s="459"/>
      <c r="J58" s="76">
        <v>7</v>
      </c>
      <c r="K58" s="74">
        <v>1500</v>
      </c>
      <c r="L58" s="118">
        <v>214.28571428571428</v>
      </c>
      <c r="M58" s="470">
        <v>7</v>
      </c>
      <c r="N58" s="74">
        <f t="shared" si="44"/>
        <v>1435.6521739130435</v>
      </c>
      <c r="O58" s="77">
        <f t="shared" si="45"/>
        <v>205.09316770186336</v>
      </c>
      <c r="P58" s="197">
        <f t="shared" si="46"/>
        <v>0</v>
      </c>
      <c r="Q58" s="79">
        <f t="shared" si="47"/>
        <v>-9.1925465838509126</v>
      </c>
      <c r="R58" s="461">
        <f t="shared" si="42"/>
        <v>0.95710144927536245</v>
      </c>
      <c r="S58" s="631"/>
      <c r="T58" s="198">
        <v>0.28125</v>
      </c>
      <c r="U58" s="198">
        <v>0.37708333333333333</v>
      </c>
      <c r="V58" s="459">
        <v>8</v>
      </c>
      <c r="W58" s="469">
        <f>(U58-T58)*24*60</f>
        <v>138</v>
      </c>
      <c r="X58" s="83"/>
      <c r="Y58" s="83"/>
      <c r="Z58" s="84"/>
      <c r="AA58" s="84"/>
      <c r="AB58" s="649"/>
      <c r="AC58" s="650"/>
      <c r="AD58" s="457"/>
      <c r="AE58" s="457"/>
      <c r="AF58" s="78">
        <f t="shared" si="6"/>
        <v>-64.347826086956502</v>
      </c>
      <c r="AG58" s="461">
        <f t="shared" si="7"/>
        <v>0.95710144927536234</v>
      </c>
      <c r="AH58" s="631"/>
    </row>
    <row r="59" spans="1:34" ht="19.2" customHeight="1">
      <c r="A59" s="644"/>
      <c r="B59" s="156" t="s">
        <v>166</v>
      </c>
      <c r="C59" s="457"/>
      <c r="D59" s="71" t="s">
        <v>117</v>
      </c>
      <c r="E59" s="72"/>
      <c r="F59" s="73">
        <v>10.09</v>
      </c>
      <c r="G59" s="74">
        <v>4142.16</v>
      </c>
      <c r="H59" s="75">
        <f t="shared" si="43"/>
        <v>41794.394399999997</v>
      </c>
      <c r="I59" s="459"/>
      <c r="J59" s="76">
        <v>6</v>
      </c>
      <c r="K59" s="74">
        <v>1500</v>
      </c>
      <c r="L59" s="118">
        <v>250</v>
      </c>
      <c r="M59" s="470">
        <v>6</v>
      </c>
      <c r="N59" s="74">
        <f t="shared" si="44"/>
        <v>1453.389473684211</v>
      </c>
      <c r="O59" s="77">
        <f t="shared" si="45"/>
        <v>242.23157894736849</v>
      </c>
      <c r="P59" s="197">
        <f t="shared" si="46"/>
        <v>0</v>
      </c>
      <c r="Q59" s="79">
        <f t="shared" si="47"/>
        <v>-7.7684210526315098</v>
      </c>
      <c r="R59" s="461">
        <f t="shared" si="42"/>
        <v>0.96892631578947397</v>
      </c>
      <c r="S59" s="631"/>
      <c r="T59" s="198">
        <v>0.39444444444444443</v>
      </c>
      <c r="U59" s="198">
        <v>0.5131944444444444</v>
      </c>
      <c r="V59" s="153">
        <v>25</v>
      </c>
      <c r="W59" s="469">
        <f t="shared" ref="W59:W69" si="48">(U59-T59)*24*60</f>
        <v>170.99999999999994</v>
      </c>
      <c r="X59" s="83">
        <v>0.38194444444444442</v>
      </c>
      <c r="Y59" s="83">
        <v>0.39305555555555555</v>
      </c>
      <c r="Z59" s="84"/>
      <c r="AA59" s="84"/>
      <c r="AB59" s="616"/>
      <c r="AC59" s="616"/>
      <c r="AD59" s="457"/>
      <c r="AE59" s="457"/>
      <c r="AF59" s="78">
        <f t="shared" si="6"/>
        <v>-46.610526315789002</v>
      </c>
      <c r="AG59" s="461">
        <f t="shared" si="7"/>
        <v>0.96892631578947397</v>
      </c>
      <c r="AH59" s="631"/>
    </row>
    <row r="60" spans="1:34" ht="19.2" customHeight="1">
      <c r="A60" s="644"/>
      <c r="B60" s="156" t="s">
        <v>166</v>
      </c>
      <c r="C60" s="457"/>
      <c r="D60" s="71" t="s">
        <v>117</v>
      </c>
      <c r="E60" s="72"/>
      <c r="F60" s="73">
        <v>10.09</v>
      </c>
      <c r="G60" s="74">
        <v>3796.98</v>
      </c>
      <c r="H60" s="75">
        <f t="shared" si="43"/>
        <v>38311.528200000001</v>
      </c>
      <c r="I60" s="459"/>
      <c r="J60" s="76">
        <v>6</v>
      </c>
      <c r="K60" s="74">
        <v>1500</v>
      </c>
      <c r="L60" s="118">
        <v>250</v>
      </c>
      <c r="M60" s="470">
        <v>6</v>
      </c>
      <c r="N60" s="74">
        <f t="shared" si="44"/>
        <v>1451.0751592356696</v>
      </c>
      <c r="O60" s="77">
        <f t="shared" si="45"/>
        <v>241.84585987261161</v>
      </c>
      <c r="P60" s="197">
        <f t="shared" si="46"/>
        <v>0</v>
      </c>
      <c r="Q60" s="79">
        <f t="shared" si="47"/>
        <v>-8.1541401273883878</v>
      </c>
      <c r="R60" s="461">
        <f t="shared" si="42"/>
        <v>0.96738343949044647</v>
      </c>
      <c r="S60" s="631"/>
      <c r="T60" s="198">
        <v>0.55347222222222214</v>
      </c>
      <c r="U60" s="198">
        <v>0.66249999999999987</v>
      </c>
      <c r="V60" s="153">
        <v>5</v>
      </c>
      <c r="W60" s="469">
        <f t="shared" si="48"/>
        <v>156.99999999999991</v>
      </c>
      <c r="X60" s="83"/>
      <c r="Y60" s="83"/>
      <c r="Z60" s="84"/>
      <c r="AA60" s="84"/>
      <c r="AB60" s="616"/>
      <c r="AC60" s="616"/>
      <c r="AD60" s="457"/>
      <c r="AE60" s="457"/>
      <c r="AF60" s="78">
        <f t="shared" si="6"/>
        <v>-48.924840764330384</v>
      </c>
      <c r="AG60" s="460">
        <f t="shared" si="7"/>
        <v>0.96738343949044636</v>
      </c>
      <c r="AH60" s="631"/>
    </row>
    <row r="61" spans="1:34" ht="19.2" customHeight="1">
      <c r="A61" s="644"/>
      <c r="B61" s="156">
        <v>0</v>
      </c>
      <c r="C61" s="457"/>
      <c r="D61" s="71"/>
      <c r="E61" s="72"/>
      <c r="F61" s="73" t="s">
        <v>161</v>
      </c>
      <c r="G61" s="74"/>
      <c r="H61" s="75">
        <f t="shared" si="43"/>
        <v>0</v>
      </c>
      <c r="I61" s="459"/>
      <c r="J61" s="76"/>
      <c r="K61" s="74"/>
      <c r="L61" s="118"/>
      <c r="M61" s="470"/>
      <c r="N61" s="74"/>
      <c r="O61" s="77"/>
      <c r="P61" s="197"/>
      <c r="Q61" s="79"/>
      <c r="R61" s="461"/>
      <c r="S61" s="631"/>
      <c r="T61" s="198"/>
      <c r="U61" s="198"/>
      <c r="V61" s="153"/>
      <c r="W61" s="469">
        <f t="shared" si="48"/>
        <v>0</v>
      </c>
      <c r="X61" s="83"/>
      <c r="Y61" s="83"/>
      <c r="Z61" s="84"/>
      <c r="AA61" s="84"/>
      <c r="AB61" s="616"/>
      <c r="AC61" s="616"/>
      <c r="AD61" s="457"/>
      <c r="AE61" s="457"/>
      <c r="AF61" s="78">
        <f t="shared" si="6"/>
        <v>0</v>
      </c>
      <c r="AG61" s="461" t="e">
        <f t="shared" si="7"/>
        <v>#DIV/0!</v>
      </c>
      <c r="AH61" s="631"/>
    </row>
    <row r="62" spans="1:34" ht="19.2" customHeight="1">
      <c r="A62" s="644"/>
      <c r="B62" s="156">
        <v>0</v>
      </c>
      <c r="C62" s="457"/>
      <c r="D62" s="71"/>
      <c r="E62" s="72"/>
      <c r="F62" s="73" t="s">
        <v>161</v>
      </c>
      <c r="G62" s="145"/>
      <c r="H62" s="75">
        <f t="shared" si="43"/>
        <v>0</v>
      </c>
      <c r="I62" s="459"/>
      <c r="J62" s="76"/>
      <c r="K62" s="74"/>
      <c r="L62" s="118"/>
      <c r="M62" s="92"/>
      <c r="N62" s="74"/>
      <c r="O62" s="77"/>
      <c r="P62" s="197"/>
      <c r="Q62" s="79"/>
      <c r="R62" s="461"/>
      <c r="S62" s="631"/>
      <c r="T62" s="199"/>
      <c r="U62" s="199"/>
      <c r="V62" s="153"/>
      <c r="W62" s="469">
        <f t="shared" si="48"/>
        <v>0</v>
      </c>
      <c r="X62" s="83"/>
      <c r="Y62" s="83"/>
      <c r="Z62" s="84"/>
      <c r="AA62" s="84"/>
      <c r="AB62" s="616"/>
      <c r="AC62" s="616"/>
      <c r="AD62" s="457"/>
      <c r="AE62" s="457"/>
      <c r="AF62" s="78">
        <f t="shared" si="6"/>
        <v>0</v>
      </c>
      <c r="AG62" s="461" t="e">
        <f t="shared" si="7"/>
        <v>#DIV/0!</v>
      </c>
      <c r="AH62" s="631"/>
    </row>
    <row r="63" spans="1:34" ht="19.2" customHeight="1">
      <c r="A63" s="644"/>
      <c r="B63" s="156">
        <v>0</v>
      </c>
      <c r="C63" s="457"/>
      <c r="D63" s="71"/>
      <c r="E63" s="72"/>
      <c r="F63" s="73" t="s">
        <v>161</v>
      </c>
      <c r="G63" s="145"/>
      <c r="H63" s="75">
        <f t="shared" si="43"/>
        <v>0</v>
      </c>
      <c r="I63" s="459"/>
      <c r="J63" s="76"/>
      <c r="K63" s="74"/>
      <c r="L63" s="118"/>
      <c r="M63" s="92" t="s">
        <v>15</v>
      </c>
      <c r="N63" s="74"/>
      <c r="O63" s="77"/>
      <c r="P63" s="197"/>
      <c r="Q63" s="79"/>
      <c r="R63" s="461"/>
      <c r="S63" s="631"/>
      <c r="T63" s="199"/>
      <c r="U63" s="199"/>
      <c r="V63" s="153"/>
      <c r="W63" s="469">
        <f t="shared" si="48"/>
        <v>0</v>
      </c>
      <c r="X63" s="83"/>
      <c r="Y63" s="83"/>
      <c r="Z63" s="84"/>
      <c r="AA63" s="84"/>
      <c r="AB63" s="616"/>
      <c r="AC63" s="616"/>
      <c r="AD63" s="457"/>
      <c r="AE63" s="457"/>
      <c r="AF63" s="78">
        <f t="shared" si="6"/>
        <v>0</v>
      </c>
      <c r="AG63" s="460" t="e">
        <f t="shared" si="7"/>
        <v>#DIV/0!</v>
      </c>
      <c r="AH63" s="631"/>
    </row>
    <row r="64" spans="1:34" ht="19.2" customHeight="1">
      <c r="A64" s="645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459"/>
      <c r="J64" s="202"/>
      <c r="K64" s="91"/>
      <c r="L64" s="118"/>
      <c r="M64" s="92"/>
      <c r="N64" s="74"/>
      <c r="O64" s="77"/>
      <c r="P64" s="197"/>
      <c r="Q64" s="79"/>
      <c r="R64" s="461"/>
      <c r="S64" s="631"/>
      <c r="T64" s="199"/>
      <c r="U64" s="199"/>
      <c r="V64" s="153"/>
      <c r="W64" s="469">
        <f t="shared" si="48"/>
        <v>0</v>
      </c>
      <c r="X64" s="459"/>
      <c r="Y64" s="459"/>
      <c r="Z64" s="84"/>
      <c r="AA64" s="84"/>
      <c r="AB64" s="616"/>
      <c r="AC64" s="616"/>
      <c r="AD64" s="457"/>
      <c r="AE64" s="457"/>
      <c r="AF64" s="78">
        <f t="shared" si="6"/>
        <v>0</v>
      </c>
      <c r="AG64" s="461" t="e">
        <f t="shared" si="7"/>
        <v>#DIV/0!</v>
      </c>
      <c r="AH64" s="631"/>
    </row>
    <row r="65" spans="1:37" ht="19.2" customHeight="1">
      <c r="A65" s="645"/>
      <c r="B65" s="127">
        <v>0</v>
      </c>
      <c r="C65" s="465"/>
      <c r="D65" s="71"/>
      <c r="E65" s="72"/>
      <c r="F65" s="73" t="s">
        <v>161</v>
      </c>
      <c r="G65" s="145"/>
      <c r="H65" s="75">
        <f t="shared" si="43"/>
        <v>0</v>
      </c>
      <c r="I65" s="459"/>
      <c r="J65" s="202"/>
      <c r="K65" s="91"/>
      <c r="L65" s="118"/>
      <c r="M65" s="92"/>
      <c r="N65" s="91"/>
      <c r="O65" s="108"/>
      <c r="P65" s="78"/>
      <c r="Q65" s="79"/>
      <c r="R65" s="461"/>
      <c r="S65" s="631"/>
      <c r="T65" s="199"/>
      <c r="U65" s="199"/>
      <c r="V65" s="153"/>
      <c r="W65" s="469">
        <f t="shared" si="48"/>
        <v>0</v>
      </c>
      <c r="X65" s="459"/>
      <c r="Y65" s="459"/>
      <c r="Z65" s="84"/>
      <c r="AA65" s="84"/>
      <c r="AB65" s="616"/>
      <c r="AC65" s="616"/>
      <c r="AD65" s="457"/>
      <c r="AE65" s="457"/>
      <c r="AF65" s="78">
        <f t="shared" si="6"/>
        <v>0</v>
      </c>
      <c r="AG65" s="461" t="e">
        <f t="shared" si="7"/>
        <v>#DIV/0!</v>
      </c>
      <c r="AH65" s="631"/>
    </row>
    <row r="66" spans="1:37" ht="19.2" customHeight="1">
      <c r="A66" s="645"/>
      <c r="B66" s="127">
        <v>0</v>
      </c>
      <c r="C66" s="465"/>
      <c r="D66" s="71"/>
      <c r="E66" s="72"/>
      <c r="F66" s="73" t="s">
        <v>161</v>
      </c>
      <c r="G66" s="145"/>
      <c r="H66" s="75">
        <f t="shared" si="43"/>
        <v>0</v>
      </c>
      <c r="I66" s="459"/>
      <c r="J66" s="202"/>
      <c r="K66" s="91"/>
      <c r="L66" s="118"/>
      <c r="M66" s="92"/>
      <c r="N66" s="91"/>
      <c r="O66" s="108"/>
      <c r="P66" s="78"/>
      <c r="Q66" s="79"/>
      <c r="R66" s="461"/>
      <c r="S66" s="631"/>
      <c r="T66" s="199"/>
      <c r="U66" s="199"/>
      <c r="V66" s="153"/>
      <c r="W66" s="469">
        <f t="shared" si="48"/>
        <v>0</v>
      </c>
      <c r="X66" s="459"/>
      <c r="Y66" s="459"/>
      <c r="Z66" s="84"/>
      <c r="AA66" s="84"/>
      <c r="AB66" s="616"/>
      <c r="AC66" s="616"/>
      <c r="AD66" s="457"/>
      <c r="AE66" s="457"/>
      <c r="AF66" s="78">
        <f t="shared" si="6"/>
        <v>0</v>
      </c>
      <c r="AG66" s="460" t="e">
        <f t="shared" si="7"/>
        <v>#DIV/0!</v>
      </c>
      <c r="AH66" s="631"/>
    </row>
    <row r="67" spans="1:37" ht="19.2" customHeight="1">
      <c r="A67" s="645"/>
      <c r="B67" s="127">
        <v>0</v>
      </c>
      <c r="C67" s="465"/>
      <c r="D67" s="71"/>
      <c r="E67" s="72"/>
      <c r="F67" s="73" t="s">
        <v>161</v>
      </c>
      <c r="G67" s="145"/>
      <c r="H67" s="75">
        <f>F67*G67</f>
        <v>0</v>
      </c>
      <c r="I67" s="459"/>
      <c r="J67" s="202"/>
      <c r="K67" s="91"/>
      <c r="L67" s="118"/>
      <c r="M67" s="92"/>
      <c r="N67" s="91"/>
      <c r="O67" s="108"/>
      <c r="P67" s="78"/>
      <c r="Q67" s="79"/>
      <c r="R67" s="461"/>
      <c r="S67" s="631"/>
      <c r="T67" s="199"/>
      <c r="U67" s="199"/>
      <c r="V67" s="153"/>
      <c r="W67" s="469">
        <f t="shared" si="48"/>
        <v>0</v>
      </c>
      <c r="X67" s="459"/>
      <c r="Y67" s="459"/>
      <c r="Z67" s="84"/>
      <c r="AA67" s="84"/>
      <c r="AB67" s="616"/>
      <c r="AC67" s="616"/>
      <c r="AD67" s="457"/>
      <c r="AE67" s="457"/>
      <c r="AF67" s="78">
        <f t="shared" si="6"/>
        <v>0</v>
      </c>
      <c r="AG67" s="461" t="e">
        <f t="shared" si="7"/>
        <v>#DIV/0!</v>
      </c>
      <c r="AH67" s="631"/>
    </row>
    <row r="68" spans="1:37" ht="19.2" customHeight="1">
      <c r="A68" s="645"/>
      <c r="B68" s="459">
        <v>0</v>
      </c>
      <c r="C68" s="465"/>
      <c r="D68" s="71"/>
      <c r="E68" s="72"/>
      <c r="F68" s="174" t="s">
        <v>161</v>
      </c>
      <c r="G68" s="145"/>
      <c r="H68" s="75">
        <f>F68*G68</f>
        <v>0</v>
      </c>
      <c r="I68" s="459"/>
      <c r="J68" s="202"/>
      <c r="K68" s="91"/>
      <c r="L68" s="118"/>
      <c r="M68" s="92"/>
      <c r="N68" s="91"/>
      <c r="O68" s="108"/>
      <c r="P68" s="78"/>
      <c r="Q68" s="79"/>
      <c r="R68" s="461"/>
      <c r="S68" s="631"/>
      <c r="T68" s="199"/>
      <c r="U68" s="199"/>
      <c r="V68" s="153"/>
      <c r="W68" s="469">
        <f t="shared" si="48"/>
        <v>0</v>
      </c>
      <c r="X68" s="459"/>
      <c r="Y68" s="459"/>
      <c r="Z68" s="84"/>
      <c r="AA68" s="84"/>
      <c r="AB68" s="616"/>
      <c r="AC68" s="616"/>
      <c r="AD68" s="457"/>
      <c r="AE68" s="457"/>
      <c r="AF68" s="78"/>
      <c r="AG68" s="461"/>
      <c r="AH68" s="631"/>
    </row>
    <row r="69" spans="1:37" ht="19.2" customHeight="1">
      <c r="A69" s="645"/>
      <c r="B69" s="203">
        <v>0</v>
      </c>
      <c r="C69" s="204" t="s">
        <v>452</v>
      </c>
      <c r="D69" s="612" t="s">
        <v>377</v>
      </c>
      <c r="E69" s="612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1454.2011762305242</v>
      </c>
      <c r="O69" s="102">
        <f t="shared" si="49"/>
        <v>225.03150513364557</v>
      </c>
      <c r="P69" s="78">
        <f>M69-J69</f>
        <v>0</v>
      </c>
      <c r="Q69" s="79">
        <f>N69-K69</f>
        <v>-45.798823769475803</v>
      </c>
      <c r="R69" s="209">
        <f t="shared" ref="R69:R75" si="50">O69/L69</f>
        <v>0.96936648365262712</v>
      </c>
      <c r="S69" s="631"/>
      <c r="T69" s="210"/>
      <c r="U69" s="210"/>
      <c r="V69" s="74"/>
      <c r="W69" s="469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616"/>
      <c r="AC69" s="616"/>
      <c r="AD69" s="139">
        <f>SUM(AD57:AD68)</f>
        <v>0</v>
      </c>
      <c r="AE69" s="139">
        <f>SUM(AE57:AE68)</f>
        <v>0</v>
      </c>
      <c r="AF69" s="78">
        <f t="shared" si="6"/>
        <v>-45.798823769475803</v>
      </c>
      <c r="AG69" s="461">
        <f t="shared" si="7"/>
        <v>0.96946745082034946</v>
      </c>
      <c r="AH69" s="631"/>
    </row>
    <row r="70" spans="1:37" ht="19.2" customHeight="1">
      <c r="A70" s="646" t="s">
        <v>453</v>
      </c>
      <c r="B70" s="459" t="s">
        <v>166</v>
      </c>
      <c r="C70" s="127"/>
      <c r="D70" s="71" t="s">
        <v>120</v>
      </c>
      <c r="E70" s="72"/>
      <c r="F70" s="73">
        <v>54.09</v>
      </c>
      <c r="G70" s="85">
        <v>478.8</v>
      </c>
      <c r="H70" s="75">
        <f>F70*G70</f>
        <v>25898.292000000001</v>
      </c>
      <c r="I70" s="459"/>
      <c r="J70" s="76">
        <v>16</v>
      </c>
      <c r="K70" s="74">
        <v>1500</v>
      </c>
      <c r="L70" s="77">
        <v>93.75</v>
      </c>
      <c r="M70" s="470">
        <v>17</v>
      </c>
      <c r="N70" s="74">
        <f t="shared" ref="N70:N75" si="51">G70/W70*60</f>
        <v>1305.818181818182</v>
      </c>
      <c r="O70" s="77">
        <f t="shared" ref="O70:O75" si="52">N70/M70</f>
        <v>76.812834224598944</v>
      </c>
      <c r="P70" s="78">
        <f t="shared" ref="P70:P75" si="53">M70-J70</f>
        <v>1</v>
      </c>
      <c r="Q70" s="79">
        <f t="shared" ref="Q70:Q75" si="54">O70-L70</f>
        <v>-16.937165775401056</v>
      </c>
      <c r="R70" s="461">
        <f t="shared" si="50"/>
        <v>0.8193368983957221</v>
      </c>
      <c r="S70" s="631">
        <f>R82</f>
        <v>0.89345536888078747</v>
      </c>
      <c r="T70" s="198">
        <v>0.25</v>
      </c>
      <c r="U70" s="198">
        <v>0.26527777777777778</v>
      </c>
      <c r="V70" s="459">
        <v>5</v>
      </c>
      <c r="W70" s="469">
        <f>(U70-T70)*24*60</f>
        <v>22</v>
      </c>
      <c r="X70" s="459"/>
      <c r="Y70" s="459"/>
      <c r="Z70" s="84"/>
      <c r="AA70" s="84"/>
      <c r="AB70" s="616"/>
      <c r="AC70" s="616"/>
      <c r="AD70" s="457"/>
      <c r="AE70" s="457"/>
      <c r="AF70" s="78">
        <f t="shared" si="6"/>
        <v>-194.18181818181802</v>
      </c>
      <c r="AG70" s="461">
        <f t="shared" si="7"/>
        <v>0.87054545454545462</v>
      </c>
      <c r="AH70" s="631">
        <f>AG82</f>
        <v>0.90277092121493763</v>
      </c>
      <c r="AJ70" s="62" t="str">
        <f>A70</f>
        <v>四度三組
(ET-55)</v>
      </c>
      <c r="AK70" s="404">
        <f>AVERAGE(AK71:AK81)</f>
        <v>6.5999999999999917</v>
      </c>
    </row>
    <row r="71" spans="1:37" ht="19.2" customHeight="1">
      <c r="A71" s="646"/>
      <c r="B71" s="459" t="s">
        <v>167</v>
      </c>
      <c r="C71" s="70"/>
      <c r="D71" s="211" t="s">
        <v>121</v>
      </c>
      <c r="E71" s="72"/>
      <c r="F71" s="73">
        <v>77.34</v>
      </c>
      <c r="G71" s="74">
        <v>1668.1</v>
      </c>
      <c r="H71" s="75">
        <f>F71*G71</f>
        <v>129010.85399999999</v>
      </c>
      <c r="I71" s="459"/>
      <c r="J71" s="76">
        <v>18</v>
      </c>
      <c r="K71" s="212">
        <v>1440</v>
      </c>
      <c r="L71" s="77">
        <v>80</v>
      </c>
      <c r="M71" s="467">
        <v>18</v>
      </c>
      <c r="N71" s="74">
        <f t="shared" si="51"/>
        <v>1334.4800000000005</v>
      </c>
      <c r="O71" s="77">
        <f t="shared" si="52"/>
        <v>74.137777777777799</v>
      </c>
      <c r="P71" s="78">
        <f t="shared" si="53"/>
        <v>0</v>
      </c>
      <c r="Q71" s="79">
        <f t="shared" si="54"/>
        <v>-5.8622222222222007</v>
      </c>
      <c r="R71" s="461">
        <f t="shared" si="50"/>
        <v>0.92672222222222245</v>
      </c>
      <c r="S71" s="631"/>
      <c r="T71" s="198">
        <v>0.27013888888888887</v>
      </c>
      <c r="U71" s="198">
        <v>0.32222222222222219</v>
      </c>
      <c r="V71" s="459">
        <v>7</v>
      </c>
      <c r="W71" s="469">
        <f t="shared" ref="W71:W81" si="55">(U71-T71)*24*60</f>
        <v>74.999999999999972</v>
      </c>
      <c r="X71" s="83"/>
      <c r="Y71" s="83"/>
      <c r="Z71" s="84"/>
      <c r="AA71" s="84"/>
      <c r="AB71" s="616"/>
      <c r="AC71" s="616"/>
      <c r="AD71" s="457"/>
      <c r="AE71" s="457"/>
      <c r="AF71" s="78">
        <f>N71-K71</f>
        <v>-105.51999999999953</v>
      </c>
      <c r="AG71" s="461">
        <f>N71/K71</f>
        <v>0.92672222222222256</v>
      </c>
      <c r="AH71" s="631"/>
      <c r="AJ71" s="405">
        <f t="shared" ref="AJ71:AJ81" si="56">IF((IF(V71&lt;10,V71,(X71-U70)*1440))=0,"",IF(V71&lt;10,V71,(X71-U70)*1440))</f>
        <v>7</v>
      </c>
      <c r="AK71" s="406">
        <f>IF(AJ71&gt;4,AJ71,"")</f>
        <v>7</v>
      </c>
    </row>
    <row r="72" spans="1:37" ht="19.2" customHeight="1">
      <c r="A72" s="646"/>
      <c r="B72" s="459" t="s">
        <v>167</v>
      </c>
      <c r="C72" s="94"/>
      <c r="D72" s="211" t="s">
        <v>128</v>
      </c>
      <c r="E72" s="72"/>
      <c r="F72" s="73">
        <v>69.260000000000005</v>
      </c>
      <c r="G72" s="74">
        <v>1306.8999999999999</v>
      </c>
      <c r="H72" s="75">
        <f t="shared" ref="H72:H76" si="57">F72*G72</f>
        <v>90515.894</v>
      </c>
      <c r="I72" s="459"/>
      <c r="J72" s="129">
        <v>20</v>
      </c>
      <c r="K72" s="85">
        <v>1385</v>
      </c>
      <c r="L72" s="118">
        <v>69.25</v>
      </c>
      <c r="M72" s="470">
        <v>20</v>
      </c>
      <c r="N72" s="74">
        <f t="shared" si="51"/>
        <v>1285.475409836065</v>
      </c>
      <c r="O72" s="77">
        <f t="shared" si="52"/>
        <v>64.273770491803248</v>
      </c>
      <c r="P72" s="78">
        <f t="shared" si="53"/>
        <v>0</v>
      </c>
      <c r="Q72" s="79">
        <f t="shared" si="54"/>
        <v>-4.9762295081967522</v>
      </c>
      <c r="R72" s="461">
        <f t="shared" si="50"/>
        <v>0.92814109013434298</v>
      </c>
      <c r="S72" s="631"/>
      <c r="T72" s="198">
        <v>0.32638888888888884</v>
      </c>
      <c r="U72" s="198">
        <v>0.36874999999999997</v>
      </c>
      <c r="V72" s="459">
        <v>6</v>
      </c>
      <c r="W72" s="469">
        <f t="shared" si="55"/>
        <v>61.000000000000021</v>
      </c>
      <c r="X72" s="83"/>
      <c r="Y72" s="83"/>
      <c r="Z72" s="84"/>
      <c r="AA72" s="84"/>
      <c r="AB72" s="616"/>
      <c r="AC72" s="616"/>
      <c r="AD72" s="457"/>
      <c r="AE72" s="457"/>
      <c r="AF72" s="78">
        <f>N72-K72</f>
        <v>-99.524590163935045</v>
      </c>
      <c r="AG72" s="461">
        <f>N72/K72</f>
        <v>0.92814109013434298</v>
      </c>
      <c r="AH72" s="631"/>
      <c r="AJ72" s="405">
        <f t="shared" si="56"/>
        <v>6</v>
      </c>
      <c r="AK72" s="406">
        <f t="shared" ref="AK72:AK81" si="58">IF(AJ72&gt;4,AJ72,"")</f>
        <v>6</v>
      </c>
    </row>
    <row r="73" spans="1:37" ht="19.2" customHeight="1">
      <c r="A73" s="646"/>
      <c r="B73" s="459" t="s">
        <v>167</v>
      </c>
      <c r="C73" s="213"/>
      <c r="D73" s="214" t="s">
        <v>122</v>
      </c>
      <c r="E73" s="215"/>
      <c r="F73" s="73">
        <v>53.36</v>
      </c>
      <c r="G73" s="74">
        <v>3945.68</v>
      </c>
      <c r="H73" s="75">
        <f t="shared" si="57"/>
        <v>210541.48479999998</v>
      </c>
      <c r="I73" s="457"/>
      <c r="J73" s="216">
        <v>19</v>
      </c>
      <c r="K73" s="217">
        <v>1636</v>
      </c>
      <c r="L73" s="118">
        <v>86.10526315789474</v>
      </c>
      <c r="M73" s="470">
        <v>19</v>
      </c>
      <c r="N73" s="74">
        <f t="shared" si="51"/>
        <v>1384.4491228070171</v>
      </c>
      <c r="O73" s="77">
        <f t="shared" si="52"/>
        <v>72.865743305632478</v>
      </c>
      <c r="P73" s="78">
        <f t="shared" si="53"/>
        <v>0</v>
      </c>
      <c r="Q73" s="79">
        <f t="shared" si="54"/>
        <v>-13.239519852262262</v>
      </c>
      <c r="R73" s="461">
        <f t="shared" si="50"/>
        <v>0.84624029511431353</v>
      </c>
      <c r="S73" s="631"/>
      <c r="T73" s="198">
        <v>0.38472222222222219</v>
      </c>
      <c r="U73" s="198">
        <v>0.50347222222222221</v>
      </c>
      <c r="V73" s="459">
        <v>23</v>
      </c>
      <c r="W73" s="469">
        <f t="shared" si="55"/>
        <v>171.00000000000003</v>
      </c>
      <c r="X73" s="218">
        <v>0.37291666666666662</v>
      </c>
      <c r="Y73" s="218">
        <v>0.3833333333333333</v>
      </c>
      <c r="Z73" s="159"/>
      <c r="AA73" s="159"/>
      <c r="AB73" s="616"/>
      <c r="AC73" s="616"/>
      <c r="AD73" s="457"/>
      <c r="AE73" s="457"/>
      <c r="AF73" s="78">
        <f>N73-K73</f>
        <v>-251.55087719298285</v>
      </c>
      <c r="AG73" s="461">
        <f>N73/K73</f>
        <v>0.84624029511431365</v>
      </c>
      <c r="AH73" s="631"/>
      <c r="AJ73" s="405">
        <f t="shared" si="56"/>
        <v>5.9999999999999787</v>
      </c>
      <c r="AK73" s="406">
        <f t="shared" si="58"/>
        <v>5.9999999999999787</v>
      </c>
    </row>
    <row r="74" spans="1:37" ht="19.2" customHeight="1">
      <c r="A74" s="646"/>
      <c r="B74" s="459" t="s">
        <v>167</v>
      </c>
      <c r="C74" s="213"/>
      <c r="D74" s="214" t="s">
        <v>125</v>
      </c>
      <c r="E74" s="215"/>
      <c r="F74" s="73">
        <v>53.76</v>
      </c>
      <c r="G74" s="212">
        <v>2785</v>
      </c>
      <c r="H74" s="75">
        <f t="shared" si="57"/>
        <v>149721.60000000001</v>
      </c>
      <c r="I74" s="459"/>
      <c r="J74" s="76">
        <v>16</v>
      </c>
      <c r="K74" s="74">
        <v>1440</v>
      </c>
      <c r="L74" s="77">
        <v>90</v>
      </c>
      <c r="M74" s="470">
        <v>16</v>
      </c>
      <c r="N74" s="74">
        <f t="shared" si="51"/>
        <v>1336.7999999999997</v>
      </c>
      <c r="O74" s="77">
        <f t="shared" si="52"/>
        <v>83.549999999999983</v>
      </c>
      <c r="P74" s="78">
        <f t="shared" si="53"/>
        <v>0</v>
      </c>
      <c r="Q74" s="79">
        <f t="shared" si="54"/>
        <v>-6.4500000000000171</v>
      </c>
      <c r="R74" s="461">
        <f t="shared" si="50"/>
        <v>0.92833333333333312</v>
      </c>
      <c r="S74" s="631"/>
      <c r="T74" s="198">
        <v>0.54513888888888884</v>
      </c>
      <c r="U74" s="198">
        <v>0.63194444444444442</v>
      </c>
      <c r="V74" s="459">
        <v>7</v>
      </c>
      <c r="W74" s="469">
        <f t="shared" si="55"/>
        <v>125.00000000000003</v>
      </c>
      <c r="X74" s="218"/>
      <c r="Y74" s="218"/>
      <c r="Z74" s="159"/>
      <c r="AA74" s="159"/>
      <c r="AB74" s="616"/>
      <c r="AC74" s="616"/>
      <c r="AD74" s="457"/>
      <c r="AE74" s="457"/>
      <c r="AF74" s="78">
        <f t="shared" ref="AF74:AF80" si="59">N74-K74</f>
        <v>-103.20000000000027</v>
      </c>
      <c r="AG74" s="461">
        <f t="shared" ref="AG74:AG80" si="60">N74/K74</f>
        <v>0.92833333333333312</v>
      </c>
      <c r="AH74" s="631"/>
      <c r="AJ74" s="405">
        <f t="shared" si="56"/>
        <v>7</v>
      </c>
      <c r="AK74" s="406">
        <f t="shared" si="58"/>
        <v>7</v>
      </c>
    </row>
    <row r="75" spans="1:37" ht="19.2" customHeight="1">
      <c r="A75" s="646"/>
      <c r="B75" s="459" t="s">
        <v>167</v>
      </c>
      <c r="C75" s="94"/>
      <c r="D75" s="214" t="s">
        <v>124</v>
      </c>
      <c r="E75" s="215"/>
      <c r="F75" s="73">
        <v>47.51</v>
      </c>
      <c r="G75" s="212">
        <v>2135</v>
      </c>
      <c r="H75" s="75">
        <f t="shared" si="57"/>
        <v>101433.84999999999</v>
      </c>
      <c r="I75" s="459"/>
      <c r="J75" s="129">
        <v>17</v>
      </c>
      <c r="K75" s="85">
        <v>1440</v>
      </c>
      <c r="L75" s="118">
        <v>84.705882352941174</v>
      </c>
      <c r="M75" s="470">
        <v>17</v>
      </c>
      <c r="N75" s="74">
        <f t="shared" si="51"/>
        <v>1334.3750000000005</v>
      </c>
      <c r="O75" s="77">
        <f t="shared" si="52"/>
        <v>78.49264705882355</v>
      </c>
      <c r="P75" s="78">
        <f t="shared" si="53"/>
        <v>0</v>
      </c>
      <c r="Q75" s="79">
        <f t="shared" si="54"/>
        <v>-6.2132352941176237</v>
      </c>
      <c r="R75" s="461">
        <f t="shared" si="50"/>
        <v>0.9266493055555558</v>
      </c>
      <c r="S75" s="631"/>
      <c r="T75" s="198">
        <v>0.64722222222222214</v>
      </c>
      <c r="U75" s="198">
        <v>0.7138888888888888</v>
      </c>
      <c r="V75" s="459">
        <v>22</v>
      </c>
      <c r="W75" s="469">
        <f t="shared" si="55"/>
        <v>95.999999999999972</v>
      </c>
      <c r="X75" s="218">
        <v>0.63680555555555551</v>
      </c>
      <c r="Y75" s="218">
        <v>0.64583333333333337</v>
      </c>
      <c r="Z75" s="159"/>
      <c r="AA75" s="159"/>
      <c r="AB75" s="616"/>
      <c r="AC75" s="616"/>
      <c r="AD75" s="457"/>
      <c r="AE75" s="457"/>
      <c r="AF75" s="78">
        <f t="shared" si="59"/>
        <v>-105.62499999999955</v>
      </c>
      <c r="AG75" s="461">
        <f t="shared" si="60"/>
        <v>0.92664930555555591</v>
      </c>
      <c r="AH75" s="631"/>
      <c r="AJ75" s="405">
        <f t="shared" si="56"/>
        <v>6.9999999999999751</v>
      </c>
      <c r="AK75" s="406">
        <f t="shared" si="58"/>
        <v>6.9999999999999751</v>
      </c>
    </row>
    <row r="76" spans="1:37" ht="19.2" customHeight="1">
      <c r="A76" s="646"/>
      <c r="B76" s="459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459"/>
      <c r="J76" s="76"/>
      <c r="K76" s="74"/>
      <c r="L76" s="77"/>
      <c r="M76" s="467"/>
      <c r="N76" s="74"/>
      <c r="O76" s="77"/>
      <c r="P76" s="78"/>
      <c r="Q76" s="79"/>
      <c r="R76" s="461"/>
      <c r="S76" s="631"/>
      <c r="T76" s="198"/>
      <c r="U76" s="198"/>
      <c r="V76" s="459"/>
      <c r="W76" s="469">
        <f t="shared" si="55"/>
        <v>0</v>
      </c>
      <c r="X76" s="218"/>
      <c r="Y76" s="218"/>
      <c r="Z76" s="159"/>
      <c r="AA76" s="159"/>
      <c r="AB76" s="616"/>
      <c r="AC76" s="616"/>
      <c r="AD76" s="457"/>
      <c r="AE76" s="457"/>
      <c r="AF76" s="78">
        <f t="shared" si="59"/>
        <v>0</v>
      </c>
      <c r="AG76" s="461" t="e">
        <f t="shared" si="60"/>
        <v>#DIV/0!</v>
      </c>
      <c r="AH76" s="631"/>
      <c r="AJ76" s="405" t="str">
        <f t="shared" si="56"/>
        <v/>
      </c>
      <c r="AK76" s="406" t="str">
        <f t="shared" si="58"/>
        <v/>
      </c>
    </row>
    <row r="77" spans="1:37" ht="19.2" customHeight="1">
      <c r="A77" s="646"/>
      <c r="B77" s="459">
        <v>0</v>
      </c>
      <c r="C77" s="465"/>
      <c r="D77" s="71"/>
      <c r="E77" s="72"/>
      <c r="F77" s="73" t="s">
        <v>161</v>
      </c>
      <c r="G77" s="212"/>
      <c r="H77" s="75"/>
      <c r="I77" s="457"/>
      <c r="J77" s="76"/>
      <c r="K77" s="212"/>
      <c r="L77" s="77"/>
      <c r="M77" s="467"/>
      <c r="N77" s="74"/>
      <c r="O77" s="77"/>
      <c r="P77" s="78"/>
      <c r="Q77" s="79"/>
      <c r="R77" s="461"/>
      <c r="S77" s="631"/>
      <c r="T77" s="198"/>
      <c r="U77" s="198"/>
      <c r="V77" s="459"/>
      <c r="W77" s="469">
        <f t="shared" si="55"/>
        <v>0</v>
      </c>
      <c r="X77" s="218"/>
      <c r="Y77" s="218"/>
      <c r="Z77" s="159"/>
      <c r="AA77" s="159"/>
      <c r="AB77" s="616"/>
      <c r="AC77" s="616"/>
      <c r="AD77" s="457"/>
      <c r="AE77" s="457"/>
      <c r="AF77" s="78">
        <f t="shared" si="59"/>
        <v>0</v>
      </c>
      <c r="AG77" s="461" t="e">
        <f t="shared" si="60"/>
        <v>#DIV/0!</v>
      </c>
      <c r="AH77" s="631"/>
      <c r="AJ77" s="405" t="str">
        <f t="shared" si="56"/>
        <v/>
      </c>
      <c r="AK77" s="406" t="str">
        <f t="shared" si="58"/>
        <v/>
      </c>
    </row>
    <row r="78" spans="1:37" ht="19.2" customHeight="1">
      <c r="A78" s="646"/>
      <c r="B78" s="459">
        <v>0</v>
      </c>
      <c r="C78" s="465"/>
      <c r="D78" s="71"/>
      <c r="E78" s="72"/>
      <c r="F78" s="73" t="s">
        <v>161</v>
      </c>
      <c r="G78" s="85"/>
      <c r="H78" s="75"/>
      <c r="I78" s="457"/>
      <c r="J78" s="129"/>
      <c r="K78" s="85"/>
      <c r="L78" s="118"/>
      <c r="M78" s="467"/>
      <c r="N78" s="74"/>
      <c r="O78" s="77"/>
      <c r="P78" s="78"/>
      <c r="Q78" s="79"/>
      <c r="R78" s="461"/>
      <c r="S78" s="631"/>
      <c r="T78" s="198"/>
      <c r="U78" s="198"/>
      <c r="V78" s="459"/>
      <c r="W78" s="469">
        <f t="shared" si="55"/>
        <v>0</v>
      </c>
      <c r="X78" s="218"/>
      <c r="Y78" s="218"/>
      <c r="Z78" s="159"/>
      <c r="AA78" s="159"/>
      <c r="AB78" s="616"/>
      <c r="AC78" s="616"/>
      <c r="AD78" s="457"/>
      <c r="AE78" s="457"/>
      <c r="AF78" s="78">
        <f t="shared" si="59"/>
        <v>0</v>
      </c>
      <c r="AG78" s="461" t="e">
        <f t="shared" si="60"/>
        <v>#DIV/0!</v>
      </c>
      <c r="AH78" s="631"/>
      <c r="AJ78" s="405" t="str">
        <f t="shared" si="56"/>
        <v/>
      </c>
      <c r="AK78" s="406" t="str">
        <f t="shared" si="58"/>
        <v/>
      </c>
    </row>
    <row r="79" spans="1:37" ht="19.2" customHeight="1">
      <c r="A79" s="646"/>
      <c r="B79" s="459">
        <v>0</v>
      </c>
      <c r="C79" s="213"/>
      <c r="D79" s="214"/>
      <c r="E79" s="215"/>
      <c r="F79" s="73" t="s">
        <v>161</v>
      </c>
      <c r="G79" s="85"/>
      <c r="H79" s="75"/>
      <c r="I79" s="457"/>
      <c r="J79" s="129"/>
      <c r="K79" s="85"/>
      <c r="L79" s="118"/>
      <c r="M79" s="467"/>
      <c r="N79" s="85"/>
      <c r="O79" s="219"/>
      <c r="P79" s="140"/>
      <c r="Q79" s="220"/>
      <c r="R79" s="141"/>
      <c r="S79" s="631"/>
      <c r="T79" s="198"/>
      <c r="U79" s="198"/>
      <c r="V79" s="459"/>
      <c r="W79" s="469">
        <f t="shared" si="55"/>
        <v>0</v>
      </c>
      <c r="X79" s="218"/>
      <c r="Y79" s="218"/>
      <c r="Z79" s="159"/>
      <c r="AA79" s="159"/>
      <c r="AB79" s="616"/>
      <c r="AC79" s="616"/>
      <c r="AD79" s="457"/>
      <c r="AE79" s="457"/>
      <c r="AF79" s="78">
        <f t="shared" si="59"/>
        <v>0</v>
      </c>
      <c r="AG79" s="461" t="e">
        <f t="shared" si="60"/>
        <v>#DIV/0!</v>
      </c>
      <c r="AH79" s="631"/>
      <c r="AJ79" s="405" t="str">
        <f t="shared" si="56"/>
        <v/>
      </c>
      <c r="AK79" s="406" t="str">
        <f t="shared" si="58"/>
        <v/>
      </c>
    </row>
    <row r="80" spans="1:37" ht="19.2" customHeight="1">
      <c r="A80" s="646"/>
      <c r="B80" s="459">
        <v>0</v>
      </c>
      <c r="C80" s="465"/>
      <c r="D80" s="71"/>
      <c r="E80" s="72"/>
      <c r="F80" s="73" t="s">
        <v>161</v>
      </c>
      <c r="G80" s="85"/>
      <c r="H80" s="75"/>
      <c r="I80" s="457"/>
      <c r="J80" s="129"/>
      <c r="K80" s="85"/>
      <c r="L80" s="118"/>
      <c r="M80" s="467"/>
      <c r="N80" s="85"/>
      <c r="O80" s="221"/>
      <c r="P80" s="84"/>
      <c r="Q80" s="119"/>
      <c r="R80" s="463"/>
      <c r="S80" s="631"/>
      <c r="T80" s="198"/>
      <c r="U80" s="198"/>
      <c r="V80" s="459"/>
      <c r="W80" s="469">
        <f t="shared" si="55"/>
        <v>0</v>
      </c>
      <c r="X80" s="218"/>
      <c r="Y80" s="218"/>
      <c r="Z80" s="159"/>
      <c r="AA80" s="159"/>
      <c r="AB80" s="616"/>
      <c r="AC80" s="616"/>
      <c r="AD80" s="457"/>
      <c r="AE80" s="457"/>
      <c r="AF80" s="78">
        <f t="shared" si="59"/>
        <v>0</v>
      </c>
      <c r="AG80" s="461" t="e">
        <f t="shared" si="60"/>
        <v>#DIV/0!</v>
      </c>
      <c r="AH80" s="631"/>
      <c r="AJ80" s="405" t="str">
        <f t="shared" si="56"/>
        <v/>
      </c>
      <c r="AK80" s="406" t="str">
        <f t="shared" si="58"/>
        <v/>
      </c>
    </row>
    <row r="81" spans="1:37" ht="19.2" customHeight="1">
      <c r="A81" s="646"/>
      <c r="B81" s="459">
        <v>0</v>
      </c>
      <c r="C81" s="465"/>
      <c r="D81" s="71"/>
      <c r="E81" s="72"/>
      <c r="F81" s="73" t="s">
        <v>161</v>
      </c>
      <c r="G81" s="85"/>
      <c r="H81" s="116"/>
      <c r="I81" s="457"/>
      <c r="J81" s="129"/>
      <c r="K81" s="85"/>
      <c r="L81" s="118"/>
      <c r="M81" s="467"/>
      <c r="N81" s="85"/>
      <c r="O81" s="221"/>
      <c r="P81" s="84"/>
      <c r="Q81" s="119"/>
      <c r="R81" s="463"/>
      <c r="S81" s="631"/>
      <c r="T81" s="198"/>
      <c r="U81" s="198"/>
      <c r="V81" s="459"/>
      <c r="W81" s="469">
        <f t="shared" si="55"/>
        <v>0</v>
      </c>
      <c r="X81" s="218"/>
      <c r="Y81" s="218"/>
      <c r="Z81" s="159"/>
      <c r="AA81" s="159"/>
      <c r="AB81" s="616"/>
      <c r="AC81" s="616"/>
      <c r="AD81" s="457"/>
      <c r="AE81" s="457"/>
      <c r="AF81" s="78"/>
      <c r="AG81" s="160"/>
      <c r="AH81" s="631"/>
      <c r="AJ81" s="405" t="str">
        <f t="shared" si="56"/>
        <v/>
      </c>
      <c r="AK81" s="406" t="str">
        <f t="shared" si="58"/>
        <v/>
      </c>
    </row>
    <row r="82" spans="1:37" ht="19.2" customHeight="1">
      <c r="A82" s="647"/>
      <c r="B82" s="203">
        <v>0</v>
      </c>
      <c r="C82" s="132" t="s">
        <v>454</v>
      </c>
      <c r="D82" s="612" t="s">
        <v>377</v>
      </c>
      <c r="E82" s="612"/>
      <c r="F82" s="222"/>
      <c r="G82" s="103"/>
      <c r="H82" s="134"/>
      <c r="I82" s="135"/>
      <c r="J82" s="103">
        <v>17.666666666666668</v>
      </c>
      <c r="K82" s="103">
        <v>1473.5</v>
      </c>
      <c r="L82" s="136">
        <v>83.968524251805988</v>
      </c>
      <c r="M82" s="103">
        <f t="shared" ref="M82:O82" si="61">AVERAGE(M70:M81)</f>
        <v>17.833333333333332</v>
      </c>
      <c r="N82" s="103">
        <f t="shared" si="61"/>
        <v>1330.2329524102106</v>
      </c>
      <c r="O82" s="223">
        <f t="shared" si="61"/>
        <v>75.022128809772667</v>
      </c>
      <c r="P82" s="150">
        <f>M82-J82</f>
        <v>0.1666666666666643</v>
      </c>
      <c r="Q82" s="151">
        <f>N82-K82</f>
        <v>-143.2670475897894</v>
      </c>
      <c r="R82" s="209">
        <f>O82/L82</f>
        <v>0.89345536888078747</v>
      </c>
      <c r="S82" s="631"/>
      <c r="T82" s="198"/>
      <c r="U82" s="198"/>
      <c r="V82" s="459"/>
      <c r="W82" s="74"/>
      <c r="X82" s="77"/>
      <c r="Y82" s="77"/>
      <c r="Z82" s="138">
        <f>SUM(Z70:Z81)</f>
        <v>0</v>
      </c>
      <c r="AA82" s="138">
        <f>SUM(AA70:AA81)</f>
        <v>0</v>
      </c>
      <c r="AB82" s="616"/>
      <c r="AC82" s="616"/>
      <c r="AD82" s="139">
        <f>SUM(AD70:AD81)</f>
        <v>0</v>
      </c>
      <c r="AE82" s="139">
        <f>SUM(AE70:AE81)</f>
        <v>0</v>
      </c>
      <c r="AF82" s="78">
        <f>N82-K82</f>
        <v>-143.2670475897894</v>
      </c>
      <c r="AG82" s="461">
        <f>N82/K82</f>
        <v>0.90277092121493763</v>
      </c>
      <c r="AH82" s="631"/>
    </row>
    <row r="83" spans="1:37" ht="19.2" customHeight="1">
      <c r="A83" s="639" t="s">
        <v>455</v>
      </c>
      <c r="B83" s="142" t="s">
        <v>163</v>
      </c>
      <c r="C83" s="465"/>
      <c r="D83" s="225" t="s">
        <v>100</v>
      </c>
      <c r="E83" s="72"/>
      <c r="F83" s="174">
        <v>27.5</v>
      </c>
      <c r="G83" s="74">
        <v>351</v>
      </c>
      <c r="H83" s="116">
        <f t="shared" ref="H83:H94" si="62">F83*G83</f>
        <v>9652.5</v>
      </c>
      <c r="I83" s="459"/>
      <c r="J83" s="129">
        <v>12</v>
      </c>
      <c r="K83" s="85">
        <v>2000</v>
      </c>
      <c r="L83" s="118">
        <v>166.66666666666666</v>
      </c>
      <c r="M83" s="467">
        <v>12</v>
      </c>
      <c r="N83" s="85">
        <f t="shared" ref="N83:N89" si="63">G83/W83*60</f>
        <v>1238.823529411763</v>
      </c>
      <c r="O83" s="221">
        <f t="shared" ref="O83:O89" si="64">N83/M83</f>
        <v>103.23529411764692</v>
      </c>
      <c r="P83" s="84">
        <f t="shared" ref="P83:P84" si="65">M83-J83</f>
        <v>0</v>
      </c>
      <c r="Q83" s="119">
        <f t="shared" ref="Q83:Q84" si="66">O83-L83</f>
        <v>-63.431372549019741</v>
      </c>
      <c r="R83" s="224">
        <f t="shared" ref="R83:R84" si="67">O83/L83</f>
        <v>0.61941176470588155</v>
      </c>
      <c r="S83" s="631">
        <f>R95</f>
        <v>0.82619644382392532</v>
      </c>
      <c r="T83" s="198">
        <v>0.33333333333333331</v>
      </c>
      <c r="U83" s="198">
        <v>0.34513888888888888</v>
      </c>
      <c r="V83" s="459">
        <v>5</v>
      </c>
      <c r="W83" s="469">
        <f t="shared" ref="W83:W93" si="68">(U83-T83)*24*60</f>
        <v>17.000000000000021</v>
      </c>
      <c r="X83" s="83"/>
      <c r="Y83" s="83"/>
      <c r="Z83" s="84"/>
      <c r="AA83" s="84"/>
      <c r="AB83" s="616"/>
      <c r="AC83" s="616"/>
      <c r="AD83" s="457"/>
      <c r="AE83" s="457"/>
      <c r="AF83" s="78">
        <f t="shared" ref="AF83:AF173" si="69">N83-K83</f>
        <v>-761.17647058823695</v>
      </c>
      <c r="AG83" s="461">
        <f t="shared" ref="AG83:AG173" si="70">N83/K83</f>
        <v>0.61941176470588155</v>
      </c>
      <c r="AH83" s="631">
        <f>AG95</f>
        <v>0.84317060296451041</v>
      </c>
      <c r="AJ83" s="62" t="str">
        <f>A83</f>
        <v>四度四組
(ET-55)</v>
      </c>
      <c r="AK83" s="404">
        <f>AVERAGE(AK84:AK94)</f>
        <v>6.4999999999999964</v>
      </c>
    </row>
    <row r="84" spans="1:37" ht="19.2" customHeight="1">
      <c r="A84" s="640"/>
      <c r="B84" s="142" t="s">
        <v>167</v>
      </c>
      <c r="C84" s="157"/>
      <c r="D84" s="225" t="s">
        <v>126</v>
      </c>
      <c r="E84" s="72"/>
      <c r="F84" s="174">
        <v>61.11</v>
      </c>
      <c r="G84" s="74">
        <v>4847.4000000000005</v>
      </c>
      <c r="H84" s="116">
        <f t="shared" si="62"/>
        <v>296224.61400000006</v>
      </c>
      <c r="I84" s="459"/>
      <c r="J84" s="129">
        <v>16</v>
      </c>
      <c r="K84" s="85">
        <v>1440</v>
      </c>
      <c r="L84" s="118">
        <v>90</v>
      </c>
      <c r="M84" s="467">
        <v>16</v>
      </c>
      <c r="N84" s="85">
        <f t="shared" si="63"/>
        <v>1328.0547945205481</v>
      </c>
      <c r="O84" s="221">
        <f t="shared" si="64"/>
        <v>83.003424657534254</v>
      </c>
      <c r="P84" s="84">
        <f t="shared" si="65"/>
        <v>0</v>
      </c>
      <c r="Q84" s="119">
        <f t="shared" si="66"/>
        <v>-6.9965753424657464</v>
      </c>
      <c r="R84" s="224">
        <f t="shared" si="67"/>
        <v>0.9222602739726028</v>
      </c>
      <c r="S84" s="631"/>
      <c r="T84" s="198">
        <v>0.35</v>
      </c>
      <c r="U84" s="198">
        <v>0.50208333333333333</v>
      </c>
      <c r="V84" s="459">
        <v>7</v>
      </c>
      <c r="W84" s="469">
        <f t="shared" si="68"/>
        <v>219.00000000000003</v>
      </c>
      <c r="X84" s="83"/>
      <c r="Y84" s="83"/>
      <c r="Z84" s="84"/>
      <c r="AA84" s="84"/>
      <c r="AB84" s="616"/>
      <c r="AC84" s="616"/>
      <c r="AD84" s="457"/>
      <c r="AE84" s="457"/>
      <c r="AF84" s="78">
        <f t="shared" si="69"/>
        <v>-111.94520547945194</v>
      </c>
      <c r="AG84" s="461">
        <f t="shared" si="70"/>
        <v>0.9222602739726028</v>
      </c>
      <c r="AH84" s="631"/>
      <c r="AJ84" s="405">
        <f t="shared" ref="AJ84:AJ94" si="71">IF((IF(V84&lt;10,V84,(X84-U83)*1440))=0,"",IF(V84&lt;10,V84,(X84-U83)*1440))</f>
        <v>7</v>
      </c>
      <c r="AK84" s="406">
        <f>IF(AJ84&gt;4,AJ84,"")</f>
        <v>7</v>
      </c>
    </row>
    <row r="85" spans="1:37" ht="19.2" customHeight="1">
      <c r="A85" s="640"/>
      <c r="B85" s="142" t="s">
        <v>167</v>
      </c>
      <c r="C85" s="127"/>
      <c r="D85" s="225" t="s">
        <v>127</v>
      </c>
      <c r="E85" s="72"/>
      <c r="F85" s="174">
        <v>61.09</v>
      </c>
      <c r="G85" s="74">
        <v>2496</v>
      </c>
      <c r="H85" s="116">
        <f t="shared" si="62"/>
        <v>152480.64000000001</v>
      </c>
      <c r="I85" s="459"/>
      <c r="J85" s="129">
        <v>17</v>
      </c>
      <c r="K85" s="85">
        <v>1440</v>
      </c>
      <c r="L85" s="118">
        <v>84.705882352941174</v>
      </c>
      <c r="M85" s="467">
        <v>17</v>
      </c>
      <c r="N85" s="85">
        <f t="shared" si="63"/>
        <v>1291.0344827586198</v>
      </c>
      <c r="O85" s="221">
        <f t="shared" si="64"/>
        <v>75.943204868154112</v>
      </c>
      <c r="P85" s="84">
        <f>M85-J85</f>
        <v>0</v>
      </c>
      <c r="Q85" s="119">
        <f>O85-L85</f>
        <v>-8.7626774847870621</v>
      </c>
      <c r="R85" s="224">
        <f>O85/L85</f>
        <v>0.89655172413793049</v>
      </c>
      <c r="S85" s="631"/>
      <c r="T85" s="198">
        <v>0.54236111111111107</v>
      </c>
      <c r="U85" s="198">
        <v>0.62291666666666667</v>
      </c>
      <c r="V85" s="459">
        <v>5</v>
      </c>
      <c r="W85" s="469">
        <f t="shared" si="68"/>
        <v>116.00000000000007</v>
      </c>
      <c r="X85" s="83"/>
      <c r="Y85" s="83"/>
      <c r="Z85" s="84"/>
      <c r="AA85" s="84"/>
      <c r="AB85" s="616"/>
      <c r="AC85" s="616"/>
      <c r="AD85" s="457"/>
      <c r="AE85" s="457"/>
      <c r="AF85" s="78">
        <f t="shared" si="69"/>
        <v>-148.96551724138021</v>
      </c>
      <c r="AG85" s="461">
        <f t="shared" si="70"/>
        <v>0.89655172413793038</v>
      </c>
      <c r="AH85" s="631"/>
      <c r="AJ85" s="405">
        <f t="shared" si="71"/>
        <v>5</v>
      </c>
      <c r="AK85" s="406">
        <f t="shared" ref="AK85:AK94" si="72">IF(AJ85&gt;4,AJ85,"")</f>
        <v>5</v>
      </c>
    </row>
    <row r="86" spans="1:37" ht="19.2" customHeight="1">
      <c r="A86" s="640"/>
      <c r="B86" s="142" t="s">
        <v>167</v>
      </c>
      <c r="C86" s="127"/>
      <c r="D86" s="225" t="s">
        <v>121</v>
      </c>
      <c r="E86" s="72"/>
      <c r="F86" s="174">
        <v>77.34</v>
      </c>
      <c r="G86" s="74">
        <v>714.9</v>
      </c>
      <c r="H86" s="116">
        <f t="shared" si="62"/>
        <v>55290.366000000002</v>
      </c>
      <c r="I86" s="459">
        <v>1</v>
      </c>
      <c r="J86" s="129">
        <v>18</v>
      </c>
      <c r="K86" s="85">
        <v>1440</v>
      </c>
      <c r="L86" s="118">
        <v>80</v>
      </c>
      <c r="M86" s="467">
        <v>18</v>
      </c>
      <c r="N86" s="85">
        <f t="shared" si="63"/>
        <v>1299.8181818181802</v>
      </c>
      <c r="O86" s="221">
        <f t="shared" si="64"/>
        <v>72.212121212121119</v>
      </c>
      <c r="P86" s="84">
        <f>M86-J86</f>
        <v>0</v>
      </c>
      <c r="Q86" s="119">
        <f>O86-L86</f>
        <v>-7.7878787878788813</v>
      </c>
      <c r="R86" s="224">
        <f>O86/L86</f>
        <v>0.90265151515151398</v>
      </c>
      <c r="S86" s="631"/>
      <c r="T86" s="198">
        <v>0.62777777777777777</v>
      </c>
      <c r="U86" s="198">
        <v>0.65069444444444446</v>
      </c>
      <c r="V86" s="459">
        <v>7</v>
      </c>
      <c r="W86" s="469">
        <f t="shared" si="68"/>
        <v>33.000000000000043</v>
      </c>
      <c r="X86" s="83"/>
      <c r="Y86" s="83"/>
      <c r="Z86" s="84"/>
      <c r="AA86" s="84"/>
      <c r="AB86" s="616"/>
      <c r="AC86" s="616"/>
      <c r="AD86" s="457"/>
      <c r="AE86" s="457"/>
      <c r="AF86" s="78">
        <f>N86-K86</f>
        <v>-140.18181818181984</v>
      </c>
      <c r="AG86" s="461">
        <f>N86/K86</f>
        <v>0.90265151515151398</v>
      </c>
      <c r="AH86" s="631"/>
      <c r="AJ86" s="405">
        <f t="shared" si="71"/>
        <v>7</v>
      </c>
      <c r="AK86" s="406">
        <f t="shared" si="72"/>
        <v>7</v>
      </c>
    </row>
    <row r="87" spans="1:37" ht="19.2" customHeight="1">
      <c r="A87" s="640"/>
      <c r="B87" s="142" t="s">
        <v>167</v>
      </c>
      <c r="C87" s="465"/>
      <c r="D87" s="71" t="s">
        <v>128</v>
      </c>
      <c r="E87" s="72"/>
      <c r="F87" s="174">
        <v>69.260000000000005</v>
      </c>
      <c r="G87" s="85">
        <v>560.1</v>
      </c>
      <c r="H87" s="116">
        <f t="shared" si="62"/>
        <v>38792.526000000005</v>
      </c>
      <c r="I87" s="459">
        <v>1</v>
      </c>
      <c r="J87" s="129">
        <v>20</v>
      </c>
      <c r="K87" s="85">
        <v>1385</v>
      </c>
      <c r="L87" s="118">
        <v>69.25</v>
      </c>
      <c r="M87" s="467">
        <v>20</v>
      </c>
      <c r="N87" s="85">
        <f t="shared" si="63"/>
        <v>1244.6666666666638</v>
      </c>
      <c r="O87" s="221">
        <f t="shared" si="64"/>
        <v>62.233333333333192</v>
      </c>
      <c r="P87" s="84">
        <f>M87-J87</f>
        <v>0</v>
      </c>
      <c r="Q87" s="119">
        <f>O87-L87</f>
        <v>-7.0166666666668078</v>
      </c>
      <c r="R87" s="224">
        <f>O87/L87</f>
        <v>0.89867629362213997</v>
      </c>
      <c r="S87" s="631"/>
      <c r="T87" s="198">
        <v>0.65555555555555556</v>
      </c>
      <c r="U87" s="198">
        <v>0.6743055555555556</v>
      </c>
      <c r="V87" s="459">
        <v>7</v>
      </c>
      <c r="W87" s="469">
        <f t="shared" si="68"/>
        <v>27.000000000000064</v>
      </c>
      <c r="X87" s="83"/>
      <c r="Y87" s="83"/>
      <c r="Z87" s="84"/>
      <c r="AA87" s="84"/>
      <c r="AB87" s="616"/>
      <c r="AC87" s="616"/>
      <c r="AD87" s="457">
        <v>1</v>
      </c>
      <c r="AE87" s="457">
        <v>1</v>
      </c>
      <c r="AF87" s="78">
        <f>N87-K87</f>
        <v>-140.33333333333621</v>
      </c>
      <c r="AG87" s="461">
        <f>N87/K87</f>
        <v>0.89867629362213997</v>
      </c>
      <c r="AH87" s="631"/>
      <c r="AJ87" s="405">
        <f t="shared" si="71"/>
        <v>7</v>
      </c>
      <c r="AK87" s="406">
        <f t="shared" si="72"/>
        <v>7</v>
      </c>
    </row>
    <row r="88" spans="1:37" ht="19.2" customHeight="1">
      <c r="A88" s="640"/>
      <c r="B88" s="142" t="s">
        <v>167</v>
      </c>
      <c r="C88" s="465"/>
      <c r="D88" s="71" t="s">
        <v>122</v>
      </c>
      <c r="E88" s="72"/>
      <c r="F88" s="174">
        <v>53.36</v>
      </c>
      <c r="G88" s="148">
        <v>2418.3200000000002</v>
      </c>
      <c r="H88" s="116">
        <f t="shared" si="62"/>
        <v>129041.5552</v>
      </c>
      <c r="I88" s="459">
        <v>1</v>
      </c>
      <c r="J88" s="129">
        <v>19</v>
      </c>
      <c r="K88" s="85">
        <v>1636</v>
      </c>
      <c r="L88" s="118">
        <v>86.10526315789474</v>
      </c>
      <c r="M88" s="467">
        <v>19</v>
      </c>
      <c r="N88" s="85">
        <f t="shared" si="63"/>
        <v>1395.1846153846161</v>
      </c>
      <c r="O88" s="221">
        <f t="shared" si="64"/>
        <v>73.430769230769272</v>
      </c>
      <c r="P88" s="84">
        <f t="shared" ref="P88" si="73">M88-J88</f>
        <v>0</v>
      </c>
      <c r="Q88" s="119">
        <f t="shared" ref="Q88" si="74">O88-L88</f>
        <v>-12.674493927125468</v>
      </c>
      <c r="R88" s="224">
        <f t="shared" ref="R88" si="75">O88/L88</f>
        <v>0.85280233214218593</v>
      </c>
      <c r="S88" s="631"/>
      <c r="T88" s="198">
        <v>0.68958333333333333</v>
      </c>
      <c r="U88" s="198">
        <v>0.76180555555555551</v>
      </c>
      <c r="V88" s="459">
        <v>22</v>
      </c>
      <c r="W88" s="469">
        <f t="shared" si="68"/>
        <v>103.99999999999994</v>
      </c>
      <c r="X88" s="83">
        <v>0.67847222222222225</v>
      </c>
      <c r="Y88" s="83">
        <v>0.68888888888888899</v>
      </c>
      <c r="Z88" s="84"/>
      <c r="AA88" s="84"/>
      <c r="AB88" s="616"/>
      <c r="AC88" s="616"/>
      <c r="AD88" s="457"/>
      <c r="AE88" s="457"/>
      <c r="AF88" s="78">
        <f>N88-K88</f>
        <v>-240.81538461538389</v>
      </c>
      <c r="AG88" s="461">
        <f>N88/K88</f>
        <v>0.85280233214218593</v>
      </c>
      <c r="AH88" s="631"/>
      <c r="AJ88" s="405">
        <f t="shared" si="71"/>
        <v>5.9999999999999787</v>
      </c>
      <c r="AK88" s="406">
        <f t="shared" si="72"/>
        <v>5.9999999999999787</v>
      </c>
    </row>
    <row r="89" spans="1:37" ht="19.2" customHeight="1">
      <c r="A89" s="640"/>
      <c r="B89" s="142" t="s">
        <v>167</v>
      </c>
      <c r="C89" s="465"/>
      <c r="D89" s="71" t="s">
        <v>126</v>
      </c>
      <c r="E89" s="72"/>
      <c r="F89" s="174">
        <v>61.11</v>
      </c>
      <c r="G89" s="148">
        <v>538.6</v>
      </c>
      <c r="H89" s="116">
        <f t="shared" si="62"/>
        <v>32913.845999999998</v>
      </c>
      <c r="I89" s="459">
        <v>1</v>
      </c>
      <c r="J89" s="129">
        <v>16</v>
      </c>
      <c r="K89" s="85">
        <v>1440</v>
      </c>
      <c r="L89" s="118">
        <v>90</v>
      </c>
      <c r="M89" s="467">
        <v>16</v>
      </c>
      <c r="N89" s="85">
        <f t="shared" si="63"/>
        <v>1292.6399999999965</v>
      </c>
      <c r="O89" s="221">
        <f t="shared" si="64"/>
        <v>80.789999999999779</v>
      </c>
      <c r="P89" s="84">
        <f>M89-J89</f>
        <v>0</v>
      </c>
      <c r="Q89" s="119">
        <f>O89-L89</f>
        <v>-9.2100000000002211</v>
      </c>
      <c r="R89" s="224">
        <f>O89/L89</f>
        <v>0.89766666666666417</v>
      </c>
      <c r="S89" s="631"/>
      <c r="T89" s="198">
        <v>0.76666666666666661</v>
      </c>
      <c r="U89" s="198">
        <v>0.78402777777777777</v>
      </c>
      <c r="V89" s="459">
        <v>7</v>
      </c>
      <c r="W89" s="469">
        <f t="shared" si="68"/>
        <v>25.000000000000071</v>
      </c>
      <c r="X89" s="83"/>
      <c r="Y89" s="83"/>
      <c r="Z89" s="84"/>
      <c r="AA89" s="84"/>
      <c r="AB89" s="616"/>
      <c r="AC89" s="616"/>
      <c r="AD89" s="457"/>
      <c r="AE89" s="457"/>
      <c r="AF89" s="78">
        <f>N89-K89</f>
        <v>-147.36000000000354</v>
      </c>
      <c r="AG89" s="461">
        <f>N89/K89</f>
        <v>0.89766666666666417</v>
      </c>
      <c r="AH89" s="631"/>
      <c r="AJ89" s="405">
        <f t="shared" si="71"/>
        <v>7</v>
      </c>
      <c r="AK89" s="406">
        <f t="shared" si="72"/>
        <v>7</v>
      </c>
    </row>
    <row r="90" spans="1:37" ht="19.2" customHeight="1">
      <c r="A90" s="640"/>
      <c r="B90" s="142">
        <v>0</v>
      </c>
      <c r="C90" s="465"/>
      <c r="D90" s="71"/>
      <c r="E90" s="72"/>
      <c r="F90" s="174" t="s">
        <v>161</v>
      </c>
      <c r="G90" s="74"/>
      <c r="H90" s="116">
        <f t="shared" si="62"/>
        <v>0</v>
      </c>
      <c r="I90" s="226"/>
      <c r="J90" s="129"/>
      <c r="K90" s="85"/>
      <c r="L90" s="118"/>
      <c r="M90" s="467"/>
      <c r="N90" s="85"/>
      <c r="O90" s="221"/>
      <c r="P90" s="84"/>
      <c r="Q90" s="119"/>
      <c r="R90" s="224"/>
      <c r="S90" s="631"/>
      <c r="T90" s="198"/>
      <c r="U90" s="198"/>
      <c r="V90" s="459"/>
      <c r="W90" s="469">
        <f t="shared" si="68"/>
        <v>0</v>
      </c>
      <c r="X90" s="227"/>
      <c r="Y90" s="227"/>
      <c r="Z90" s="84"/>
      <c r="AA90" s="84"/>
      <c r="AB90" s="616"/>
      <c r="AC90" s="616"/>
      <c r="AD90" s="457"/>
      <c r="AE90" s="457"/>
      <c r="AF90" s="78">
        <f t="shared" si="69"/>
        <v>0</v>
      </c>
      <c r="AG90" s="461" t="e">
        <f t="shared" si="70"/>
        <v>#DIV/0!</v>
      </c>
      <c r="AH90" s="631"/>
      <c r="AJ90" s="405" t="str">
        <f t="shared" si="71"/>
        <v/>
      </c>
      <c r="AK90" s="406" t="str">
        <f t="shared" si="72"/>
        <v/>
      </c>
    </row>
    <row r="91" spans="1:37" ht="19.2" customHeight="1">
      <c r="A91" s="640"/>
      <c r="B91" s="142">
        <v>0</v>
      </c>
      <c r="C91" s="465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467"/>
      <c r="N91" s="85"/>
      <c r="O91" s="221"/>
      <c r="P91" s="84"/>
      <c r="Q91" s="119"/>
      <c r="R91" s="224"/>
      <c r="S91" s="632"/>
      <c r="T91" s="198"/>
      <c r="U91" s="198"/>
      <c r="V91" s="459"/>
      <c r="W91" s="469">
        <f t="shared" si="68"/>
        <v>0</v>
      </c>
      <c r="X91" s="149"/>
      <c r="Y91" s="149"/>
      <c r="Z91" s="84"/>
      <c r="AA91" s="84"/>
      <c r="AB91" s="616"/>
      <c r="AC91" s="616"/>
      <c r="AD91" s="457"/>
      <c r="AE91" s="457"/>
      <c r="AF91" s="78">
        <f t="shared" si="69"/>
        <v>0</v>
      </c>
      <c r="AG91" s="461" t="e">
        <f t="shared" si="70"/>
        <v>#DIV/0!</v>
      </c>
      <c r="AH91" s="632"/>
      <c r="AJ91" s="405" t="str">
        <f t="shared" si="71"/>
        <v/>
      </c>
      <c r="AK91" s="406" t="str">
        <f t="shared" si="72"/>
        <v/>
      </c>
    </row>
    <row r="92" spans="1:37" ht="19.2" customHeight="1">
      <c r="A92" s="640"/>
      <c r="B92" s="142">
        <v>0</v>
      </c>
      <c r="C92" s="465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632"/>
      <c r="T92" s="198"/>
      <c r="U92" s="198"/>
      <c r="V92" s="459"/>
      <c r="W92" s="469">
        <f t="shared" si="68"/>
        <v>0</v>
      </c>
      <c r="X92" s="218"/>
      <c r="Y92" s="218"/>
      <c r="Z92" s="159"/>
      <c r="AA92" s="159"/>
      <c r="AB92" s="616"/>
      <c r="AC92" s="616"/>
      <c r="AD92" s="457"/>
      <c r="AE92" s="457"/>
      <c r="AF92" s="78">
        <f t="shared" si="69"/>
        <v>0</v>
      </c>
      <c r="AG92" s="461" t="e">
        <f t="shared" si="70"/>
        <v>#DIV/0!</v>
      </c>
      <c r="AH92" s="632"/>
      <c r="AJ92" s="405" t="str">
        <f t="shared" si="71"/>
        <v/>
      </c>
      <c r="AK92" s="406" t="str">
        <f t="shared" si="72"/>
        <v/>
      </c>
    </row>
    <row r="93" spans="1:37" ht="19.2" customHeight="1">
      <c r="A93" s="640"/>
      <c r="B93" s="471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467"/>
      <c r="N93" s="85"/>
      <c r="O93" s="118"/>
      <c r="P93" s="84"/>
      <c r="Q93" s="119"/>
      <c r="R93" s="458"/>
      <c r="S93" s="641"/>
      <c r="T93" s="232"/>
      <c r="U93" s="232"/>
      <c r="V93" s="471"/>
      <c r="W93" s="469">
        <f t="shared" si="68"/>
        <v>0</v>
      </c>
      <c r="X93" s="233"/>
      <c r="Y93" s="233"/>
      <c r="Z93" s="159"/>
      <c r="AA93" s="159"/>
      <c r="AB93" s="616"/>
      <c r="AC93" s="616"/>
      <c r="AD93" s="457"/>
      <c r="AE93" s="457"/>
      <c r="AF93" s="78">
        <f t="shared" si="69"/>
        <v>0</v>
      </c>
      <c r="AG93" s="461" t="e">
        <f t="shared" si="70"/>
        <v>#DIV/0!</v>
      </c>
      <c r="AH93" s="632"/>
      <c r="AJ93" s="405" t="str">
        <f t="shared" si="71"/>
        <v/>
      </c>
      <c r="AK93" s="406" t="str">
        <f t="shared" si="72"/>
        <v/>
      </c>
    </row>
    <row r="94" spans="1:37" ht="19.2" customHeight="1">
      <c r="A94" s="640"/>
      <c r="B94" s="471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458"/>
      <c r="S94" s="641"/>
      <c r="T94" s="232"/>
      <c r="U94" s="232"/>
      <c r="V94" s="471"/>
      <c r="W94" s="469">
        <f>(U94-T94)*24*60</f>
        <v>0</v>
      </c>
      <c r="X94" s="233"/>
      <c r="Y94" s="233"/>
      <c r="Z94" s="159"/>
      <c r="AA94" s="159"/>
      <c r="AB94" s="616"/>
      <c r="AC94" s="616"/>
      <c r="AD94" s="457"/>
      <c r="AE94" s="457"/>
      <c r="AF94" s="78">
        <f t="shared" si="69"/>
        <v>0</v>
      </c>
      <c r="AG94" s="461" t="e">
        <f t="shared" si="70"/>
        <v>#DIV/0!</v>
      </c>
      <c r="AH94" s="632"/>
      <c r="AJ94" s="405" t="str">
        <f t="shared" si="71"/>
        <v/>
      </c>
      <c r="AK94" s="406" t="str">
        <f t="shared" si="72"/>
        <v/>
      </c>
    </row>
    <row r="95" spans="1:37" ht="19.2" customHeight="1">
      <c r="A95" s="640"/>
      <c r="B95" s="236">
        <v>0</v>
      </c>
      <c r="C95" s="132" t="s">
        <v>456</v>
      </c>
      <c r="D95" s="612" t="s">
        <v>377</v>
      </c>
      <c r="E95" s="612"/>
      <c r="F95" s="98"/>
      <c r="G95" s="99"/>
      <c r="H95" s="237"/>
      <c r="I95" s="135"/>
      <c r="J95" s="238">
        <v>16.857142857142858</v>
      </c>
      <c r="K95" s="238">
        <v>1540.1428571428571</v>
      </c>
      <c r="L95" s="239">
        <v>95.24683031107179</v>
      </c>
      <c r="M95" s="238">
        <f t="shared" ref="M95:O95" si="76">AVERAGE(M83:M94)</f>
        <v>16.857142857142858</v>
      </c>
      <c r="N95" s="238">
        <f t="shared" si="76"/>
        <v>1298.6031815086267</v>
      </c>
      <c r="O95" s="239">
        <f t="shared" si="76"/>
        <v>78.692592488508367</v>
      </c>
      <c r="P95" s="240">
        <f>M95-J95</f>
        <v>0</v>
      </c>
      <c r="Q95" s="241">
        <f t="shared" ref="Q95:Q102" si="77">O95-L95</f>
        <v>-16.554237822563422</v>
      </c>
      <c r="R95" s="242">
        <f>O95/L95</f>
        <v>0.82619644382392532</v>
      </c>
      <c r="S95" s="632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616"/>
      <c r="AC95" s="616"/>
      <c r="AD95" s="139">
        <f>SUM(AD83:AD94)</f>
        <v>1</v>
      </c>
      <c r="AE95" s="139">
        <f>SUM(AE83:AE94)</f>
        <v>1</v>
      </c>
      <c r="AF95" s="104">
        <f t="shared" si="69"/>
        <v>-241.53967563423043</v>
      </c>
      <c r="AG95" s="462">
        <f t="shared" si="70"/>
        <v>0.84317060296451041</v>
      </c>
      <c r="AH95" s="632"/>
    </row>
    <row r="96" spans="1:37" ht="19.2" customHeight="1">
      <c r="A96" s="642" t="s">
        <v>457</v>
      </c>
      <c r="B96" s="459" t="s">
        <v>163</v>
      </c>
      <c r="C96" s="127"/>
      <c r="D96" s="128" t="s">
        <v>111</v>
      </c>
      <c r="E96" s="72"/>
      <c r="F96" s="73">
        <v>43.14</v>
      </c>
      <c r="G96" s="74">
        <v>1590</v>
      </c>
      <c r="H96" s="75">
        <f t="shared" ref="H96:H105" si="78">F96*G96</f>
        <v>68592.600000000006</v>
      </c>
      <c r="I96" s="459"/>
      <c r="J96" s="76">
        <v>17</v>
      </c>
      <c r="K96" s="74">
        <v>1500</v>
      </c>
      <c r="L96" s="77">
        <v>88.235294117647058</v>
      </c>
      <c r="M96" s="470">
        <v>17</v>
      </c>
      <c r="N96" s="74">
        <f t="shared" ref="N96:N102" si="79">G96/W96*60</f>
        <v>1343.6619718309862</v>
      </c>
      <c r="O96" s="77">
        <f t="shared" ref="O96:O102" si="80">N96/M96</f>
        <v>79.038939519469778</v>
      </c>
      <c r="P96" s="78">
        <f t="shared" ref="P96:P102" si="81">M96-J96</f>
        <v>0</v>
      </c>
      <c r="Q96" s="79">
        <f t="shared" si="77"/>
        <v>-9.1963545981772796</v>
      </c>
      <c r="R96" s="461">
        <f t="shared" ref="R96:R102" si="82">O96/L96</f>
        <v>0.89577464788732419</v>
      </c>
      <c r="S96" s="631">
        <f>R108</f>
        <v>0.86702528672622436</v>
      </c>
      <c r="T96" s="80">
        <v>0.33333333333333331</v>
      </c>
      <c r="U96" s="80">
        <v>0.38263888888888886</v>
      </c>
      <c r="V96" s="457">
        <v>5</v>
      </c>
      <c r="W96" s="120">
        <f t="shared" ref="W96:W133" si="83">(U96-T96)*24*60</f>
        <v>70.999999999999986</v>
      </c>
      <c r="X96" s="126"/>
      <c r="Y96" s="126"/>
      <c r="Z96" s="84"/>
      <c r="AA96" s="84"/>
      <c r="AB96" s="616"/>
      <c r="AC96" s="616"/>
      <c r="AD96" s="457">
        <v>1</v>
      </c>
      <c r="AE96" s="457"/>
      <c r="AF96" s="84">
        <f t="shared" si="69"/>
        <v>-156.3380281690138</v>
      </c>
      <c r="AG96" s="458">
        <f t="shared" si="70"/>
        <v>0.89577464788732408</v>
      </c>
      <c r="AH96" s="615">
        <f>AG108</f>
        <v>0.85941484726131712</v>
      </c>
    </row>
    <row r="97" spans="1:37" s="252" customFormat="1" ht="19.2" customHeight="1">
      <c r="A97" s="642"/>
      <c r="B97" s="459" t="s">
        <v>163</v>
      </c>
      <c r="C97" s="243"/>
      <c r="D97" s="244" t="s">
        <v>130</v>
      </c>
      <c r="E97" s="87"/>
      <c r="F97" s="245">
        <v>29.113149847094796</v>
      </c>
      <c r="G97" s="246">
        <v>2361.75</v>
      </c>
      <c r="H97" s="247">
        <f t="shared" si="78"/>
        <v>68757.981651376133</v>
      </c>
      <c r="I97" s="153"/>
      <c r="J97" s="76">
        <v>20</v>
      </c>
      <c r="K97" s="74">
        <v>1385</v>
      </c>
      <c r="L97" s="77">
        <v>69.25</v>
      </c>
      <c r="M97" s="129">
        <v>20</v>
      </c>
      <c r="N97" s="74">
        <f t="shared" si="79"/>
        <v>1115.787401574803</v>
      </c>
      <c r="O97" s="77">
        <f t="shared" si="80"/>
        <v>55.789370078740149</v>
      </c>
      <c r="P97" s="78">
        <f t="shared" si="81"/>
        <v>0</v>
      </c>
      <c r="Q97" s="79">
        <f t="shared" si="77"/>
        <v>-13.460629921259851</v>
      </c>
      <c r="R97" s="461">
        <f t="shared" si="82"/>
        <v>0.80562267261718623</v>
      </c>
      <c r="S97" s="631"/>
      <c r="T97" s="248">
        <v>0.39791666666666664</v>
      </c>
      <c r="U97" s="248">
        <v>0.4861111111111111</v>
      </c>
      <c r="V97" s="249">
        <v>22</v>
      </c>
      <c r="W97" s="120">
        <f t="shared" si="83"/>
        <v>127.00000000000003</v>
      </c>
      <c r="X97" s="83">
        <v>0.38750000000000001</v>
      </c>
      <c r="Y97" s="83">
        <v>0.3972222222222222</v>
      </c>
      <c r="Z97" s="84"/>
      <c r="AA97" s="84"/>
      <c r="AB97" s="616"/>
      <c r="AC97" s="616"/>
      <c r="AD97" s="249"/>
      <c r="AE97" s="249"/>
      <c r="AF97" s="250">
        <f t="shared" si="69"/>
        <v>-269.21259842519703</v>
      </c>
      <c r="AG97" s="251">
        <f t="shared" si="70"/>
        <v>0.80562267261718623</v>
      </c>
      <c r="AH97" s="615"/>
      <c r="AJ97" s="62"/>
      <c r="AK97" s="62"/>
    </row>
    <row r="98" spans="1:37" s="255" customFormat="1" ht="19.2" customHeight="1">
      <c r="A98" s="642"/>
      <c r="B98" s="459" t="s">
        <v>166</v>
      </c>
      <c r="C98" s="86"/>
      <c r="D98" s="71" t="s">
        <v>123</v>
      </c>
      <c r="E98" s="114"/>
      <c r="F98" s="245">
        <v>51.44</v>
      </c>
      <c r="G98" s="85">
        <v>1166</v>
      </c>
      <c r="H98" s="247">
        <f t="shared" si="78"/>
        <v>59979.040000000001</v>
      </c>
      <c r="I98" s="457"/>
      <c r="J98" s="76">
        <v>20</v>
      </c>
      <c r="K98" s="74">
        <v>1440</v>
      </c>
      <c r="L98" s="77">
        <v>72</v>
      </c>
      <c r="M98" s="129">
        <v>20</v>
      </c>
      <c r="N98" s="74">
        <f t="shared" si="79"/>
        <v>1166.0000000000011</v>
      </c>
      <c r="O98" s="77">
        <f t="shared" si="80"/>
        <v>58.300000000000054</v>
      </c>
      <c r="P98" s="78">
        <f t="shared" si="81"/>
        <v>0</v>
      </c>
      <c r="Q98" s="79">
        <f t="shared" si="77"/>
        <v>-13.699999999999946</v>
      </c>
      <c r="R98" s="461">
        <f t="shared" si="82"/>
        <v>0.80972222222222301</v>
      </c>
      <c r="S98" s="631"/>
      <c r="T98" s="80">
        <v>0.52638888888888891</v>
      </c>
      <c r="U98" s="80">
        <v>0.56805555555555554</v>
      </c>
      <c r="V98" s="457">
        <v>5</v>
      </c>
      <c r="W98" s="120">
        <f t="shared" si="83"/>
        <v>59.999999999999943</v>
      </c>
      <c r="X98" s="253"/>
      <c r="Y98" s="253"/>
      <c r="Z98" s="254"/>
      <c r="AA98" s="254"/>
      <c r="AB98" s="616"/>
      <c r="AC98" s="616"/>
      <c r="AD98" s="457"/>
      <c r="AE98" s="457"/>
      <c r="AF98" s="250">
        <f t="shared" si="69"/>
        <v>-273.99999999999886</v>
      </c>
      <c r="AG98" s="458">
        <f t="shared" si="70"/>
        <v>0.80972222222222301</v>
      </c>
      <c r="AH98" s="615"/>
      <c r="AJ98" s="62"/>
      <c r="AK98" s="62"/>
    </row>
    <row r="99" spans="1:37" ht="19.2" customHeight="1">
      <c r="A99" s="642"/>
      <c r="B99" s="459" t="s">
        <v>166</v>
      </c>
      <c r="C99" s="112"/>
      <c r="D99" s="113" t="s">
        <v>192</v>
      </c>
      <c r="E99" s="114"/>
      <c r="F99" s="245">
        <v>56.43</v>
      </c>
      <c r="G99" s="85">
        <v>1572</v>
      </c>
      <c r="H99" s="247">
        <f t="shared" si="78"/>
        <v>88707.96</v>
      </c>
      <c r="I99" s="457"/>
      <c r="J99" s="76">
        <v>19</v>
      </c>
      <c r="K99" s="74">
        <v>1385</v>
      </c>
      <c r="L99" s="77">
        <v>72.89473684210526</v>
      </c>
      <c r="M99" s="470">
        <v>19</v>
      </c>
      <c r="N99" s="74">
        <f t="shared" si="79"/>
        <v>1274.5945945945937</v>
      </c>
      <c r="O99" s="77">
        <f t="shared" si="80"/>
        <v>67.083926031294411</v>
      </c>
      <c r="P99" s="78">
        <f t="shared" si="81"/>
        <v>0</v>
      </c>
      <c r="Q99" s="79">
        <f t="shared" si="77"/>
        <v>-5.8108108108108496</v>
      </c>
      <c r="R99" s="461">
        <f t="shared" si="82"/>
        <v>0.92028490584447209</v>
      </c>
      <c r="S99" s="631"/>
      <c r="T99" s="80">
        <v>0.57291666666666663</v>
      </c>
      <c r="U99" s="80">
        <v>0.62430555555555556</v>
      </c>
      <c r="V99" s="457">
        <v>7</v>
      </c>
      <c r="W99" s="120">
        <f t="shared" si="83"/>
        <v>74.000000000000057</v>
      </c>
      <c r="X99" s="218"/>
      <c r="Y99" s="218"/>
      <c r="Z99" s="159"/>
      <c r="AA99" s="159"/>
      <c r="AB99" s="616"/>
      <c r="AC99" s="616"/>
      <c r="AD99" s="457"/>
      <c r="AE99" s="457"/>
      <c r="AF99" s="250">
        <f t="shared" si="69"/>
        <v>-110.40540540540633</v>
      </c>
      <c r="AG99" s="251">
        <f t="shared" si="70"/>
        <v>0.92028490584447198</v>
      </c>
      <c r="AH99" s="615"/>
    </row>
    <row r="100" spans="1:37" s="255" customFormat="1" ht="19.2" customHeight="1">
      <c r="A100" s="642"/>
      <c r="B100" s="459" t="s">
        <v>166</v>
      </c>
      <c r="C100" s="86"/>
      <c r="D100" s="71" t="s">
        <v>196</v>
      </c>
      <c r="E100" s="114"/>
      <c r="F100" s="245">
        <v>57.3</v>
      </c>
      <c r="G100" s="85">
        <v>2493</v>
      </c>
      <c r="H100" s="247">
        <f t="shared" si="78"/>
        <v>142848.9</v>
      </c>
      <c r="I100" s="457"/>
      <c r="J100" s="76">
        <v>19</v>
      </c>
      <c r="K100" s="74">
        <v>1440</v>
      </c>
      <c r="L100" s="77">
        <v>75.78947368421052</v>
      </c>
      <c r="M100" s="129">
        <v>19</v>
      </c>
      <c r="N100" s="74">
        <f t="shared" si="79"/>
        <v>1300.6956521739139</v>
      </c>
      <c r="O100" s="77">
        <f t="shared" si="80"/>
        <v>68.457665903890202</v>
      </c>
      <c r="P100" s="78">
        <f t="shared" si="81"/>
        <v>0</v>
      </c>
      <c r="Q100" s="79">
        <f t="shared" si="77"/>
        <v>-7.3318077803203181</v>
      </c>
      <c r="R100" s="461">
        <f t="shared" si="82"/>
        <v>0.90326086956521801</v>
      </c>
      <c r="S100" s="631"/>
      <c r="T100" s="248">
        <v>0.63958333333333328</v>
      </c>
      <c r="U100" s="248">
        <v>0.71944444444444433</v>
      </c>
      <c r="V100" s="249">
        <v>22</v>
      </c>
      <c r="W100" s="120">
        <f t="shared" si="83"/>
        <v>114.99999999999991</v>
      </c>
      <c r="X100" s="256">
        <v>0.62916666666666665</v>
      </c>
      <c r="Y100" s="256">
        <v>0.63888888888888895</v>
      </c>
      <c r="Z100" s="254"/>
      <c r="AA100" s="254"/>
      <c r="AB100" s="616"/>
      <c r="AC100" s="616"/>
      <c r="AD100" s="457"/>
      <c r="AE100" s="457">
        <v>1</v>
      </c>
      <c r="AF100" s="250">
        <f t="shared" si="69"/>
        <v>-139.30434782608609</v>
      </c>
      <c r="AG100" s="458">
        <f t="shared" si="70"/>
        <v>0.90326086956521801</v>
      </c>
      <c r="AH100" s="615"/>
      <c r="AJ100" s="62"/>
      <c r="AK100" s="62"/>
    </row>
    <row r="101" spans="1:37" s="255" customFormat="1" ht="19.2" customHeight="1">
      <c r="A101" s="642"/>
      <c r="B101" s="459" t="s">
        <v>163</v>
      </c>
      <c r="C101" s="86"/>
      <c r="D101" s="113" t="s">
        <v>130</v>
      </c>
      <c r="E101" s="114"/>
      <c r="F101" s="245">
        <v>29.113149847094796</v>
      </c>
      <c r="G101" s="85">
        <v>787.25</v>
      </c>
      <c r="H101" s="247">
        <f t="shared" si="78"/>
        <v>22919.327217125378</v>
      </c>
      <c r="I101" s="457">
        <v>1</v>
      </c>
      <c r="J101" s="76">
        <v>20</v>
      </c>
      <c r="K101" s="74">
        <v>1385</v>
      </c>
      <c r="L101" s="77">
        <v>69.25</v>
      </c>
      <c r="M101" s="129">
        <v>19</v>
      </c>
      <c r="N101" s="74">
        <f t="shared" si="79"/>
        <v>1098.4883720930231</v>
      </c>
      <c r="O101" s="77">
        <f t="shared" si="80"/>
        <v>57.815177478580168</v>
      </c>
      <c r="P101" s="78">
        <f t="shared" si="81"/>
        <v>-1</v>
      </c>
      <c r="Q101" s="79">
        <f t="shared" si="77"/>
        <v>-11.434822521419832</v>
      </c>
      <c r="R101" s="461">
        <f t="shared" si="82"/>
        <v>0.83487620907696991</v>
      </c>
      <c r="S101" s="631"/>
      <c r="T101" s="248">
        <v>0.72430555555555542</v>
      </c>
      <c r="U101" s="80">
        <v>0.75416666666666654</v>
      </c>
      <c r="V101" s="249">
        <v>7</v>
      </c>
      <c r="W101" s="120">
        <f t="shared" si="83"/>
        <v>43.000000000000007</v>
      </c>
      <c r="X101" s="257"/>
      <c r="Y101" s="257"/>
      <c r="Z101" s="254"/>
      <c r="AA101" s="254"/>
      <c r="AB101" s="616"/>
      <c r="AC101" s="616"/>
      <c r="AD101" s="457">
        <v>1</v>
      </c>
      <c r="AE101" s="457"/>
      <c r="AF101" s="250">
        <f t="shared" si="69"/>
        <v>-286.51162790697686</v>
      </c>
      <c r="AG101" s="251">
        <f t="shared" si="70"/>
        <v>0.79313239862312146</v>
      </c>
      <c r="AH101" s="615"/>
      <c r="AJ101" s="62"/>
      <c r="AK101" s="62"/>
    </row>
    <row r="102" spans="1:37" s="255" customFormat="1" ht="19.2" customHeight="1">
      <c r="A102" s="642"/>
      <c r="B102" s="459" t="s">
        <v>163</v>
      </c>
      <c r="C102" s="213"/>
      <c r="D102" s="113" t="s">
        <v>111</v>
      </c>
      <c r="E102" s="215"/>
      <c r="F102" s="245">
        <v>43.14</v>
      </c>
      <c r="G102" s="85">
        <v>530</v>
      </c>
      <c r="H102" s="247">
        <f t="shared" si="78"/>
        <v>22864.2</v>
      </c>
      <c r="I102" s="459">
        <v>1</v>
      </c>
      <c r="J102" s="76">
        <v>17</v>
      </c>
      <c r="K102" s="74">
        <v>1500</v>
      </c>
      <c r="L102" s="77">
        <v>88.235294117647058</v>
      </c>
      <c r="M102" s="129">
        <v>17</v>
      </c>
      <c r="N102" s="74">
        <f t="shared" si="79"/>
        <v>1324.9999999999959</v>
      </c>
      <c r="O102" s="77">
        <f t="shared" si="80"/>
        <v>77.94117647058799</v>
      </c>
      <c r="P102" s="78">
        <f t="shared" si="81"/>
        <v>0</v>
      </c>
      <c r="Q102" s="79">
        <f t="shared" si="77"/>
        <v>-10.294117647059068</v>
      </c>
      <c r="R102" s="461">
        <f t="shared" si="82"/>
        <v>0.88333333333333053</v>
      </c>
      <c r="S102" s="631"/>
      <c r="T102" s="248">
        <v>0.75902777777777763</v>
      </c>
      <c r="U102" s="248">
        <v>0.77569444444444435</v>
      </c>
      <c r="V102" s="249">
        <v>7</v>
      </c>
      <c r="W102" s="120">
        <f t="shared" si="83"/>
        <v>24.000000000000075</v>
      </c>
      <c r="X102" s="257"/>
      <c r="Y102" s="257"/>
      <c r="Z102" s="254"/>
      <c r="AA102" s="254"/>
      <c r="AB102" s="616"/>
      <c r="AC102" s="616"/>
      <c r="AD102" s="457"/>
      <c r="AE102" s="457"/>
      <c r="AF102" s="250">
        <f t="shared" si="69"/>
        <v>-175.00000000000409</v>
      </c>
      <c r="AG102" s="458">
        <f t="shared" si="70"/>
        <v>0.88333333333333064</v>
      </c>
      <c r="AH102" s="615"/>
      <c r="AJ102" s="62"/>
      <c r="AK102" s="62"/>
    </row>
    <row r="103" spans="1:37" s="255" customFormat="1" ht="19.2" customHeight="1">
      <c r="A103" s="642"/>
      <c r="B103" s="459">
        <v>0</v>
      </c>
      <c r="C103" s="258"/>
      <c r="D103" s="113"/>
      <c r="E103" s="114"/>
      <c r="F103" s="245" t="s">
        <v>161</v>
      </c>
      <c r="G103" s="85"/>
      <c r="H103" s="247">
        <f t="shared" si="78"/>
        <v>0</v>
      </c>
      <c r="I103" s="259"/>
      <c r="J103" s="76"/>
      <c r="K103" s="74"/>
      <c r="L103" s="77"/>
      <c r="M103" s="129"/>
      <c r="N103" s="74"/>
      <c r="O103" s="77"/>
      <c r="P103" s="78"/>
      <c r="Q103" s="79"/>
      <c r="R103" s="461"/>
      <c r="S103" s="631"/>
      <c r="T103" s="248"/>
      <c r="U103" s="248"/>
      <c r="V103" s="249"/>
      <c r="W103" s="120">
        <f t="shared" si="83"/>
        <v>0</v>
      </c>
      <c r="X103" s="257"/>
      <c r="Y103" s="257"/>
      <c r="Z103" s="254"/>
      <c r="AA103" s="254"/>
      <c r="AB103" s="616"/>
      <c r="AC103" s="616"/>
      <c r="AD103" s="457"/>
      <c r="AE103" s="457"/>
      <c r="AF103" s="84">
        <f t="shared" si="69"/>
        <v>0</v>
      </c>
      <c r="AG103" s="458" t="e">
        <f t="shared" si="70"/>
        <v>#DIV/0!</v>
      </c>
      <c r="AH103" s="615"/>
      <c r="AJ103" s="62"/>
      <c r="AK103" s="62"/>
    </row>
    <row r="104" spans="1:37" s="255" customFormat="1" ht="19.2" customHeight="1">
      <c r="A104" s="642"/>
      <c r="B104" s="459">
        <v>0</v>
      </c>
      <c r="C104" s="260"/>
      <c r="D104" s="113"/>
      <c r="E104" s="114"/>
      <c r="F104" s="245" t="s">
        <v>161</v>
      </c>
      <c r="G104" s="246"/>
      <c r="H104" s="247">
        <f t="shared" si="78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461"/>
      <c r="S104" s="632"/>
      <c r="T104" s="248"/>
      <c r="U104" s="248"/>
      <c r="V104" s="249"/>
      <c r="W104" s="120">
        <f t="shared" si="83"/>
        <v>0</v>
      </c>
      <c r="X104" s="257"/>
      <c r="Y104" s="257"/>
      <c r="Z104" s="254"/>
      <c r="AA104" s="254"/>
      <c r="AB104" s="616"/>
      <c r="AC104" s="616"/>
      <c r="AD104" s="457"/>
      <c r="AE104" s="457"/>
      <c r="AF104" s="250">
        <f t="shared" si="69"/>
        <v>0</v>
      </c>
      <c r="AG104" s="251" t="e">
        <f t="shared" si="70"/>
        <v>#DIV/0!</v>
      </c>
      <c r="AH104" s="615"/>
      <c r="AJ104" s="62"/>
      <c r="AK104" s="62"/>
    </row>
    <row r="105" spans="1:37" s="255" customFormat="1" ht="19.2" customHeight="1">
      <c r="A105" s="642"/>
      <c r="B105" s="459">
        <v>0</v>
      </c>
      <c r="C105" s="260"/>
      <c r="D105" s="113"/>
      <c r="E105" s="114"/>
      <c r="F105" s="245" t="s">
        <v>161</v>
      </c>
      <c r="G105" s="246"/>
      <c r="H105" s="247">
        <f t="shared" si="78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461"/>
      <c r="S105" s="632"/>
      <c r="T105" s="248"/>
      <c r="U105" s="248"/>
      <c r="V105" s="249"/>
      <c r="W105" s="120">
        <f t="shared" si="83"/>
        <v>0</v>
      </c>
      <c r="X105" s="257"/>
      <c r="Y105" s="257"/>
      <c r="Z105" s="254"/>
      <c r="AA105" s="254"/>
      <c r="AB105" s="616"/>
      <c r="AC105" s="616"/>
      <c r="AD105" s="457"/>
      <c r="AE105" s="457"/>
      <c r="AF105" s="84">
        <f t="shared" si="69"/>
        <v>0</v>
      </c>
      <c r="AG105" s="458" t="e">
        <f t="shared" si="70"/>
        <v>#DIV/0!</v>
      </c>
      <c r="AH105" s="615"/>
      <c r="AJ105" s="62"/>
      <c r="AK105" s="62"/>
    </row>
    <row r="106" spans="1:37" s="255" customFormat="1" ht="19.2" customHeight="1">
      <c r="A106" s="642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461"/>
      <c r="S106" s="641"/>
      <c r="T106" s="248"/>
      <c r="U106" s="248"/>
      <c r="V106" s="249"/>
      <c r="W106" s="120">
        <f t="shared" si="83"/>
        <v>0</v>
      </c>
      <c r="X106" s="257"/>
      <c r="Y106" s="257"/>
      <c r="Z106" s="254"/>
      <c r="AA106" s="254"/>
      <c r="AB106" s="616"/>
      <c r="AC106" s="616"/>
      <c r="AD106" s="457"/>
      <c r="AE106" s="457"/>
      <c r="AF106" s="84">
        <f t="shared" si="69"/>
        <v>0</v>
      </c>
      <c r="AG106" s="458" t="e">
        <f t="shared" si="70"/>
        <v>#DIV/0!</v>
      </c>
      <c r="AH106" s="615"/>
      <c r="AJ106" s="62"/>
      <c r="AK106" s="62"/>
    </row>
    <row r="107" spans="1:37" s="255" customFormat="1" ht="19.2" customHeight="1">
      <c r="A107" s="642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458"/>
      <c r="S107" s="641"/>
      <c r="T107" s="248"/>
      <c r="U107" s="248"/>
      <c r="V107" s="249"/>
      <c r="W107" s="120">
        <f t="shared" si="83"/>
        <v>0</v>
      </c>
      <c r="X107" s="257"/>
      <c r="Y107" s="257"/>
      <c r="Z107" s="254"/>
      <c r="AA107" s="254"/>
      <c r="AB107" s="616"/>
      <c r="AC107" s="616"/>
      <c r="AD107" s="457"/>
      <c r="AE107" s="457"/>
      <c r="AF107" s="254"/>
      <c r="AG107" s="458"/>
      <c r="AH107" s="615"/>
      <c r="AJ107" s="62"/>
      <c r="AK107" s="62"/>
    </row>
    <row r="108" spans="1:37" ht="19.2" customHeight="1">
      <c r="A108" s="642"/>
      <c r="B108" s="142">
        <v>0</v>
      </c>
      <c r="C108" s="132" t="s">
        <v>458</v>
      </c>
      <c r="D108" s="612" t="s">
        <v>377</v>
      </c>
      <c r="E108" s="612"/>
      <c r="F108" s="263"/>
      <c r="G108" s="103"/>
      <c r="H108" s="134"/>
      <c r="I108" s="135"/>
      <c r="J108" s="103">
        <v>18.857142857142858</v>
      </c>
      <c r="K108" s="103">
        <v>1433.5714285714287</v>
      </c>
      <c r="L108" s="136">
        <v>76.522114108801404</v>
      </c>
      <c r="M108" s="103">
        <f t="shared" ref="M108:O108" si="84">AVERAGE(M96:M107)</f>
        <v>18.714285714285715</v>
      </c>
      <c r="N108" s="103">
        <f t="shared" si="84"/>
        <v>1232.0325703239025</v>
      </c>
      <c r="O108" s="136">
        <f t="shared" si="84"/>
        <v>66.346607926080395</v>
      </c>
      <c r="P108" s="84">
        <f t="shared" ref="P108:P118" si="85">M108-J108</f>
        <v>-0.14285714285714235</v>
      </c>
      <c r="Q108" s="119">
        <f t="shared" ref="Q108:Q118" si="86">O108-L108</f>
        <v>-10.175506182721008</v>
      </c>
      <c r="R108" s="137">
        <f t="shared" ref="R108:R118" si="87">O108/L108</f>
        <v>0.86702528672622436</v>
      </c>
      <c r="S108" s="632"/>
      <c r="T108" s="80"/>
      <c r="U108" s="80"/>
      <c r="V108" s="85"/>
      <c r="W108" s="120">
        <f t="shared" si="83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616"/>
      <c r="AC108" s="616"/>
      <c r="AD108" s="139">
        <f>SUM(AD96:AD107)</f>
        <v>2</v>
      </c>
      <c r="AE108" s="139">
        <f>SUM(AE96:AE107)</f>
        <v>1</v>
      </c>
      <c r="AF108" s="84">
        <f t="shared" si="69"/>
        <v>-201.53885824752615</v>
      </c>
      <c r="AG108" s="458">
        <f t="shared" si="70"/>
        <v>0.85941484726131712</v>
      </c>
      <c r="AH108" s="615"/>
    </row>
    <row r="109" spans="1:37" ht="19.2" customHeight="1">
      <c r="A109" s="633" t="s">
        <v>459</v>
      </c>
      <c r="B109" s="459" t="s">
        <v>166</v>
      </c>
      <c r="C109" s="465"/>
      <c r="D109" s="264" t="s">
        <v>123</v>
      </c>
      <c r="E109" s="72"/>
      <c r="F109" s="73">
        <v>51.44</v>
      </c>
      <c r="G109" s="74">
        <v>1166</v>
      </c>
      <c r="H109" s="75">
        <f t="shared" ref="H109:H119" si="88">F109*G109</f>
        <v>59979.040000000001</v>
      </c>
      <c r="I109" s="459"/>
      <c r="J109" s="76">
        <v>20</v>
      </c>
      <c r="K109" s="74">
        <v>1440</v>
      </c>
      <c r="L109" s="77">
        <v>72</v>
      </c>
      <c r="M109" s="470">
        <v>20</v>
      </c>
      <c r="N109" s="74">
        <f t="shared" ref="N109:N118" si="89">G109/W109*60</f>
        <v>1185.7627118644077</v>
      </c>
      <c r="O109" s="77">
        <f t="shared" ref="O109:O118" si="90">N109/M109</f>
        <v>59.288135593220389</v>
      </c>
      <c r="P109" s="78">
        <f t="shared" si="85"/>
        <v>0</v>
      </c>
      <c r="Q109" s="79">
        <f t="shared" si="86"/>
        <v>-12.711864406779611</v>
      </c>
      <c r="R109" s="461">
        <f t="shared" si="87"/>
        <v>0.82344632768361647</v>
      </c>
      <c r="S109" s="636">
        <f>R121</f>
        <v>0.93257451579758932</v>
      </c>
      <c r="T109" s="265">
        <v>0.5</v>
      </c>
      <c r="U109" s="265">
        <v>0.54097222222222219</v>
      </c>
      <c r="V109" s="266">
        <v>5</v>
      </c>
      <c r="W109" s="469">
        <f t="shared" si="83"/>
        <v>58.99999999999995</v>
      </c>
      <c r="X109" s="83"/>
      <c r="Y109" s="83"/>
      <c r="Z109" s="84"/>
      <c r="AA109" s="84"/>
      <c r="AB109" s="616"/>
      <c r="AC109" s="616"/>
      <c r="AD109" s="457"/>
      <c r="AE109" s="457"/>
      <c r="AF109" s="78">
        <f t="shared" si="69"/>
        <v>-254.23728813559228</v>
      </c>
      <c r="AG109" s="160">
        <f t="shared" si="70"/>
        <v>0.82344632768361647</v>
      </c>
      <c r="AH109" s="615">
        <f>AG121</f>
        <v>0.93454991439384594</v>
      </c>
      <c r="AJ109" s="62" t="str">
        <f>A109</f>
        <v>綜合一組
(ET-55)</v>
      </c>
      <c r="AK109" s="404">
        <f>AVERAGE(AK110:AK120)</f>
        <v>6.3333333333333632</v>
      </c>
    </row>
    <row r="110" spans="1:37" ht="19.2" customHeight="1">
      <c r="A110" s="634"/>
      <c r="B110" s="459" t="s">
        <v>165</v>
      </c>
      <c r="C110" s="213"/>
      <c r="D110" s="71" t="s">
        <v>133</v>
      </c>
      <c r="E110" s="215"/>
      <c r="F110" s="73">
        <v>29.965493443754308</v>
      </c>
      <c r="G110" s="212">
        <v>1658</v>
      </c>
      <c r="H110" s="75">
        <f t="shared" si="88"/>
        <v>49682.788129744644</v>
      </c>
      <c r="I110" s="459"/>
      <c r="J110" s="76">
        <v>18</v>
      </c>
      <c r="K110" s="74">
        <v>1200</v>
      </c>
      <c r="L110" s="77">
        <v>66.666666666666671</v>
      </c>
      <c r="M110" s="470">
        <v>18</v>
      </c>
      <c r="N110" s="74">
        <f t="shared" si="89"/>
        <v>1069.6774193548406</v>
      </c>
      <c r="O110" s="77">
        <f t="shared" si="90"/>
        <v>59.426523297491144</v>
      </c>
      <c r="P110" s="78">
        <f t="shared" si="85"/>
        <v>0</v>
      </c>
      <c r="Q110" s="79">
        <f t="shared" si="86"/>
        <v>-7.2401433691755273</v>
      </c>
      <c r="R110" s="461">
        <f t="shared" si="87"/>
        <v>0.89139784946236711</v>
      </c>
      <c r="S110" s="622"/>
      <c r="T110" s="265">
        <v>0.54513888888888895</v>
      </c>
      <c r="U110" s="265">
        <v>0.60972222222222217</v>
      </c>
      <c r="V110" s="266">
        <v>6</v>
      </c>
      <c r="W110" s="469">
        <f t="shared" si="83"/>
        <v>92.999999999999829</v>
      </c>
      <c r="X110" s="227"/>
      <c r="Y110" s="227"/>
      <c r="Z110" s="84"/>
      <c r="AA110" s="84"/>
      <c r="AB110" s="616"/>
      <c r="AC110" s="616"/>
      <c r="AD110" s="457"/>
      <c r="AE110" s="457"/>
      <c r="AF110" s="78">
        <f t="shared" si="69"/>
        <v>-130.32258064515941</v>
      </c>
      <c r="AG110" s="160">
        <f t="shared" si="70"/>
        <v>0.89139784946236711</v>
      </c>
      <c r="AH110" s="615"/>
      <c r="AJ110" s="405">
        <f>IF((IF(V110&lt;10,V110,(X110-U109)*1440))=0,"",IF(V110&lt;10,V110,(X110-U109)*1440))</f>
        <v>6</v>
      </c>
      <c r="AK110" s="406">
        <f>IF(AJ110&gt;4,AJ110,"")</f>
        <v>6</v>
      </c>
    </row>
    <row r="111" spans="1:37" ht="19.2" customHeight="1">
      <c r="A111" s="634"/>
      <c r="B111" s="459" t="s">
        <v>165</v>
      </c>
      <c r="C111" s="213"/>
      <c r="D111" s="214" t="s">
        <v>109</v>
      </c>
      <c r="E111" s="215"/>
      <c r="F111" s="73">
        <v>34.229999999999997</v>
      </c>
      <c r="G111" s="85">
        <v>1235.1499999999999</v>
      </c>
      <c r="H111" s="75">
        <f t="shared" si="88"/>
        <v>42279.184499999988</v>
      </c>
      <c r="I111" s="457">
        <v>1</v>
      </c>
      <c r="J111" s="76">
        <v>13</v>
      </c>
      <c r="K111" s="74">
        <v>2250</v>
      </c>
      <c r="L111" s="77">
        <v>173.07692307692307</v>
      </c>
      <c r="M111" s="267">
        <v>13</v>
      </c>
      <c r="N111" s="74">
        <f t="shared" si="89"/>
        <v>2179.6764705882324</v>
      </c>
      <c r="O111" s="77">
        <f t="shared" si="90"/>
        <v>167.66742081447941</v>
      </c>
      <c r="P111" s="78">
        <f t="shared" si="85"/>
        <v>0</v>
      </c>
      <c r="Q111" s="79">
        <f t="shared" si="86"/>
        <v>-5.4095022624436524</v>
      </c>
      <c r="R111" s="461">
        <f t="shared" si="87"/>
        <v>0.96874509803921449</v>
      </c>
      <c r="S111" s="622"/>
      <c r="T111" s="265">
        <v>0.62499999999999989</v>
      </c>
      <c r="U111" s="265">
        <v>0.64861111111111103</v>
      </c>
      <c r="V111" s="266">
        <v>22</v>
      </c>
      <c r="W111" s="469">
        <f t="shared" si="83"/>
        <v>34.000000000000043</v>
      </c>
      <c r="X111" s="83">
        <v>0.61388888888888882</v>
      </c>
      <c r="Y111" s="83">
        <v>0.62430555555555556</v>
      </c>
      <c r="Z111" s="84"/>
      <c r="AA111" s="84"/>
      <c r="AB111" s="616"/>
      <c r="AC111" s="616"/>
      <c r="AD111" s="457"/>
      <c r="AE111" s="457"/>
      <c r="AF111" s="78">
        <f t="shared" si="69"/>
        <v>-70.323529411767595</v>
      </c>
      <c r="AG111" s="160">
        <f t="shared" si="70"/>
        <v>0.96874509803921438</v>
      </c>
      <c r="AH111" s="615"/>
      <c r="AJ111" s="405">
        <f t="shared" ref="AJ111:AJ120" si="91">IF((IF(V111&lt;10,V111,(X111-U110)*1440))=0,"",IF(V111&lt;10,V111,(X111-U110)*1440))</f>
        <v>5.9999999999999787</v>
      </c>
      <c r="AK111" s="406">
        <f t="shared" ref="AK111:AK120" si="92">IF(AJ111&gt;4,AJ111,"")</f>
        <v>5.9999999999999787</v>
      </c>
    </row>
    <row r="112" spans="1:37" ht="19.2" customHeight="1">
      <c r="A112" s="634"/>
      <c r="B112" s="459" t="s">
        <v>165</v>
      </c>
      <c r="C112" s="213"/>
      <c r="D112" s="214" t="s">
        <v>110</v>
      </c>
      <c r="E112" s="114"/>
      <c r="F112" s="73">
        <v>35.83</v>
      </c>
      <c r="G112" s="85">
        <v>1945.3</v>
      </c>
      <c r="H112" s="75">
        <f t="shared" si="88"/>
        <v>69700.099000000002</v>
      </c>
      <c r="I112" s="457">
        <v>1</v>
      </c>
      <c r="J112" s="76">
        <v>11</v>
      </c>
      <c r="K112" s="74">
        <v>2250</v>
      </c>
      <c r="L112" s="77">
        <v>204.54545454545453</v>
      </c>
      <c r="M112" s="470">
        <v>11</v>
      </c>
      <c r="N112" s="74">
        <f t="shared" si="89"/>
        <v>2122.1454545454558</v>
      </c>
      <c r="O112" s="77">
        <f t="shared" si="90"/>
        <v>192.9223140495869</v>
      </c>
      <c r="P112" s="78">
        <f t="shared" si="85"/>
        <v>0</v>
      </c>
      <c r="Q112" s="79">
        <f t="shared" si="86"/>
        <v>-11.623140495867631</v>
      </c>
      <c r="R112" s="461">
        <f t="shared" si="87"/>
        <v>0.94317575757575822</v>
      </c>
      <c r="S112" s="622"/>
      <c r="T112" s="265">
        <v>0.65347222222222212</v>
      </c>
      <c r="U112" s="265">
        <v>0.69166666666666654</v>
      </c>
      <c r="V112" s="266">
        <v>7</v>
      </c>
      <c r="W112" s="469">
        <f t="shared" si="83"/>
        <v>54.999999999999964</v>
      </c>
      <c r="X112" s="253"/>
      <c r="Y112" s="253"/>
      <c r="Z112" s="84"/>
      <c r="AA112" s="84"/>
      <c r="AB112" s="616"/>
      <c r="AC112" s="616"/>
      <c r="AD112" s="457"/>
      <c r="AE112" s="457"/>
      <c r="AF112" s="78">
        <f t="shared" si="69"/>
        <v>-127.85454545454422</v>
      </c>
      <c r="AG112" s="160">
        <f t="shared" si="70"/>
        <v>0.94317575757575811</v>
      </c>
      <c r="AH112" s="615"/>
      <c r="AJ112" s="405">
        <f t="shared" si="91"/>
        <v>7</v>
      </c>
      <c r="AK112" s="406">
        <f t="shared" si="92"/>
        <v>7</v>
      </c>
    </row>
    <row r="113" spans="1:37" s="255" customFormat="1" ht="19.2" customHeight="1">
      <c r="A113" s="634"/>
      <c r="B113" s="459" t="s">
        <v>166</v>
      </c>
      <c r="C113" s="213"/>
      <c r="D113" s="214" t="s">
        <v>135</v>
      </c>
      <c r="E113" s="114"/>
      <c r="F113" s="73">
        <v>58.17</v>
      </c>
      <c r="G113" s="85">
        <v>1306</v>
      </c>
      <c r="H113" s="75">
        <f t="shared" si="88"/>
        <v>75970.02</v>
      </c>
      <c r="I113" s="457"/>
      <c r="J113" s="76">
        <v>14</v>
      </c>
      <c r="K113" s="74">
        <v>1440</v>
      </c>
      <c r="L113" s="77">
        <v>102.85714285714286</v>
      </c>
      <c r="M113" s="467">
        <v>14</v>
      </c>
      <c r="N113" s="74">
        <f t="shared" si="89"/>
        <v>1374.7368421052643</v>
      </c>
      <c r="O113" s="77">
        <f t="shared" si="90"/>
        <v>98.195488721804594</v>
      </c>
      <c r="P113" s="78">
        <f t="shared" si="85"/>
        <v>0</v>
      </c>
      <c r="Q113" s="79">
        <f t="shared" si="86"/>
        <v>-4.6616541353382672</v>
      </c>
      <c r="R113" s="461">
        <f t="shared" si="87"/>
        <v>0.95467836257310024</v>
      </c>
      <c r="S113" s="622"/>
      <c r="T113" s="265">
        <v>0.73194444444444429</v>
      </c>
      <c r="U113" s="265">
        <v>0.77152777777777759</v>
      </c>
      <c r="V113" s="266">
        <v>5</v>
      </c>
      <c r="W113" s="469">
        <f t="shared" si="83"/>
        <v>56.999999999999957</v>
      </c>
      <c r="X113" s="253"/>
      <c r="Y113" s="253"/>
      <c r="Z113" s="254"/>
      <c r="AA113" s="254"/>
      <c r="AB113" s="616"/>
      <c r="AC113" s="616"/>
      <c r="AD113" s="258"/>
      <c r="AE113" s="258"/>
      <c r="AF113" s="78">
        <f t="shared" si="69"/>
        <v>-65.263157894735741</v>
      </c>
      <c r="AG113" s="160">
        <f t="shared" si="70"/>
        <v>0.95467836257310013</v>
      </c>
      <c r="AH113" s="615"/>
      <c r="AJ113" s="405">
        <f t="shared" si="91"/>
        <v>5</v>
      </c>
      <c r="AK113" s="406">
        <f t="shared" si="92"/>
        <v>5</v>
      </c>
    </row>
    <row r="114" spans="1:37" s="255" customFormat="1" ht="19.2" customHeight="1">
      <c r="A114" s="634"/>
      <c r="B114" s="459" t="s">
        <v>166</v>
      </c>
      <c r="C114" s="213"/>
      <c r="D114" s="113" t="s">
        <v>136</v>
      </c>
      <c r="E114" s="72"/>
      <c r="F114" s="73">
        <v>54.09</v>
      </c>
      <c r="G114" s="74">
        <v>851</v>
      </c>
      <c r="H114" s="75">
        <f t="shared" si="88"/>
        <v>46030.590000000004</v>
      </c>
      <c r="I114" s="457"/>
      <c r="J114" s="76">
        <v>14</v>
      </c>
      <c r="K114" s="74">
        <v>1440</v>
      </c>
      <c r="L114" s="77">
        <v>102.85714285714286</v>
      </c>
      <c r="M114" s="467">
        <v>14</v>
      </c>
      <c r="N114" s="74">
        <f t="shared" si="89"/>
        <v>1343.6842105263147</v>
      </c>
      <c r="O114" s="77">
        <f t="shared" si="90"/>
        <v>95.977443609022473</v>
      </c>
      <c r="P114" s="78">
        <f t="shared" si="85"/>
        <v>0</v>
      </c>
      <c r="Q114" s="79">
        <f t="shared" si="86"/>
        <v>-6.8796992481203887</v>
      </c>
      <c r="R114" s="461">
        <f t="shared" si="87"/>
        <v>0.9331140350877184</v>
      </c>
      <c r="S114" s="622"/>
      <c r="T114" s="265">
        <v>0.77569444444444424</v>
      </c>
      <c r="U114" s="265">
        <v>0.80208333333333315</v>
      </c>
      <c r="V114" s="266">
        <v>6</v>
      </c>
      <c r="W114" s="469">
        <f t="shared" si="83"/>
        <v>38.000000000000028</v>
      </c>
      <c r="X114" s="253"/>
      <c r="Y114" s="253"/>
      <c r="Z114" s="254"/>
      <c r="AA114" s="254"/>
      <c r="AB114" s="616"/>
      <c r="AC114" s="616"/>
      <c r="AD114" s="258"/>
      <c r="AE114" s="258"/>
      <c r="AF114" s="78">
        <f t="shared" si="69"/>
        <v>-96.3157894736853</v>
      </c>
      <c r="AG114" s="160">
        <f t="shared" si="70"/>
        <v>0.93311403508771851</v>
      </c>
      <c r="AH114" s="615"/>
      <c r="AJ114" s="405">
        <f t="shared" si="91"/>
        <v>6</v>
      </c>
      <c r="AK114" s="406">
        <f t="shared" si="92"/>
        <v>6</v>
      </c>
    </row>
    <row r="115" spans="1:37" s="255" customFormat="1" ht="19.2" customHeight="1">
      <c r="A115" s="634"/>
      <c r="B115" s="459" t="s">
        <v>166</v>
      </c>
      <c r="C115" s="213"/>
      <c r="D115" s="113" t="s">
        <v>134</v>
      </c>
      <c r="E115" s="114"/>
      <c r="F115" s="73">
        <v>55.56</v>
      </c>
      <c r="G115" s="268">
        <v>1295</v>
      </c>
      <c r="H115" s="75">
        <f t="shared" si="88"/>
        <v>71950.2</v>
      </c>
      <c r="I115" s="457"/>
      <c r="J115" s="76">
        <v>16</v>
      </c>
      <c r="K115" s="74">
        <v>1440</v>
      </c>
      <c r="L115" s="77">
        <v>90</v>
      </c>
      <c r="M115" s="467">
        <v>16</v>
      </c>
      <c r="N115" s="74">
        <f t="shared" si="89"/>
        <v>1387.5000000000011</v>
      </c>
      <c r="O115" s="77">
        <f t="shared" si="90"/>
        <v>86.718750000000071</v>
      </c>
      <c r="P115" s="78">
        <f t="shared" si="85"/>
        <v>0</v>
      </c>
      <c r="Q115" s="79">
        <f t="shared" si="86"/>
        <v>-3.2812499999999289</v>
      </c>
      <c r="R115" s="461">
        <f t="shared" si="87"/>
        <v>0.96354166666666741</v>
      </c>
      <c r="S115" s="622"/>
      <c r="T115" s="265">
        <v>0.8062499999999998</v>
      </c>
      <c r="U115" s="265">
        <v>0.84513888888888866</v>
      </c>
      <c r="V115" s="266">
        <v>6</v>
      </c>
      <c r="W115" s="469">
        <f t="shared" si="83"/>
        <v>55.999999999999957</v>
      </c>
      <c r="X115" s="253"/>
      <c r="Y115" s="253"/>
      <c r="Z115" s="254"/>
      <c r="AA115" s="254"/>
      <c r="AB115" s="616"/>
      <c r="AC115" s="616"/>
      <c r="AD115" s="258"/>
      <c r="AE115" s="258"/>
      <c r="AF115" s="78">
        <f t="shared" si="69"/>
        <v>-52.499999999998863</v>
      </c>
      <c r="AG115" s="160">
        <f t="shared" si="70"/>
        <v>0.96354166666666741</v>
      </c>
      <c r="AH115" s="615"/>
      <c r="AJ115" s="405">
        <f t="shared" si="91"/>
        <v>6</v>
      </c>
      <c r="AK115" s="406">
        <f t="shared" si="92"/>
        <v>6</v>
      </c>
    </row>
    <row r="116" spans="1:37" s="255" customFormat="1" ht="19.2" customHeight="1">
      <c r="A116" s="634"/>
      <c r="B116" s="459" t="s">
        <v>166</v>
      </c>
      <c r="C116" s="86"/>
      <c r="D116" s="113" t="s">
        <v>156</v>
      </c>
      <c r="E116" s="114"/>
      <c r="F116" s="73">
        <v>51.06</v>
      </c>
      <c r="G116" s="268">
        <v>1516</v>
      </c>
      <c r="H116" s="75">
        <f t="shared" si="88"/>
        <v>77406.960000000006</v>
      </c>
      <c r="I116" s="457"/>
      <c r="J116" s="76">
        <v>16</v>
      </c>
      <c r="K116" s="74">
        <v>1500</v>
      </c>
      <c r="L116" s="77">
        <v>93.75</v>
      </c>
      <c r="M116" s="467">
        <v>16</v>
      </c>
      <c r="N116" s="74">
        <f t="shared" si="89"/>
        <v>1337.6470588235277</v>
      </c>
      <c r="O116" s="77">
        <f t="shared" si="90"/>
        <v>83.60294117647048</v>
      </c>
      <c r="P116" s="78">
        <f t="shared" si="85"/>
        <v>0</v>
      </c>
      <c r="Q116" s="79">
        <f t="shared" si="86"/>
        <v>-10.14705882352952</v>
      </c>
      <c r="R116" s="461">
        <f t="shared" si="87"/>
        <v>0.89176470588235179</v>
      </c>
      <c r="S116" s="622"/>
      <c r="T116" s="265">
        <v>0.86041666666666639</v>
      </c>
      <c r="U116" s="265">
        <v>0.90763888888888866</v>
      </c>
      <c r="V116" s="266">
        <v>22</v>
      </c>
      <c r="W116" s="469">
        <f t="shared" si="83"/>
        <v>68.000000000000085</v>
      </c>
      <c r="X116" s="253">
        <v>0.85</v>
      </c>
      <c r="Y116" s="253">
        <v>0.85972222222222217</v>
      </c>
      <c r="Z116" s="254"/>
      <c r="AA116" s="254"/>
      <c r="AB116" s="616"/>
      <c r="AC116" s="616"/>
      <c r="AD116" s="258"/>
      <c r="AE116" s="258"/>
      <c r="AF116" s="78">
        <f t="shared" si="69"/>
        <v>-162.35294117647231</v>
      </c>
      <c r="AG116" s="160">
        <f t="shared" si="70"/>
        <v>0.89176470588235179</v>
      </c>
      <c r="AH116" s="615"/>
      <c r="AJ116" s="405">
        <f t="shared" si="91"/>
        <v>7.0000000000002949</v>
      </c>
      <c r="AK116" s="406">
        <f t="shared" si="92"/>
        <v>7.0000000000002949</v>
      </c>
    </row>
    <row r="117" spans="1:37" s="255" customFormat="1" ht="19.2" customHeight="1">
      <c r="A117" s="634"/>
      <c r="B117" s="459" t="s">
        <v>166</v>
      </c>
      <c r="C117" s="86"/>
      <c r="D117" s="113" t="s">
        <v>150</v>
      </c>
      <c r="E117" s="114"/>
      <c r="F117" s="73">
        <v>50.67</v>
      </c>
      <c r="G117" s="268">
        <v>1500</v>
      </c>
      <c r="H117" s="75">
        <f t="shared" si="88"/>
        <v>76005</v>
      </c>
      <c r="I117" s="457"/>
      <c r="J117" s="76">
        <v>17</v>
      </c>
      <c r="K117" s="74">
        <v>1440</v>
      </c>
      <c r="L117" s="77">
        <v>84.705882352941174</v>
      </c>
      <c r="M117" s="467">
        <v>17</v>
      </c>
      <c r="N117" s="74">
        <f t="shared" si="89"/>
        <v>1406.2500000000016</v>
      </c>
      <c r="O117" s="77">
        <f t="shared" si="90"/>
        <v>82.720588235294215</v>
      </c>
      <c r="P117" s="78">
        <f t="shared" si="85"/>
        <v>0</v>
      </c>
      <c r="Q117" s="79">
        <f t="shared" si="86"/>
        <v>-1.9852941176469585</v>
      </c>
      <c r="R117" s="461">
        <f t="shared" si="87"/>
        <v>0.97656250000000122</v>
      </c>
      <c r="S117" s="622"/>
      <c r="T117" s="265">
        <v>0.91249999999999976</v>
      </c>
      <c r="U117" s="265">
        <v>0.95694444444444415</v>
      </c>
      <c r="V117" s="266">
        <v>7</v>
      </c>
      <c r="W117" s="469">
        <f t="shared" si="83"/>
        <v>63.999999999999929</v>
      </c>
      <c r="X117" s="253"/>
      <c r="Y117" s="253"/>
      <c r="Z117" s="254"/>
      <c r="AA117" s="254"/>
      <c r="AB117" s="616"/>
      <c r="AC117" s="616"/>
      <c r="AD117" s="258">
        <v>1</v>
      </c>
      <c r="AE117" s="258"/>
      <c r="AF117" s="78">
        <f t="shared" si="69"/>
        <v>-33.749999999998408</v>
      </c>
      <c r="AG117" s="160">
        <f t="shared" si="70"/>
        <v>0.97656250000000111</v>
      </c>
      <c r="AH117" s="615"/>
      <c r="AJ117" s="405">
        <f t="shared" si="91"/>
        <v>7</v>
      </c>
      <c r="AK117" s="406">
        <f t="shared" si="92"/>
        <v>7</v>
      </c>
    </row>
    <row r="118" spans="1:37" s="255" customFormat="1" ht="19.2" customHeight="1">
      <c r="A118" s="634"/>
      <c r="B118" s="459" t="s">
        <v>166</v>
      </c>
      <c r="C118" s="200"/>
      <c r="D118" s="113" t="s">
        <v>151</v>
      </c>
      <c r="E118" s="72"/>
      <c r="F118" s="73">
        <v>50.49</v>
      </c>
      <c r="G118" s="74">
        <v>1466</v>
      </c>
      <c r="H118" s="75">
        <f t="shared" si="88"/>
        <v>74018.34</v>
      </c>
      <c r="I118" s="457"/>
      <c r="J118" s="76">
        <v>14</v>
      </c>
      <c r="K118" s="74">
        <v>1440</v>
      </c>
      <c r="L118" s="77">
        <v>102.85714285714286</v>
      </c>
      <c r="M118" s="467">
        <v>15</v>
      </c>
      <c r="N118" s="74">
        <f t="shared" si="89"/>
        <v>1396.1904761904741</v>
      </c>
      <c r="O118" s="77">
        <f t="shared" si="90"/>
        <v>93.079365079364933</v>
      </c>
      <c r="P118" s="78">
        <f t="shared" si="85"/>
        <v>1</v>
      </c>
      <c r="Q118" s="79">
        <f t="shared" si="86"/>
        <v>-9.7777777777779278</v>
      </c>
      <c r="R118" s="461">
        <f t="shared" si="87"/>
        <v>0.90493827160493678</v>
      </c>
      <c r="S118" s="622"/>
      <c r="T118" s="265">
        <v>0.96180555555555525</v>
      </c>
      <c r="U118" s="265">
        <v>1.0055555555555553</v>
      </c>
      <c r="V118" s="266">
        <v>7</v>
      </c>
      <c r="W118" s="469">
        <f t="shared" si="83"/>
        <v>63.000000000000099</v>
      </c>
      <c r="X118" s="253"/>
      <c r="Y118" s="253"/>
      <c r="Z118" s="254"/>
      <c r="AA118" s="254"/>
      <c r="AB118" s="616"/>
      <c r="AC118" s="616"/>
      <c r="AD118" s="258"/>
      <c r="AE118" s="258"/>
      <c r="AF118" s="78">
        <f t="shared" si="69"/>
        <v>-43.809523809525899</v>
      </c>
      <c r="AG118" s="160">
        <f t="shared" si="70"/>
        <v>0.96957671957671809</v>
      </c>
      <c r="AH118" s="615"/>
      <c r="AJ118" s="405">
        <f t="shared" si="91"/>
        <v>7</v>
      </c>
      <c r="AK118" s="406">
        <f t="shared" si="92"/>
        <v>7</v>
      </c>
    </row>
    <row r="119" spans="1:37" s="255" customFormat="1" ht="19.2" customHeight="1">
      <c r="A119" s="634"/>
      <c r="B119" s="459">
        <v>0</v>
      </c>
      <c r="C119" s="260"/>
      <c r="D119" s="113"/>
      <c r="E119" s="114"/>
      <c r="F119" s="73" t="s">
        <v>161</v>
      </c>
      <c r="G119" s="268"/>
      <c r="H119" s="75">
        <f t="shared" si="88"/>
        <v>0</v>
      </c>
      <c r="I119" s="457"/>
      <c r="J119" s="76"/>
      <c r="K119" s="74"/>
      <c r="L119" s="77"/>
      <c r="M119" s="467"/>
      <c r="N119" s="74"/>
      <c r="O119" s="77"/>
      <c r="P119" s="78"/>
      <c r="Q119" s="79"/>
      <c r="R119" s="461"/>
      <c r="S119" s="622"/>
      <c r="T119" s="265"/>
      <c r="U119" s="265"/>
      <c r="V119" s="266"/>
      <c r="W119" s="469">
        <f t="shared" si="83"/>
        <v>0</v>
      </c>
      <c r="X119" s="253"/>
      <c r="Y119" s="253"/>
      <c r="Z119" s="254"/>
      <c r="AA119" s="254"/>
      <c r="AB119" s="616"/>
      <c r="AC119" s="616"/>
      <c r="AD119" s="258"/>
      <c r="AE119" s="258"/>
      <c r="AF119" s="78">
        <f t="shared" si="69"/>
        <v>0</v>
      </c>
      <c r="AG119" s="160" t="e">
        <f t="shared" si="70"/>
        <v>#DIV/0!</v>
      </c>
      <c r="AH119" s="615"/>
      <c r="AJ119" s="405" t="str">
        <f t="shared" si="91"/>
        <v/>
      </c>
      <c r="AK119" s="406" t="str">
        <f t="shared" si="92"/>
        <v/>
      </c>
    </row>
    <row r="120" spans="1:37" s="255" customFormat="1" ht="19.2" customHeight="1">
      <c r="A120" s="634"/>
      <c r="B120" s="459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457"/>
      <c r="J120" s="216"/>
      <c r="K120" s="270"/>
      <c r="L120" s="77"/>
      <c r="M120" s="467"/>
      <c r="N120" s="217"/>
      <c r="O120" s="262"/>
      <c r="P120" s="197"/>
      <c r="Q120" s="79"/>
      <c r="R120" s="461"/>
      <c r="S120" s="622"/>
      <c r="T120" s="265"/>
      <c r="U120" s="265"/>
      <c r="V120" s="266"/>
      <c r="W120" s="469">
        <f t="shared" si="83"/>
        <v>0</v>
      </c>
      <c r="X120" s="253"/>
      <c r="Y120" s="253"/>
      <c r="Z120" s="254"/>
      <c r="AA120" s="254"/>
      <c r="AB120" s="616"/>
      <c r="AC120" s="616"/>
      <c r="AD120" s="258"/>
      <c r="AE120" s="258"/>
      <c r="AF120" s="78">
        <f t="shared" si="69"/>
        <v>0</v>
      </c>
      <c r="AG120" s="160" t="e">
        <f t="shared" si="70"/>
        <v>#DIV/0!</v>
      </c>
      <c r="AH120" s="615"/>
      <c r="AJ120" s="405" t="str">
        <f t="shared" si="91"/>
        <v/>
      </c>
      <c r="AK120" s="406" t="str">
        <f t="shared" si="92"/>
        <v/>
      </c>
    </row>
    <row r="121" spans="1:37" ht="19.2" customHeight="1">
      <c r="A121" s="635"/>
      <c r="B121" s="156">
        <v>0</v>
      </c>
      <c r="C121" s="132" t="s">
        <v>460</v>
      </c>
      <c r="D121" s="271" t="s">
        <v>377</v>
      </c>
      <c r="E121" s="272"/>
      <c r="F121" s="205"/>
      <c r="G121" s="273"/>
      <c r="H121" s="274"/>
      <c r="I121" s="275"/>
      <c r="J121" s="238">
        <v>15.3</v>
      </c>
      <c r="K121" s="238">
        <v>1584</v>
      </c>
      <c r="L121" s="239">
        <v>109.3316355213414</v>
      </c>
      <c r="M121" s="238">
        <f>AVERAGE(M109:M120)</f>
        <v>15.4</v>
      </c>
      <c r="N121" s="238">
        <f t="shared" ref="N121:O121" si="93">AVERAGE(N109:N120)</f>
        <v>1480.3270643998519</v>
      </c>
      <c r="O121" s="239">
        <f t="shared" si="93"/>
        <v>101.95989705767347</v>
      </c>
      <c r="P121" s="78">
        <f t="shared" ref="P121:P129" si="94">M121-J121</f>
        <v>9.9999999999999645E-2</v>
      </c>
      <c r="Q121" s="79">
        <f t="shared" ref="Q121:Q129" si="95">O121-L121</f>
        <v>-7.3717384636679242</v>
      </c>
      <c r="R121" s="209">
        <f t="shared" ref="R121:R129" si="96">O121/L121</f>
        <v>0.93257451579758932</v>
      </c>
      <c r="S121" s="630"/>
      <c r="T121" s="198"/>
      <c r="U121" s="198"/>
      <c r="V121" s="74"/>
      <c r="W121" s="469">
        <f t="shared" si="83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616"/>
      <c r="AC121" s="616"/>
      <c r="AD121" s="139">
        <f>SUM(AD109:AD120)</f>
        <v>1</v>
      </c>
      <c r="AE121" s="139">
        <f>SUM(AE109:AE120)</f>
        <v>0</v>
      </c>
      <c r="AF121" s="78">
        <f>N121-K121</f>
        <v>-103.67293560014809</v>
      </c>
      <c r="AG121" s="160">
        <f>N121/K121</f>
        <v>0.93454991439384594</v>
      </c>
      <c r="AH121" s="615"/>
    </row>
    <row r="122" spans="1:37" ht="19.2" customHeight="1">
      <c r="A122" s="637" t="s">
        <v>484</v>
      </c>
      <c r="B122" s="168" t="s">
        <v>167</v>
      </c>
      <c r="C122" s="200"/>
      <c r="D122" s="214" t="s">
        <v>138</v>
      </c>
      <c r="E122" s="72"/>
      <c r="F122" s="73">
        <v>59.54</v>
      </c>
      <c r="G122" s="74">
        <v>1362</v>
      </c>
      <c r="H122" s="75">
        <f t="shared" ref="H122:H132" si="97">F122*G122</f>
        <v>81093.48</v>
      </c>
      <c r="I122" s="459"/>
      <c r="J122" s="76">
        <v>18</v>
      </c>
      <c r="K122" s="74">
        <v>1385</v>
      </c>
      <c r="L122" s="77">
        <v>76.944444444444443</v>
      </c>
      <c r="M122" s="470">
        <v>18</v>
      </c>
      <c r="N122" s="212">
        <f t="shared" ref="N122:N129" si="98">G122/W122*60</f>
        <v>1276.8750000000016</v>
      </c>
      <c r="O122" s="276">
        <f t="shared" ref="O122:O129" si="99">N122/M122</f>
        <v>70.937500000000085</v>
      </c>
      <c r="P122" s="140">
        <f t="shared" si="94"/>
        <v>0</v>
      </c>
      <c r="Q122" s="220">
        <f t="shared" si="95"/>
        <v>-6.0069444444443576</v>
      </c>
      <c r="R122" s="141">
        <f t="shared" si="96"/>
        <v>0.92193140794223938</v>
      </c>
      <c r="S122" s="631">
        <f>R134</f>
        <v>0.95481475527865178</v>
      </c>
      <c r="T122" s="198">
        <v>0.5</v>
      </c>
      <c r="U122" s="198">
        <v>0.5444444444444444</v>
      </c>
      <c r="V122" s="266">
        <v>5</v>
      </c>
      <c r="W122" s="469">
        <f t="shared" si="83"/>
        <v>63.999999999999929</v>
      </c>
      <c r="X122" s="83"/>
      <c r="Y122" s="83"/>
      <c r="Z122" s="84"/>
      <c r="AA122" s="84"/>
      <c r="AB122" s="616"/>
      <c r="AC122" s="616"/>
      <c r="AD122" s="457"/>
      <c r="AE122" s="457"/>
      <c r="AF122" s="78">
        <f t="shared" si="69"/>
        <v>-108.12499999999841</v>
      </c>
      <c r="AG122" s="461">
        <f t="shared" si="70"/>
        <v>0.92193140794223938</v>
      </c>
      <c r="AH122" s="630">
        <f>AG134</f>
        <v>0.95378424103395087</v>
      </c>
      <c r="AJ122" s="62" t="str">
        <f>A122</f>
        <v>綜合二組
(ET-55)</v>
      </c>
      <c r="AK122" s="404">
        <f>AVERAGE(AK123:AK133)</f>
        <v>6.2857142857143486</v>
      </c>
    </row>
    <row r="123" spans="1:37" ht="19.2" customHeight="1">
      <c r="A123" s="637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1694</v>
      </c>
      <c r="H123" s="75">
        <f t="shared" si="97"/>
        <v>99386.98</v>
      </c>
      <c r="I123" s="457"/>
      <c r="J123" s="76">
        <v>19</v>
      </c>
      <c r="K123" s="74">
        <v>1440</v>
      </c>
      <c r="L123" s="77">
        <v>75.78947368421052</v>
      </c>
      <c r="M123" s="467">
        <v>19</v>
      </c>
      <c r="N123" s="85">
        <f t="shared" si="98"/>
        <v>1319.9999999999993</v>
      </c>
      <c r="O123" s="118">
        <f t="shared" si="99"/>
        <v>69.473684210526287</v>
      </c>
      <c r="P123" s="84">
        <f t="shared" si="94"/>
        <v>0</v>
      </c>
      <c r="Q123" s="119">
        <f t="shared" si="95"/>
        <v>-6.3157894736842337</v>
      </c>
      <c r="R123" s="458">
        <f t="shared" si="96"/>
        <v>0.91666666666666641</v>
      </c>
      <c r="S123" s="631"/>
      <c r="T123" s="198">
        <v>0.54930555555555549</v>
      </c>
      <c r="U123" s="198">
        <v>0.60277777777777775</v>
      </c>
      <c r="V123" s="266">
        <v>7</v>
      </c>
      <c r="W123" s="469">
        <f t="shared" si="83"/>
        <v>77.000000000000043</v>
      </c>
      <c r="X123" s="83"/>
      <c r="Y123" s="83"/>
      <c r="Z123" s="84"/>
      <c r="AA123" s="84"/>
      <c r="AB123" s="616"/>
      <c r="AC123" s="616"/>
      <c r="AD123" s="457"/>
      <c r="AE123" s="457"/>
      <c r="AF123" s="78">
        <f t="shared" si="69"/>
        <v>-120.00000000000068</v>
      </c>
      <c r="AG123" s="461">
        <f t="shared" si="70"/>
        <v>0.91666666666666619</v>
      </c>
      <c r="AH123" s="631"/>
      <c r="AJ123" s="405">
        <f t="shared" ref="AJ123:AJ133" si="100">IF((IF(V123&lt;10,V123,(X123-U122)*1440))=0,"",IF(V123&lt;10,V123,(X123-U122)*1440))</f>
        <v>7</v>
      </c>
      <c r="AK123" s="406">
        <f>IF(AJ123&gt;4,AJ123,"")</f>
        <v>7</v>
      </c>
    </row>
    <row r="124" spans="1:37" ht="19.2" customHeight="1">
      <c r="A124" s="637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2403</v>
      </c>
      <c r="H124" s="75">
        <f t="shared" si="97"/>
        <v>143026.56</v>
      </c>
      <c r="I124" s="277"/>
      <c r="J124" s="76">
        <v>21</v>
      </c>
      <c r="K124" s="74">
        <v>1385</v>
      </c>
      <c r="L124" s="77">
        <v>65.952380952380949</v>
      </c>
      <c r="M124" s="470">
        <v>21</v>
      </c>
      <c r="N124" s="212">
        <f t="shared" si="98"/>
        <v>1275.9292035398241</v>
      </c>
      <c r="O124" s="276">
        <f t="shared" si="99"/>
        <v>60.758533501896387</v>
      </c>
      <c r="P124" s="140">
        <f t="shared" si="94"/>
        <v>0</v>
      </c>
      <c r="Q124" s="220">
        <f t="shared" si="95"/>
        <v>-5.1938474504845615</v>
      </c>
      <c r="R124" s="141">
        <f t="shared" si="96"/>
        <v>0.92124852241142541</v>
      </c>
      <c r="S124" s="638"/>
      <c r="T124" s="198">
        <v>0.61805555555555547</v>
      </c>
      <c r="U124" s="198">
        <v>0.69652777777777763</v>
      </c>
      <c r="V124" s="266">
        <v>22</v>
      </c>
      <c r="W124" s="469">
        <f t="shared" si="83"/>
        <v>112.99999999999991</v>
      </c>
      <c r="X124" s="227">
        <v>0.6069444444444444</v>
      </c>
      <c r="Y124" s="227">
        <v>0.61736111111111114</v>
      </c>
      <c r="Z124" s="84"/>
      <c r="AA124" s="84"/>
      <c r="AB124" s="616"/>
      <c r="AC124" s="616"/>
      <c r="AD124" s="457"/>
      <c r="AE124" s="457"/>
      <c r="AF124" s="140">
        <f t="shared" si="69"/>
        <v>-109.07079646017587</v>
      </c>
      <c r="AG124" s="141">
        <f t="shared" si="70"/>
        <v>0.92124852241142541</v>
      </c>
      <c r="AH124" s="631"/>
      <c r="AJ124" s="405">
        <f t="shared" si="100"/>
        <v>5.9999999999999787</v>
      </c>
      <c r="AK124" s="406">
        <f t="shared" ref="AK124:AK133" si="101">IF(AJ124&gt;4,AJ124,"")</f>
        <v>5.9999999999999787</v>
      </c>
    </row>
    <row r="125" spans="1:37" ht="19.2" customHeight="1">
      <c r="A125" s="637"/>
      <c r="B125" s="168" t="s">
        <v>166</v>
      </c>
      <c r="C125" s="127"/>
      <c r="D125" s="71" t="s">
        <v>190</v>
      </c>
      <c r="E125" s="72"/>
      <c r="F125" s="73">
        <v>47.6</v>
      </c>
      <c r="G125" s="74">
        <v>2392</v>
      </c>
      <c r="H125" s="75">
        <f t="shared" si="97"/>
        <v>113859.2</v>
      </c>
      <c r="I125" s="459"/>
      <c r="J125" s="76">
        <v>21</v>
      </c>
      <c r="K125" s="74">
        <v>1440</v>
      </c>
      <c r="L125" s="77">
        <v>68.571428571428569</v>
      </c>
      <c r="M125" s="470">
        <v>21</v>
      </c>
      <c r="N125" s="212">
        <f t="shared" si="98"/>
        <v>1393.3980582524277</v>
      </c>
      <c r="O125" s="276">
        <f t="shared" si="99"/>
        <v>66.352288488210846</v>
      </c>
      <c r="P125" s="140">
        <f t="shared" si="94"/>
        <v>0</v>
      </c>
      <c r="Q125" s="220">
        <f t="shared" si="95"/>
        <v>-2.2191400832177237</v>
      </c>
      <c r="R125" s="141">
        <f t="shared" si="96"/>
        <v>0.96763754045307482</v>
      </c>
      <c r="S125" s="638"/>
      <c r="T125" s="198">
        <v>0.73680555555555538</v>
      </c>
      <c r="U125" s="198">
        <v>0.80833333333333313</v>
      </c>
      <c r="V125" s="266">
        <v>5</v>
      </c>
      <c r="W125" s="469">
        <f t="shared" si="83"/>
        <v>102.99999999999996</v>
      </c>
      <c r="X125" s="93"/>
      <c r="Y125" s="93"/>
      <c r="Z125" s="84"/>
      <c r="AA125" s="84"/>
      <c r="AB125" s="616"/>
      <c r="AC125" s="616"/>
      <c r="AD125" s="457"/>
      <c r="AE125" s="457"/>
      <c r="AF125" s="78">
        <f t="shared" si="69"/>
        <v>-46.601941747572255</v>
      </c>
      <c r="AG125" s="461">
        <f t="shared" si="70"/>
        <v>0.96763754045307482</v>
      </c>
      <c r="AH125" s="632"/>
      <c r="AJ125" s="405">
        <f t="shared" si="100"/>
        <v>5</v>
      </c>
      <c r="AK125" s="406">
        <f t="shared" si="101"/>
        <v>5</v>
      </c>
    </row>
    <row r="126" spans="1:37" ht="19.2" customHeight="1">
      <c r="A126" s="637"/>
      <c r="B126" s="168" t="s">
        <v>166</v>
      </c>
      <c r="C126" s="457"/>
      <c r="D126" s="278" t="s">
        <v>141</v>
      </c>
      <c r="E126" s="215"/>
      <c r="F126" s="73">
        <v>56.79</v>
      </c>
      <c r="G126" s="85">
        <v>1493</v>
      </c>
      <c r="H126" s="75">
        <f t="shared" si="97"/>
        <v>84787.47</v>
      </c>
      <c r="I126" s="457"/>
      <c r="J126" s="76">
        <v>18</v>
      </c>
      <c r="K126" s="74">
        <v>1636</v>
      </c>
      <c r="L126" s="77">
        <v>90.888888888888886</v>
      </c>
      <c r="M126" s="467">
        <v>18</v>
      </c>
      <c r="N126" s="85">
        <f t="shared" si="98"/>
        <v>1571.5789473684222</v>
      </c>
      <c r="O126" s="118">
        <f t="shared" si="99"/>
        <v>87.309941520467902</v>
      </c>
      <c r="P126" s="84">
        <f t="shared" si="94"/>
        <v>0</v>
      </c>
      <c r="Q126" s="119">
        <f t="shared" si="95"/>
        <v>-3.5789473684209838</v>
      </c>
      <c r="R126" s="458">
        <f t="shared" si="96"/>
        <v>0.96062282846480584</v>
      </c>
      <c r="S126" s="638"/>
      <c r="T126" s="198">
        <v>0.81249999999999978</v>
      </c>
      <c r="U126" s="198">
        <v>0.85208333333333308</v>
      </c>
      <c r="V126" s="266">
        <v>6</v>
      </c>
      <c r="W126" s="469">
        <f t="shared" si="83"/>
        <v>56.999999999999957</v>
      </c>
      <c r="X126" s="93"/>
      <c r="Y126" s="93"/>
      <c r="Z126" s="84"/>
      <c r="AA126" s="84"/>
      <c r="AB126" s="616"/>
      <c r="AC126" s="616"/>
      <c r="AD126" s="457"/>
      <c r="AE126" s="457"/>
      <c r="AF126" s="140">
        <f t="shared" si="69"/>
        <v>-64.421052631577822</v>
      </c>
      <c r="AG126" s="141">
        <f t="shared" si="70"/>
        <v>0.96062282846480573</v>
      </c>
      <c r="AH126" s="632"/>
      <c r="AJ126" s="405">
        <f t="shared" si="100"/>
        <v>6</v>
      </c>
      <c r="AK126" s="406">
        <f t="shared" si="101"/>
        <v>6</v>
      </c>
    </row>
    <row r="127" spans="1:37" ht="19.2" customHeight="1">
      <c r="A127" s="637"/>
      <c r="B127" s="168" t="s">
        <v>166</v>
      </c>
      <c r="C127" s="260"/>
      <c r="D127" s="279" t="s">
        <v>142</v>
      </c>
      <c r="E127" s="114"/>
      <c r="F127" s="73">
        <v>56.87</v>
      </c>
      <c r="G127" s="246">
        <v>1407</v>
      </c>
      <c r="H127" s="75">
        <f t="shared" si="97"/>
        <v>80016.09</v>
      </c>
      <c r="I127" s="258"/>
      <c r="J127" s="76">
        <v>18</v>
      </c>
      <c r="K127" s="74">
        <v>1636</v>
      </c>
      <c r="L127" s="77">
        <v>90.888888888888886</v>
      </c>
      <c r="M127" s="470">
        <v>18</v>
      </c>
      <c r="N127" s="85">
        <f t="shared" si="98"/>
        <v>1563.3333333333342</v>
      </c>
      <c r="O127" s="118">
        <f t="shared" si="99"/>
        <v>86.851851851851904</v>
      </c>
      <c r="P127" s="84">
        <f t="shared" si="94"/>
        <v>0</v>
      </c>
      <c r="Q127" s="119">
        <f t="shared" si="95"/>
        <v>-4.0370370370369812</v>
      </c>
      <c r="R127" s="458">
        <f t="shared" si="96"/>
        <v>0.95558272208639017</v>
      </c>
      <c r="S127" s="638"/>
      <c r="T127" s="198">
        <v>0.85694444444444418</v>
      </c>
      <c r="U127" s="198">
        <v>0.89444444444444415</v>
      </c>
      <c r="V127" s="459">
        <v>7</v>
      </c>
      <c r="W127" s="469">
        <f t="shared" si="83"/>
        <v>53.999999999999972</v>
      </c>
      <c r="X127" s="93"/>
      <c r="Y127" s="93"/>
      <c r="Z127" s="84"/>
      <c r="AA127" s="84"/>
      <c r="AB127" s="616"/>
      <c r="AC127" s="616"/>
      <c r="AD127" s="457"/>
      <c r="AE127" s="457">
        <v>1</v>
      </c>
      <c r="AF127" s="140">
        <f t="shared" si="69"/>
        <v>-72.666666666665833</v>
      </c>
      <c r="AG127" s="141">
        <f t="shared" si="70"/>
        <v>0.95558272208639006</v>
      </c>
      <c r="AH127" s="632"/>
      <c r="AJ127" s="405">
        <f t="shared" si="100"/>
        <v>7</v>
      </c>
      <c r="AK127" s="406">
        <f t="shared" si="101"/>
        <v>7</v>
      </c>
    </row>
    <row r="128" spans="1:37" ht="19.2" customHeight="1">
      <c r="A128" s="637"/>
      <c r="B128" s="168" t="s">
        <v>166</v>
      </c>
      <c r="C128" s="190"/>
      <c r="D128" s="88" t="s">
        <v>132</v>
      </c>
      <c r="E128" s="114"/>
      <c r="F128" s="73">
        <v>58.17</v>
      </c>
      <c r="G128" s="85">
        <v>1191</v>
      </c>
      <c r="H128" s="75">
        <f t="shared" si="97"/>
        <v>69280.47</v>
      </c>
      <c r="I128" s="457"/>
      <c r="J128" s="76">
        <v>16</v>
      </c>
      <c r="K128" s="74">
        <v>1636</v>
      </c>
      <c r="L128" s="77">
        <v>102.25</v>
      </c>
      <c r="M128" s="129">
        <v>16</v>
      </c>
      <c r="N128" s="212">
        <f t="shared" si="98"/>
        <v>1624.090909090909</v>
      </c>
      <c r="O128" s="276">
        <f t="shared" si="99"/>
        <v>101.50568181818181</v>
      </c>
      <c r="P128" s="140">
        <f t="shared" si="94"/>
        <v>0</v>
      </c>
      <c r="Q128" s="220">
        <f t="shared" si="95"/>
        <v>-0.74431818181818699</v>
      </c>
      <c r="R128" s="141">
        <f t="shared" si="96"/>
        <v>0.99272060457879518</v>
      </c>
      <c r="S128" s="638"/>
      <c r="T128" s="198">
        <v>0.91041666666666643</v>
      </c>
      <c r="U128" s="198">
        <v>0.94097222222222199</v>
      </c>
      <c r="V128" s="459">
        <v>23</v>
      </c>
      <c r="W128" s="469">
        <f t="shared" si="83"/>
        <v>44</v>
      </c>
      <c r="X128" s="93">
        <v>0.89861111111111114</v>
      </c>
      <c r="Y128" s="93">
        <v>0.90972222222222221</v>
      </c>
      <c r="Z128" s="84"/>
      <c r="AA128" s="84"/>
      <c r="AB128" s="616"/>
      <c r="AC128" s="616"/>
      <c r="AD128" s="457"/>
      <c r="AE128" s="457"/>
      <c r="AF128" s="78">
        <f t="shared" si="69"/>
        <v>-11.909090909090992</v>
      </c>
      <c r="AG128" s="461">
        <f t="shared" si="70"/>
        <v>0.99272060457879518</v>
      </c>
      <c r="AH128" s="632"/>
      <c r="AJ128" s="405">
        <f t="shared" si="100"/>
        <v>6.0000000000004583</v>
      </c>
      <c r="AK128" s="406">
        <f t="shared" si="101"/>
        <v>6.0000000000004583</v>
      </c>
    </row>
    <row r="129" spans="1:37" ht="19.2" customHeight="1">
      <c r="A129" s="637"/>
      <c r="B129" s="168" t="s">
        <v>166</v>
      </c>
      <c r="C129" s="190"/>
      <c r="D129" s="88" t="s">
        <v>144</v>
      </c>
      <c r="E129" s="90"/>
      <c r="F129" s="73">
        <v>57.3</v>
      </c>
      <c r="G129" s="85">
        <v>1111</v>
      </c>
      <c r="H129" s="75">
        <f t="shared" si="97"/>
        <v>63660.299999999996</v>
      </c>
      <c r="I129" s="457"/>
      <c r="J129" s="76">
        <v>19</v>
      </c>
      <c r="K129" s="74">
        <v>1440</v>
      </c>
      <c r="L129" s="77">
        <v>75.78947368421052</v>
      </c>
      <c r="M129" s="129">
        <v>19</v>
      </c>
      <c r="N129" s="85">
        <f t="shared" si="98"/>
        <v>1418.2978723404258</v>
      </c>
      <c r="O129" s="118">
        <f t="shared" si="99"/>
        <v>74.647256438969777</v>
      </c>
      <c r="P129" s="84">
        <f t="shared" si="94"/>
        <v>0</v>
      </c>
      <c r="Q129" s="119">
        <f t="shared" si="95"/>
        <v>-1.1422172452407438</v>
      </c>
      <c r="R129" s="458">
        <f t="shared" si="96"/>
        <v>0.98492907801418461</v>
      </c>
      <c r="S129" s="638"/>
      <c r="T129" s="198">
        <v>0.94583333333333308</v>
      </c>
      <c r="U129" s="198">
        <v>0.97847222222222197</v>
      </c>
      <c r="V129" s="459">
        <v>7</v>
      </c>
      <c r="W129" s="469">
        <f t="shared" si="83"/>
        <v>46.999999999999993</v>
      </c>
      <c r="X129" s="93"/>
      <c r="Y129" s="93"/>
      <c r="Z129" s="84"/>
      <c r="AA129" s="84"/>
      <c r="AB129" s="616"/>
      <c r="AC129" s="616"/>
      <c r="AD129" s="457"/>
      <c r="AE129" s="457"/>
      <c r="AF129" s="140">
        <f t="shared" si="69"/>
        <v>-21.702127659574217</v>
      </c>
      <c r="AG129" s="141">
        <f t="shared" si="70"/>
        <v>0.98492907801418461</v>
      </c>
      <c r="AH129" s="632"/>
      <c r="AJ129" s="405">
        <f t="shared" si="100"/>
        <v>7</v>
      </c>
      <c r="AK129" s="406">
        <f t="shared" si="101"/>
        <v>7</v>
      </c>
    </row>
    <row r="130" spans="1:37" ht="19.2" customHeight="1">
      <c r="A130" s="637"/>
      <c r="B130" s="236">
        <v>0</v>
      </c>
      <c r="C130" s="190"/>
      <c r="D130" s="88"/>
      <c r="E130" s="90"/>
      <c r="F130" s="73" t="s">
        <v>161</v>
      </c>
      <c r="G130" s="85"/>
      <c r="H130" s="75">
        <f t="shared" si="97"/>
        <v>0</v>
      </c>
      <c r="I130" s="457"/>
      <c r="J130" s="76"/>
      <c r="K130" s="74"/>
      <c r="L130" s="77"/>
      <c r="M130" s="129"/>
      <c r="N130" s="85"/>
      <c r="O130" s="118"/>
      <c r="P130" s="84"/>
      <c r="Q130" s="119"/>
      <c r="R130" s="458"/>
      <c r="S130" s="638"/>
      <c r="T130" s="198"/>
      <c r="U130" s="198"/>
      <c r="V130" s="459"/>
      <c r="W130" s="469">
        <f t="shared" si="83"/>
        <v>0</v>
      </c>
      <c r="X130" s="93"/>
      <c r="Y130" s="93"/>
      <c r="Z130" s="84"/>
      <c r="AA130" s="84"/>
      <c r="AB130" s="616"/>
      <c r="AC130" s="616"/>
      <c r="AD130" s="457"/>
      <c r="AE130" s="457"/>
      <c r="AF130" s="140">
        <f t="shared" si="69"/>
        <v>0</v>
      </c>
      <c r="AG130" s="141" t="e">
        <f t="shared" si="70"/>
        <v>#DIV/0!</v>
      </c>
      <c r="AH130" s="632"/>
      <c r="AJ130" s="405" t="str">
        <f t="shared" si="100"/>
        <v/>
      </c>
      <c r="AK130" s="406" t="str">
        <f t="shared" si="101"/>
        <v/>
      </c>
    </row>
    <row r="131" spans="1:37" ht="19.2" customHeight="1">
      <c r="A131" s="637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7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638"/>
      <c r="T131" s="198"/>
      <c r="U131" s="198"/>
      <c r="V131" s="459"/>
      <c r="W131" s="469">
        <f t="shared" si="83"/>
        <v>0</v>
      </c>
      <c r="X131" s="93"/>
      <c r="Y131" s="93"/>
      <c r="Z131" s="84"/>
      <c r="AA131" s="84"/>
      <c r="AB131" s="616"/>
      <c r="AC131" s="616"/>
      <c r="AD131" s="457"/>
      <c r="AE131" s="457"/>
      <c r="AF131" s="78">
        <f t="shared" si="69"/>
        <v>0</v>
      </c>
      <c r="AG131" s="461" t="e">
        <f t="shared" si="70"/>
        <v>#DIV/0!</v>
      </c>
      <c r="AH131" s="632"/>
      <c r="AJ131" s="405" t="str">
        <f t="shared" si="100"/>
        <v/>
      </c>
      <c r="AK131" s="406" t="str">
        <f t="shared" si="101"/>
        <v/>
      </c>
    </row>
    <row r="132" spans="1:37" ht="19.2" customHeight="1">
      <c r="A132" s="637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7"/>
        <v>0</v>
      </c>
      <c r="I132" s="457"/>
      <c r="J132" s="129"/>
      <c r="K132" s="85"/>
      <c r="L132" s="118"/>
      <c r="M132" s="467"/>
      <c r="N132" s="85"/>
      <c r="O132" s="118"/>
      <c r="P132" s="84"/>
      <c r="Q132" s="119"/>
      <c r="R132" s="458"/>
      <c r="S132" s="638"/>
      <c r="T132" s="198"/>
      <c r="U132" s="198"/>
      <c r="V132" s="459"/>
      <c r="W132" s="469">
        <f t="shared" si="83"/>
        <v>0</v>
      </c>
      <c r="X132" s="93"/>
      <c r="Y132" s="93"/>
      <c r="Z132" s="84"/>
      <c r="AA132" s="84"/>
      <c r="AB132" s="616"/>
      <c r="AC132" s="616"/>
      <c r="AD132" s="457"/>
      <c r="AE132" s="457"/>
      <c r="AF132" s="104"/>
      <c r="AG132" s="462"/>
      <c r="AH132" s="632"/>
      <c r="AJ132" s="405" t="str">
        <f t="shared" si="100"/>
        <v/>
      </c>
      <c r="AK132" s="406" t="str">
        <f t="shared" si="101"/>
        <v/>
      </c>
    </row>
    <row r="133" spans="1:37" ht="19.2" customHeight="1">
      <c r="A133" s="637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457"/>
      <c r="J133" s="129"/>
      <c r="K133" s="85"/>
      <c r="L133" s="118"/>
      <c r="M133" s="467"/>
      <c r="N133" s="85"/>
      <c r="O133" s="118"/>
      <c r="P133" s="84"/>
      <c r="Q133" s="119"/>
      <c r="R133" s="458"/>
      <c r="S133" s="638"/>
      <c r="T133" s="198"/>
      <c r="U133" s="198"/>
      <c r="V133" s="459"/>
      <c r="W133" s="282">
        <f t="shared" si="83"/>
        <v>0</v>
      </c>
      <c r="X133" s="93"/>
      <c r="Y133" s="93"/>
      <c r="Z133" s="84"/>
      <c r="AA133" s="84"/>
      <c r="AB133" s="616"/>
      <c r="AC133" s="616"/>
      <c r="AD133" s="457"/>
      <c r="AE133" s="457"/>
      <c r="AF133" s="104"/>
      <c r="AG133" s="462"/>
      <c r="AH133" s="632"/>
      <c r="AJ133" s="405" t="str">
        <f t="shared" si="100"/>
        <v/>
      </c>
      <c r="AK133" s="406" t="str">
        <f t="shared" si="101"/>
        <v/>
      </c>
    </row>
    <row r="134" spans="1:37" ht="19.2" customHeight="1">
      <c r="A134" s="637"/>
      <c r="B134" s="203">
        <v>0</v>
      </c>
      <c r="C134" s="132" t="s">
        <v>462</v>
      </c>
      <c r="D134" s="612" t="s">
        <v>377</v>
      </c>
      <c r="E134" s="612"/>
      <c r="F134" s="222"/>
      <c r="G134" s="103"/>
      <c r="H134" s="134"/>
      <c r="I134" s="283"/>
      <c r="J134" s="284">
        <v>18.75</v>
      </c>
      <c r="K134" s="284">
        <v>1499.75</v>
      </c>
      <c r="L134" s="285">
        <v>80.884372389306606</v>
      </c>
      <c r="M134" s="284">
        <f t="shared" ref="M134:O134" si="102">AVERAGE(M122:M133)</f>
        <v>18.75</v>
      </c>
      <c r="N134" s="284">
        <f t="shared" si="102"/>
        <v>1430.4379154906678</v>
      </c>
      <c r="O134" s="285">
        <f t="shared" si="102"/>
        <v>77.229592228763124</v>
      </c>
      <c r="P134" s="81">
        <f t="shared" ref="P134:P143" si="103">M134-J134</f>
        <v>0</v>
      </c>
      <c r="Q134" s="178">
        <f t="shared" ref="Q134:Q143" si="104">O134-L134</f>
        <v>-3.6547801605434813</v>
      </c>
      <c r="R134" s="286">
        <f t="shared" ref="R134:R143" si="105">O134/L134</f>
        <v>0.95481475527865178</v>
      </c>
      <c r="S134" s="631"/>
      <c r="T134" s="198"/>
      <c r="U134" s="198"/>
      <c r="V134" s="459"/>
      <c r="W134" s="459"/>
      <c r="X134" s="83"/>
      <c r="Y134" s="83"/>
      <c r="Z134" s="138">
        <f>SUM(Z122:Z133)</f>
        <v>0</v>
      </c>
      <c r="AA134" s="138">
        <f>SUM(AA122:AA133)</f>
        <v>0</v>
      </c>
      <c r="AB134" s="616"/>
      <c r="AC134" s="616"/>
      <c r="AD134" s="139">
        <f>SUM(AD122:AD133)</f>
        <v>0</v>
      </c>
      <c r="AE134" s="139">
        <f>SUM(AE122:AE133)</f>
        <v>1</v>
      </c>
      <c r="AF134" s="78">
        <f t="shared" si="69"/>
        <v>-69.31208450933218</v>
      </c>
      <c r="AG134" s="461">
        <f t="shared" si="70"/>
        <v>0.95378424103395087</v>
      </c>
      <c r="AH134" s="632"/>
    </row>
    <row r="135" spans="1:37" ht="19.2" customHeight="1">
      <c r="A135" s="618" t="s">
        <v>463</v>
      </c>
      <c r="B135" s="459" t="s">
        <v>166</v>
      </c>
      <c r="C135" s="457"/>
      <c r="D135" s="113" t="s">
        <v>120</v>
      </c>
      <c r="E135" s="114"/>
      <c r="F135" s="73">
        <v>54.09</v>
      </c>
      <c r="G135" s="85">
        <v>1915.2</v>
      </c>
      <c r="H135" s="287">
        <f t="shared" ref="H135:H146" si="106">F135*G135</f>
        <v>103593.16800000001</v>
      </c>
      <c r="I135" s="457">
        <v>1</v>
      </c>
      <c r="J135" s="76">
        <v>16</v>
      </c>
      <c r="K135" s="85">
        <v>1500</v>
      </c>
      <c r="L135" s="118">
        <v>93.75</v>
      </c>
      <c r="M135" s="267">
        <v>16</v>
      </c>
      <c r="N135" s="85">
        <f t="shared" ref="N135:N143" si="107">G135/W135*60</f>
        <v>1291.1460674157292</v>
      </c>
      <c r="O135" s="149">
        <f t="shared" ref="O135:O143" si="108">N135/M135</f>
        <v>80.696629213483078</v>
      </c>
      <c r="P135" s="84">
        <f t="shared" si="103"/>
        <v>0</v>
      </c>
      <c r="Q135" s="119">
        <f t="shared" si="104"/>
        <v>-13.053370786516922</v>
      </c>
      <c r="R135" s="458">
        <f t="shared" si="105"/>
        <v>0.86076404494381953</v>
      </c>
      <c r="S135" s="622">
        <f>R147</f>
        <v>0.89847924962630032</v>
      </c>
      <c r="T135" s="288">
        <v>0.45833333333333331</v>
      </c>
      <c r="U135" s="198">
        <v>0.52013888888888893</v>
      </c>
      <c r="V135" s="153">
        <v>5</v>
      </c>
      <c r="W135" s="289">
        <f t="shared" ref="W135:W147" si="109">(U135-T135)*24*60</f>
        <v>89.000000000000085</v>
      </c>
      <c r="X135" s="83"/>
      <c r="Y135" s="83"/>
      <c r="Z135" s="84"/>
      <c r="AA135" s="84"/>
      <c r="AB135" s="616"/>
      <c r="AC135" s="616"/>
      <c r="AD135" s="457"/>
      <c r="AE135" s="457"/>
      <c r="AF135" s="150">
        <f t="shared" si="69"/>
        <v>-208.85393258427075</v>
      </c>
      <c r="AG135" s="155">
        <f t="shared" si="70"/>
        <v>0.86076404494381953</v>
      </c>
      <c r="AH135" s="615">
        <f>AG147</f>
        <v>0.90073557422604944</v>
      </c>
      <c r="AJ135" s="62" t="str">
        <f>A135</f>
        <v>綜合三組
(ET-55)</v>
      </c>
      <c r="AK135" s="404">
        <f>AVERAGE(AK136:AK146)</f>
        <v>6.1250000000000142</v>
      </c>
    </row>
    <row r="136" spans="1:37" ht="19.2" customHeight="1">
      <c r="A136" s="619"/>
      <c r="B136" s="459" t="s">
        <v>166</v>
      </c>
      <c r="C136" s="457"/>
      <c r="D136" s="113" t="s">
        <v>145</v>
      </c>
      <c r="E136" s="114"/>
      <c r="F136" s="73">
        <v>50.67</v>
      </c>
      <c r="G136" s="85">
        <v>1360</v>
      </c>
      <c r="H136" s="116">
        <f t="shared" si="106"/>
        <v>68911.199999999997</v>
      </c>
      <c r="I136" s="457"/>
      <c r="J136" s="76">
        <v>18</v>
      </c>
      <c r="K136" s="85">
        <v>1500</v>
      </c>
      <c r="L136" s="118">
        <v>83.333333333333329</v>
      </c>
      <c r="M136" s="467">
        <v>18</v>
      </c>
      <c r="N136" s="85">
        <f t="shared" si="107"/>
        <v>1295.2380952380965</v>
      </c>
      <c r="O136" s="118">
        <f t="shared" si="108"/>
        <v>71.957671957672034</v>
      </c>
      <c r="P136" s="84">
        <f t="shared" si="103"/>
        <v>0</v>
      </c>
      <c r="Q136" s="119">
        <f t="shared" si="104"/>
        <v>-11.375661375661295</v>
      </c>
      <c r="R136" s="458">
        <f t="shared" si="105"/>
        <v>0.86349206349206442</v>
      </c>
      <c r="S136" s="622"/>
      <c r="T136" s="288">
        <v>0.52500000000000002</v>
      </c>
      <c r="U136" s="198">
        <v>0.56874999999999998</v>
      </c>
      <c r="V136" s="153">
        <v>7</v>
      </c>
      <c r="W136" s="289">
        <f t="shared" si="109"/>
        <v>62.999999999999936</v>
      </c>
      <c r="X136" s="83"/>
      <c r="Y136" s="83"/>
      <c r="Z136" s="84"/>
      <c r="AA136" s="84"/>
      <c r="AB136" s="616"/>
      <c r="AC136" s="616"/>
      <c r="AD136" s="457"/>
      <c r="AE136" s="457"/>
      <c r="AF136" s="78">
        <f t="shared" si="69"/>
        <v>-204.76190476190345</v>
      </c>
      <c r="AG136" s="160">
        <f t="shared" si="70"/>
        <v>0.86349206349206431</v>
      </c>
      <c r="AH136" s="615"/>
      <c r="AJ136" s="405">
        <f t="shared" ref="AJ136:AJ146" si="110">IF((IF(V136&lt;10,V136,(X136-U135)*1440))=0,"",IF(V136&lt;10,V136,(X136-U135)*1440))</f>
        <v>7</v>
      </c>
      <c r="AK136" s="406">
        <f>IF(AJ136&gt;4,AJ136,"")</f>
        <v>7</v>
      </c>
    </row>
    <row r="137" spans="1:37" ht="19.2" customHeight="1">
      <c r="A137" s="619"/>
      <c r="B137" s="459" t="s">
        <v>166</v>
      </c>
      <c r="C137" s="457"/>
      <c r="D137" s="113" t="s">
        <v>146</v>
      </c>
      <c r="E137" s="114"/>
      <c r="F137" s="73">
        <v>53.27</v>
      </c>
      <c r="G137" s="246">
        <v>1378</v>
      </c>
      <c r="H137" s="116">
        <f t="shared" si="106"/>
        <v>73406.06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07"/>
        <v>1272.0000000000014</v>
      </c>
      <c r="O137" s="149">
        <f t="shared" si="108"/>
        <v>79.500000000000085</v>
      </c>
      <c r="P137" s="84">
        <f t="shared" si="103"/>
        <v>0</v>
      </c>
      <c r="Q137" s="119">
        <f t="shared" si="104"/>
        <v>-14.249999999999915</v>
      </c>
      <c r="R137" s="458">
        <f t="shared" si="105"/>
        <v>0.84800000000000086</v>
      </c>
      <c r="S137" s="622"/>
      <c r="T137" s="198">
        <v>0.5840277777777777</v>
      </c>
      <c r="U137" s="198">
        <v>0.62916666666666654</v>
      </c>
      <c r="V137" s="290">
        <v>22</v>
      </c>
      <c r="W137" s="289">
        <f t="shared" si="109"/>
        <v>64.999999999999929</v>
      </c>
      <c r="X137" s="83">
        <v>0.57291666666666663</v>
      </c>
      <c r="Y137" s="83">
        <v>0.58333333333333337</v>
      </c>
      <c r="Z137" s="84"/>
      <c r="AA137" s="84"/>
      <c r="AB137" s="616"/>
      <c r="AC137" s="616"/>
      <c r="AD137" s="457"/>
      <c r="AE137" s="457"/>
      <c r="AF137" s="78">
        <f t="shared" si="69"/>
        <v>-227.99999999999864</v>
      </c>
      <c r="AG137" s="160">
        <f t="shared" si="70"/>
        <v>0.84800000000000086</v>
      </c>
      <c r="AH137" s="615"/>
      <c r="AJ137" s="405">
        <f t="shared" si="110"/>
        <v>5.9999999999999787</v>
      </c>
      <c r="AK137" s="406">
        <f t="shared" ref="AK137:AK146" si="111">IF(AJ137&gt;4,AJ137,"")</f>
        <v>5.9999999999999787</v>
      </c>
    </row>
    <row r="138" spans="1:37" ht="19.2" customHeight="1">
      <c r="A138" s="619"/>
      <c r="B138" s="459" t="s">
        <v>166</v>
      </c>
      <c r="C138" s="260"/>
      <c r="D138" s="113" t="s">
        <v>147</v>
      </c>
      <c r="E138" s="114"/>
      <c r="F138" s="73">
        <v>57.734999999999999</v>
      </c>
      <c r="G138" s="85">
        <v>1881</v>
      </c>
      <c r="H138" s="116">
        <f t="shared" si="106"/>
        <v>108599.535</v>
      </c>
      <c r="I138" s="457"/>
      <c r="J138" s="129">
        <v>16</v>
      </c>
      <c r="K138" s="85">
        <v>1565</v>
      </c>
      <c r="L138" s="118">
        <v>97.8125</v>
      </c>
      <c r="M138" s="267">
        <v>16</v>
      </c>
      <c r="N138" s="85">
        <f t="shared" si="107"/>
        <v>1268.0898876404494</v>
      </c>
      <c r="O138" s="118">
        <f t="shared" si="108"/>
        <v>79.25561797752809</v>
      </c>
      <c r="P138" s="84">
        <f t="shared" si="103"/>
        <v>0</v>
      </c>
      <c r="Q138" s="119">
        <f t="shared" si="104"/>
        <v>-18.55688202247191</v>
      </c>
      <c r="R138" s="458">
        <f t="shared" si="105"/>
        <v>0.81028107836450447</v>
      </c>
      <c r="S138" s="622"/>
      <c r="T138" s="198">
        <v>0.63333333333333319</v>
      </c>
      <c r="U138" s="198">
        <v>0.69513888888888875</v>
      </c>
      <c r="V138" s="290">
        <v>6</v>
      </c>
      <c r="W138" s="289">
        <f t="shared" si="109"/>
        <v>89</v>
      </c>
      <c r="X138" s="83"/>
      <c r="Y138" s="83"/>
      <c r="Z138" s="84"/>
      <c r="AA138" s="84"/>
      <c r="AB138" s="616"/>
      <c r="AC138" s="616"/>
      <c r="AD138" s="457"/>
      <c r="AE138" s="457"/>
      <c r="AF138" s="78">
        <f t="shared" si="69"/>
        <v>-296.91011235955057</v>
      </c>
      <c r="AG138" s="160">
        <f t="shared" si="70"/>
        <v>0.81028107836450447</v>
      </c>
      <c r="AH138" s="615"/>
      <c r="AJ138" s="405">
        <f t="shared" si="110"/>
        <v>6</v>
      </c>
      <c r="AK138" s="406">
        <f t="shared" si="111"/>
        <v>6</v>
      </c>
    </row>
    <row r="139" spans="1:37" ht="19.2" customHeight="1">
      <c r="A139" s="619"/>
      <c r="B139" s="459" t="s">
        <v>166</v>
      </c>
      <c r="C139" s="465"/>
      <c r="D139" s="71" t="s">
        <v>148</v>
      </c>
      <c r="E139" s="72"/>
      <c r="F139" s="73">
        <v>50.98</v>
      </c>
      <c r="G139" s="85">
        <v>1838</v>
      </c>
      <c r="H139" s="116">
        <f t="shared" si="106"/>
        <v>93701.239999999991</v>
      </c>
      <c r="I139" s="457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07"/>
        <v>1344.8780487804875</v>
      </c>
      <c r="O139" s="149">
        <f t="shared" si="108"/>
        <v>67.243902439024367</v>
      </c>
      <c r="P139" s="84">
        <f t="shared" si="103"/>
        <v>0</v>
      </c>
      <c r="Q139" s="119">
        <f t="shared" si="104"/>
        <v>-4.7560975609756326</v>
      </c>
      <c r="R139" s="458">
        <f t="shared" si="105"/>
        <v>0.93394308943089399</v>
      </c>
      <c r="S139" s="622"/>
      <c r="T139" s="198">
        <v>0.7354166666666665</v>
      </c>
      <c r="U139" s="198">
        <v>0.79236111111111096</v>
      </c>
      <c r="V139" s="291">
        <v>5</v>
      </c>
      <c r="W139" s="289">
        <f t="shared" si="109"/>
        <v>82.000000000000028</v>
      </c>
      <c r="X139" s="83"/>
      <c r="Y139" s="83"/>
      <c r="Z139" s="84"/>
      <c r="AA139" s="84"/>
      <c r="AB139" s="616"/>
      <c r="AC139" s="616"/>
      <c r="AD139" s="457"/>
      <c r="AE139" s="457"/>
      <c r="AF139" s="78">
        <f t="shared" si="69"/>
        <v>-95.121951219512539</v>
      </c>
      <c r="AG139" s="160">
        <f t="shared" si="70"/>
        <v>0.9339430894308941</v>
      </c>
      <c r="AH139" s="615"/>
      <c r="AJ139" s="405">
        <f t="shared" si="110"/>
        <v>5</v>
      </c>
      <c r="AK139" s="406">
        <f t="shared" si="111"/>
        <v>5</v>
      </c>
    </row>
    <row r="140" spans="1:37" ht="19.2" customHeight="1">
      <c r="A140" s="620"/>
      <c r="B140" s="459" t="s">
        <v>166</v>
      </c>
      <c r="C140" s="465"/>
      <c r="D140" s="292" t="s">
        <v>149</v>
      </c>
      <c r="E140" s="114"/>
      <c r="F140" s="73">
        <v>50.92</v>
      </c>
      <c r="G140" s="85">
        <v>1927</v>
      </c>
      <c r="H140" s="116">
        <f t="shared" si="106"/>
        <v>98122.84</v>
      </c>
      <c r="I140" s="457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07"/>
        <v>1376.4285714285709</v>
      </c>
      <c r="O140" s="149">
        <f t="shared" si="108"/>
        <v>72.443609022556359</v>
      </c>
      <c r="P140" s="84">
        <f t="shared" si="103"/>
        <v>0</v>
      </c>
      <c r="Q140" s="119">
        <f t="shared" si="104"/>
        <v>-3.3458646616541614</v>
      </c>
      <c r="R140" s="458">
        <f t="shared" si="105"/>
        <v>0.9558531746031742</v>
      </c>
      <c r="S140" s="623"/>
      <c r="T140" s="232">
        <v>0.79722222222222205</v>
      </c>
      <c r="U140" s="293">
        <v>0.8555555555555554</v>
      </c>
      <c r="V140" s="294">
        <v>7</v>
      </c>
      <c r="W140" s="289">
        <f t="shared" si="109"/>
        <v>84.000000000000028</v>
      </c>
      <c r="X140" s="83"/>
      <c r="Y140" s="83"/>
      <c r="Z140" s="84"/>
      <c r="AA140" s="84"/>
      <c r="AB140" s="616"/>
      <c r="AC140" s="616"/>
      <c r="AD140" s="457"/>
      <c r="AE140" s="457"/>
      <c r="AF140" s="78">
        <f t="shared" si="69"/>
        <v>-63.571428571429124</v>
      </c>
      <c r="AG140" s="160">
        <f t="shared" si="70"/>
        <v>0.9558531746031742</v>
      </c>
      <c r="AH140" s="615"/>
      <c r="AJ140" s="405">
        <f t="shared" si="110"/>
        <v>7</v>
      </c>
      <c r="AK140" s="406">
        <f t="shared" si="111"/>
        <v>7</v>
      </c>
    </row>
    <row r="141" spans="1:37" ht="19.2" customHeight="1">
      <c r="A141" s="620"/>
      <c r="B141" s="459" t="s">
        <v>166</v>
      </c>
      <c r="C141" s="465"/>
      <c r="D141" s="71" t="s">
        <v>155</v>
      </c>
      <c r="E141" s="295"/>
      <c r="F141" s="73">
        <v>54.09</v>
      </c>
      <c r="G141" s="85">
        <v>1398</v>
      </c>
      <c r="H141" s="116">
        <f t="shared" si="106"/>
        <v>75617.820000000007</v>
      </c>
      <c r="I141" s="457"/>
      <c r="J141" s="76">
        <v>19</v>
      </c>
      <c r="K141" s="74">
        <v>1440</v>
      </c>
      <c r="L141" s="77">
        <v>75.78947368421052</v>
      </c>
      <c r="M141" s="267">
        <v>19</v>
      </c>
      <c r="N141" s="85">
        <f t="shared" si="107"/>
        <v>1352.9032258064528</v>
      </c>
      <c r="O141" s="118">
        <f t="shared" si="108"/>
        <v>71.205432937181726</v>
      </c>
      <c r="P141" s="84">
        <f t="shared" si="103"/>
        <v>0</v>
      </c>
      <c r="Q141" s="119">
        <f t="shared" si="104"/>
        <v>-4.5840407470287943</v>
      </c>
      <c r="R141" s="458">
        <f t="shared" si="105"/>
        <v>0.93951612903225901</v>
      </c>
      <c r="S141" s="623"/>
      <c r="T141" s="232">
        <v>0.87083333333333313</v>
      </c>
      <c r="U141" s="293">
        <v>0.91388888888888864</v>
      </c>
      <c r="V141" s="86">
        <v>22</v>
      </c>
      <c r="W141" s="289">
        <f t="shared" si="109"/>
        <v>61.999999999999943</v>
      </c>
      <c r="X141" s="83">
        <v>0.85972222222222217</v>
      </c>
      <c r="Y141" s="83">
        <v>0.87013888888888891</v>
      </c>
      <c r="Z141" s="84"/>
      <c r="AA141" s="84"/>
      <c r="AB141" s="616"/>
      <c r="AC141" s="616"/>
      <c r="AD141" s="457"/>
      <c r="AE141" s="457"/>
      <c r="AF141" s="78">
        <f t="shared" si="69"/>
        <v>-87.096774193547162</v>
      </c>
      <c r="AG141" s="160">
        <f t="shared" si="70"/>
        <v>0.9395161290322589</v>
      </c>
      <c r="AH141" s="615"/>
      <c r="AJ141" s="405">
        <f>IF((IF(V141&lt;10,V141,(X141-U140)*1440))=0,"",IF(V141&lt;10,V141,(X141-U140)*1440))</f>
        <v>6.0000000000001386</v>
      </c>
      <c r="AK141" s="406">
        <f>IF(AJ141&gt;4,AJ141,"")</f>
        <v>6.0000000000001386</v>
      </c>
    </row>
    <row r="142" spans="1:37" ht="19.2" customHeight="1">
      <c r="A142" s="620"/>
      <c r="B142" s="459" t="s">
        <v>166</v>
      </c>
      <c r="C142" s="465"/>
      <c r="D142" s="71" t="s">
        <v>193</v>
      </c>
      <c r="E142" s="295"/>
      <c r="F142" s="73">
        <v>50.67</v>
      </c>
      <c r="G142" s="85">
        <v>1500</v>
      </c>
      <c r="H142" s="116">
        <f t="shared" si="106"/>
        <v>76005</v>
      </c>
      <c r="I142" s="457"/>
      <c r="J142" s="76">
        <v>17</v>
      </c>
      <c r="K142" s="85">
        <v>1500</v>
      </c>
      <c r="L142" s="118">
        <v>88.235294117647058</v>
      </c>
      <c r="M142" s="267">
        <v>17</v>
      </c>
      <c r="N142" s="85">
        <f t="shared" si="107"/>
        <v>1406.2500000000016</v>
      </c>
      <c r="O142" s="149">
        <f t="shared" si="108"/>
        <v>82.720588235294215</v>
      </c>
      <c r="P142" s="84">
        <f t="shared" si="103"/>
        <v>0</v>
      </c>
      <c r="Q142" s="119">
        <f t="shared" si="104"/>
        <v>-5.5147058823528425</v>
      </c>
      <c r="R142" s="458">
        <f t="shared" si="105"/>
        <v>0.93750000000000111</v>
      </c>
      <c r="S142" s="623"/>
      <c r="T142" s="232">
        <v>0.91805555555555529</v>
      </c>
      <c r="U142" s="293">
        <v>0.96249999999999969</v>
      </c>
      <c r="V142" s="86">
        <v>6</v>
      </c>
      <c r="W142" s="289">
        <f t="shared" si="109"/>
        <v>63.999999999999929</v>
      </c>
      <c r="X142" s="83"/>
      <c r="Y142" s="83"/>
      <c r="Z142" s="84"/>
      <c r="AA142" s="84"/>
      <c r="AB142" s="616"/>
      <c r="AC142" s="616"/>
      <c r="AD142" s="457"/>
      <c r="AE142" s="457"/>
      <c r="AF142" s="78">
        <f t="shared" si="69"/>
        <v>-93.749999999998408</v>
      </c>
      <c r="AG142" s="160">
        <f t="shared" si="70"/>
        <v>0.93750000000000111</v>
      </c>
      <c r="AH142" s="615"/>
      <c r="AJ142" s="405">
        <f t="shared" si="110"/>
        <v>6</v>
      </c>
      <c r="AK142" s="406">
        <f t="shared" si="111"/>
        <v>6</v>
      </c>
    </row>
    <row r="143" spans="1:37" ht="19.2" customHeight="1">
      <c r="A143" s="620"/>
      <c r="B143" s="459" t="s">
        <v>166</v>
      </c>
      <c r="C143" s="296"/>
      <c r="D143" s="113" t="s">
        <v>137</v>
      </c>
      <c r="E143" s="114"/>
      <c r="F143" s="73">
        <v>56.43</v>
      </c>
      <c r="G143" s="85">
        <v>1232</v>
      </c>
      <c r="H143" s="116">
        <f t="shared" si="106"/>
        <v>69521.759999999995</v>
      </c>
      <c r="I143" s="457"/>
      <c r="J143" s="76">
        <v>16</v>
      </c>
      <c r="K143" s="85">
        <v>1500</v>
      </c>
      <c r="L143" s="118">
        <v>93.75</v>
      </c>
      <c r="M143" s="267">
        <v>16</v>
      </c>
      <c r="N143" s="85">
        <f t="shared" si="107"/>
        <v>1449.4117647058829</v>
      </c>
      <c r="O143" s="149">
        <f t="shared" si="108"/>
        <v>90.58823529411768</v>
      </c>
      <c r="P143" s="84">
        <f t="shared" si="103"/>
        <v>0</v>
      </c>
      <c r="Q143" s="119">
        <f t="shared" si="104"/>
        <v>-3.1617647058823195</v>
      </c>
      <c r="R143" s="458">
        <f t="shared" si="105"/>
        <v>0.96627450980392193</v>
      </c>
      <c r="S143" s="623"/>
      <c r="T143" s="232">
        <v>0.96666666666666634</v>
      </c>
      <c r="U143" s="293">
        <v>1.002083333333333</v>
      </c>
      <c r="V143" s="86">
        <v>6</v>
      </c>
      <c r="W143" s="289">
        <f t="shared" si="109"/>
        <v>50.999999999999979</v>
      </c>
      <c r="X143" s="83"/>
      <c r="Y143" s="83"/>
      <c r="Z143" s="84"/>
      <c r="AA143" s="84"/>
      <c r="AB143" s="616"/>
      <c r="AC143" s="616"/>
      <c r="AD143" s="457"/>
      <c r="AE143" s="457"/>
      <c r="AF143" s="78">
        <f t="shared" si="69"/>
        <v>-50.588235294117112</v>
      </c>
      <c r="AG143" s="160">
        <f t="shared" si="70"/>
        <v>0.96627450980392193</v>
      </c>
      <c r="AH143" s="615"/>
      <c r="AJ143" s="405">
        <f t="shared" si="110"/>
        <v>6</v>
      </c>
      <c r="AK143" s="406">
        <f t="shared" si="111"/>
        <v>6</v>
      </c>
    </row>
    <row r="144" spans="1:37" ht="19.2" customHeight="1">
      <c r="A144" s="620"/>
      <c r="B144" s="459">
        <v>0</v>
      </c>
      <c r="C144" s="465"/>
      <c r="D144" s="71"/>
      <c r="E144" s="295"/>
      <c r="F144" s="73" t="s">
        <v>161</v>
      </c>
      <c r="G144" s="85"/>
      <c r="H144" s="116">
        <f t="shared" si="106"/>
        <v>0</v>
      </c>
      <c r="I144" s="457"/>
      <c r="J144" s="129"/>
      <c r="K144" s="85"/>
      <c r="L144" s="118"/>
      <c r="M144" s="467"/>
      <c r="N144" s="85"/>
      <c r="O144" s="149"/>
      <c r="P144" s="84"/>
      <c r="Q144" s="119"/>
      <c r="R144" s="458"/>
      <c r="S144" s="623"/>
      <c r="T144" s="232"/>
      <c r="U144" s="293"/>
      <c r="V144" s="86"/>
      <c r="W144" s="289">
        <f t="shared" si="109"/>
        <v>0</v>
      </c>
      <c r="X144" s="83"/>
      <c r="Y144" s="83"/>
      <c r="Z144" s="84"/>
      <c r="AA144" s="84"/>
      <c r="AB144" s="616"/>
      <c r="AC144" s="616"/>
      <c r="AD144" s="457"/>
      <c r="AE144" s="457"/>
      <c r="AF144" s="78">
        <f t="shared" si="69"/>
        <v>0</v>
      </c>
      <c r="AG144" s="160" t="e">
        <f t="shared" si="70"/>
        <v>#DIV/0!</v>
      </c>
      <c r="AH144" s="615"/>
      <c r="AJ144" s="405" t="str">
        <f t="shared" si="110"/>
        <v/>
      </c>
      <c r="AK144" s="406" t="str">
        <f t="shared" si="111"/>
        <v/>
      </c>
    </row>
    <row r="145" spans="1:37" ht="19.2" customHeight="1">
      <c r="A145" s="620"/>
      <c r="B145" s="459">
        <v>0</v>
      </c>
      <c r="C145" s="465"/>
      <c r="D145" s="71"/>
      <c r="E145" s="295"/>
      <c r="F145" s="73" t="s">
        <v>161</v>
      </c>
      <c r="G145" s="85"/>
      <c r="H145" s="116">
        <f t="shared" si="106"/>
        <v>0</v>
      </c>
      <c r="I145" s="457"/>
      <c r="J145" s="129"/>
      <c r="K145" s="85"/>
      <c r="L145" s="118"/>
      <c r="M145" s="467"/>
      <c r="N145" s="85"/>
      <c r="O145" s="118"/>
      <c r="P145" s="84"/>
      <c r="Q145" s="119"/>
      <c r="R145" s="458"/>
      <c r="S145" s="623"/>
      <c r="T145" s="232"/>
      <c r="U145" s="293"/>
      <c r="V145" s="86"/>
      <c r="W145" s="289">
        <f t="shared" si="109"/>
        <v>0</v>
      </c>
      <c r="X145" s="83"/>
      <c r="Y145" s="83"/>
      <c r="Z145" s="84"/>
      <c r="AA145" s="84"/>
      <c r="AB145" s="616"/>
      <c r="AC145" s="616"/>
      <c r="AD145" s="457"/>
      <c r="AE145" s="457"/>
      <c r="AF145" s="78">
        <f t="shared" si="69"/>
        <v>0</v>
      </c>
      <c r="AG145" s="160" t="e">
        <f t="shared" si="70"/>
        <v>#DIV/0!</v>
      </c>
      <c r="AH145" s="615"/>
      <c r="AJ145" s="405" t="str">
        <f t="shared" si="110"/>
        <v/>
      </c>
      <c r="AK145" s="406" t="str">
        <f t="shared" si="111"/>
        <v/>
      </c>
    </row>
    <row r="146" spans="1:37" ht="19.2" customHeight="1">
      <c r="A146" s="620"/>
      <c r="B146" s="472">
        <v>0</v>
      </c>
      <c r="C146" s="296"/>
      <c r="D146" s="297"/>
      <c r="E146" s="295"/>
      <c r="F146" s="73" t="s">
        <v>161</v>
      </c>
      <c r="G146" s="85"/>
      <c r="H146" s="116">
        <f t="shared" si="106"/>
        <v>0</v>
      </c>
      <c r="I146" s="457"/>
      <c r="J146" s="129"/>
      <c r="K146" s="85"/>
      <c r="L146" s="118"/>
      <c r="M146" s="467"/>
      <c r="N146" s="85"/>
      <c r="O146" s="118"/>
      <c r="P146" s="84"/>
      <c r="Q146" s="119"/>
      <c r="R146" s="458"/>
      <c r="S146" s="623"/>
      <c r="T146" s="232"/>
      <c r="U146" s="293"/>
      <c r="V146" s="86"/>
      <c r="W146" s="289">
        <f t="shared" si="109"/>
        <v>0</v>
      </c>
      <c r="X146" s="83"/>
      <c r="Y146" s="83"/>
      <c r="Z146" s="84"/>
      <c r="AA146" s="84"/>
      <c r="AB146" s="616"/>
      <c r="AC146" s="616"/>
      <c r="AD146" s="457"/>
      <c r="AE146" s="457"/>
      <c r="AF146" s="84"/>
      <c r="AG146" s="458"/>
      <c r="AH146" s="615"/>
      <c r="AJ146" s="405" t="str">
        <f t="shared" si="110"/>
        <v/>
      </c>
      <c r="AK146" s="406" t="str">
        <f t="shared" si="111"/>
        <v/>
      </c>
    </row>
    <row r="147" spans="1:37" ht="19.2" customHeight="1">
      <c r="A147" s="621"/>
      <c r="B147" s="298">
        <v>0</v>
      </c>
      <c r="C147" s="132" t="s">
        <v>485</v>
      </c>
      <c r="D147" s="612" t="s">
        <v>377</v>
      </c>
      <c r="E147" s="612"/>
      <c r="F147" s="299"/>
      <c r="G147" s="103"/>
      <c r="H147" s="134"/>
      <c r="I147" s="135"/>
      <c r="J147" s="103">
        <v>17.444444444444443</v>
      </c>
      <c r="K147" s="103">
        <v>1487.2222222222222</v>
      </c>
      <c r="L147" s="136">
        <v>86.023341646600159</v>
      </c>
      <c r="M147" s="284">
        <f t="shared" ref="M147:O147" si="112">AVERAGE(M135:M146)</f>
        <v>17.444444444444443</v>
      </c>
      <c r="N147" s="284">
        <f t="shared" si="112"/>
        <v>1339.5939623350746</v>
      </c>
      <c r="O147" s="285">
        <f t="shared" si="112"/>
        <v>77.290187452984185</v>
      </c>
      <c r="P147" s="81">
        <f t="shared" ref="P147:P154" si="113">M147-J147</f>
        <v>0</v>
      </c>
      <c r="Q147" s="178">
        <f t="shared" ref="Q147:Q154" si="114">O147-L147</f>
        <v>-8.7331541936159738</v>
      </c>
      <c r="R147" s="300">
        <f t="shared" ref="R147:R154" si="115">O147/L147</f>
        <v>0.89847924962630032</v>
      </c>
      <c r="S147" s="624"/>
      <c r="T147" s="232"/>
      <c r="U147" s="232"/>
      <c r="V147" s="86"/>
      <c r="W147" s="469">
        <f t="shared" si="109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616"/>
      <c r="AC147" s="616"/>
      <c r="AD147" s="139">
        <f>SUM(AD135:AD146)</f>
        <v>0</v>
      </c>
      <c r="AE147" s="139">
        <f>SUM(AE135:AE146)</f>
        <v>0</v>
      </c>
      <c r="AF147" s="240">
        <f t="shared" si="69"/>
        <v>-147.62825988714758</v>
      </c>
      <c r="AG147" s="301">
        <f t="shared" si="70"/>
        <v>0.90073557422604944</v>
      </c>
      <c r="AH147" s="615"/>
    </row>
    <row r="148" spans="1:37" ht="19.2" customHeight="1">
      <c r="A148" s="627" t="s">
        <v>486</v>
      </c>
      <c r="B148" s="457" t="s">
        <v>163</v>
      </c>
      <c r="C148" s="156"/>
      <c r="D148" s="211" t="s">
        <v>93</v>
      </c>
      <c r="E148" s="72"/>
      <c r="F148" s="174">
        <v>36.92</v>
      </c>
      <c r="G148" s="85">
        <v>2072.85</v>
      </c>
      <c r="H148" s="116">
        <f t="shared" ref="H148:H172" si="116">F148*G148</f>
        <v>76529.622000000003</v>
      </c>
      <c r="I148" s="302">
        <v>1</v>
      </c>
      <c r="J148" s="129">
        <v>12</v>
      </c>
      <c r="K148" s="85">
        <v>2000</v>
      </c>
      <c r="L148" s="118">
        <v>166.66666666666666</v>
      </c>
      <c r="M148" s="129">
        <v>12</v>
      </c>
      <c r="N148" s="74">
        <f t="shared" ref="N148:N154" si="117">G148/W148*60</f>
        <v>1535.4444444444453</v>
      </c>
      <c r="O148" s="77">
        <f t="shared" ref="O148:O154" si="118">N148/M148</f>
        <v>127.95370370370377</v>
      </c>
      <c r="P148" s="78">
        <f t="shared" si="113"/>
        <v>0</v>
      </c>
      <c r="Q148" s="79">
        <f t="shared" si="114"/>
        <v>-38.712962962962891</v>
      </c>
      <c r="R148" s="461">
        <f t="shared" si="115"/>
        <v>0.76772222222222264</v>
      </c>
      <c r="S148" s="628">
        <f>R160</f>
        <v>0.84663200580806897</v>
      </c>
      <c r="T148" s="288">
        <v>0.45833333333333331</v>
      </c>
      <c r="U148" s="198">
        <v>0.51458333333333328</v>
      </c>
      <c r="V148" s="459">
        <v>5</v>
      </c>
      <c r="W148" s="469">
        <f>(U148-T148)*24*60</f>
        <v>80.999999999999957</v>
      </c>
      <c r="X148" s="83"/>
      <c r="Y148" s="83"/>
      <c r="Z148" s="84"/>
      <c r="AA148" s="84"/>
      <c r="AB148" s="616"/>
      <c r="AC148" s="616"/>
      <c r="AD148" s="457"/>
      <c r="AE148" s="457"/>
      <c r="AF148" s="78">
        <f t="shared" si="69"/>
        <v>-464.55555555555475</v>
      </c>
      <c r="AG148" s="160">
        <f t="shared" si="70"/>
        <v>0.76772222222222264</v>
      </c>
      <c r="AH148" s="615">
        <f>AG160</f>
        <v>0.82729317291099169</v>
      </c>
    </row>
    <row r="149" spans="1:37" ht="19.2" customHeight="1">
      <c r="A149" s="627"/>
      <c r="B149" s="457" t="s">
        <v>163</v>
      </c>
      <c r="C149" s="258"/>
      <c r="D149" s="292" t="s">
        <v>108</v>
      </c>
      <c r="E149" s="90"/>
      <c r="F149" s="174">
        <v>26.5</v>
      </c>
      <c r="G149" s="85">
        <v>1603.55</v>
      </c>
      <c r="H149" s="116">
        <f t="shared" si="116"/>
        <v>42494.074999999997</v>
      </c>
      <c r="I149" s="302">
        <v>1</v>
      </c>
      <c r="J149" s="129">
        <v>12</v>
      </c>
      <c r="K149" s="85">
        <v>2000</v>
      </c>
      <c r="L149" s="118">
        <v>166.66666666666666</v>
      </c>
      <c r="M149" s="129">
        <v>12</v>
      </c>
      <c r="N149" s="74">
        <f t="shared" si="117"/>
        <v>1527.1904761904777</v>
      </c>
      <c r="O149" s="77">
        <f t="shared" si="118"/>
        <v>127.26587301587314</v>
      </c>
      <c r="P149" s="78">
        <f t="shared" si="113"/>
        <v>0</v>
      </c>
      <c r="Q149" s="79">
        <f t="shared" si="114"/>
        <v>-39.400793650793517</v>
      </c>
      <c r="R149" s="461">
        <f t="shared" si="115"/>
        <v>0.76359523809523888</v>
      </c>
      <c r="S149" s="629"/>
      <c r="T149" s="288">
        <v>0.51805555555555549</v>
      </c>
      <c r="U149" s="198">
        <v>0.56180555555555545</v>
      </c>
      <c r="V149" s="459">
        <v>5</v>
      </c>
      <c r="W149" s="469">
        <f t="shared" ref="W149:W159" si="119">(U149-T149)*24*60</f>
        <v>62.999999999999936</v>
      </c>
      <c r="X149" s="83"/>
      <c r="Y149" s="83"/>
      <c r="Z149" s="84"/>
      <c r="AA149" s="84"/>
      <c r="AB149" s="616"/>
      <c r="AC149" s="616"/>
      <c r="AD149" s="457"/>
      <c r="AE149" s="457"/>
      <c r="AF149" s="78">
        <f t="shared" si="69"/>
        <v>-472.80952380952226</v>
      </c>
      <c r="AG149" s="160">
        <f t="shared" si="70"/>
        <v>0.76359523809523888</v>
      </c>
      <c r="AH149" s="617"/>
    </row>
    <row r="150" spans="1:37" ht="19.2" customHeight="1">
      <c r="A150" s="627"/>
      <c r="B150" s="457" t="s">
        <v>163</v>
      </c>
      <c r="C150" s="258"/>
      <c r="D150" s="214" t="s">
        <v>191</v>
      </c>
      <c r="E150" s="90"/>
      <c r="F150" s="174">
        <v>28.26</v>
      </c>
      <c r="G150" s="85">
        <v>502.8</v>
      </c>
      <c r="H150" s="116">
        <f t="shared" si="116"/>
        <v>14209.128000000001</v>
      </c>
      <c r="I150" s="302">
        <v>1</v>
      </c>
      <c r="J150" s="129">
        <v>12</v>
      </c>
      <c r="K150" s="85">
        <v>2000</v>
      </c>
      <c r="L150" s="118">
        <v>166.66666666666666</v>
      </c>
      <c r="M150" s="129">
        <v>12</v>
      </c>
      <c r="N150" s="74">
        <f t="shared" si="117"/>
        <v>1508.4000000000053</v>
      </c>
      <c r="O150" s="77">
        <f t="shared" si="118"/>
        <v>125.70000000000044</v>
      </c>
      <c r="P150" s="78">
        <f t="shared" si="113"/>
        <v>0</v>
      </c>
      <c r="Q150" s="79">
        <f t="shared" si="114"/>
        <v>-40.966666666666214</v>
      </c>
      <c r="R150" s="461">
        <f t="shared" si="115"/>
        <v>0.75420000000000276</v>
      </c>
      <c r="S150" s="629"/>
      <c r="T150" s="288">
        <v>0.56527777777777766</v>
      </c>
      <c r="U150" s="198">
        <v>0.5791666666666665</v>
      </c>
      <c r="V150" s="459">
        <v>5</v>
      </c>
      <c r="W150" s="469">
        <f t="shared" si="119"/>
        <v>19.999999999999929</v>
      </c>
      <c r="X150" s="253"/>
      <c r="Y150" s="253"/>
      <c r="Z150" s="254"/>
      <c r="AA150" s="254"/>
      <c r="AB150" s="616"/>
      <c r="AC150" s="616"/>
      <c r="AD150" s="457"/>
      <c r="AE150" s="457"/>
      <c r="AF150" s="78">
        <f t="shared" si="69"/>
        <v>-491.59999999999468</v>
      </c>
      <c r="AG150" s="160">
        <f t="shared" si="70"/>
        <v>0.75420000000000265</v>
      </c>
      <c r="AH150" s="617"/>
    </row>
    <row r="151" spans="1:37" s="255" customFormat="1" ht="19.2" customHeight="1">
      <c r="A151" s="627"/>
      <c r="B151" s="457" t="s">
        <v>163</v>
      </c>
      <c r="C151" s="258"/>
      <c r="D151" s="88" t="s">
        <v>152</v>
      </c>
      <c r="E151" s="90"/>
      <c r="F151" s="174">
        <v>55.51</v>
      </c>
      <c r="G151" s="85">
        <v>136</v>
      </c>
      <c r="H151" s="116">
        <f t="shared" si="116"/>
        <v>7549.36</v>
      </c>
      <c r="I151" s="302"/>
      <c r="J151" s="129">
        <v>8</v>
      </c>
      <c r="K151" s="85">
        <v>1500</v>
      </c>
      <c r="L151" s="118">
        <v>187.5</v>
      </c>
      <c r="M151" s="129">
        <v>8</v>
      </c>
      <c r="N151" s="74">
        <f t="shared" si="117"/>
        <v>1360.0000000000048</v>
      </c>
      <c r="O151" s="77">
        <f t="shared" si="118"/>
        <v>170.0000000000006</v>
      </c>
      <c r="P151" s="78">
        <f t="shared" si="113"/>
        <v>0</v>
      </c>
      <c r="Q151" s="79">
        <f t="shared" si="114"/>
        <v>-17.499999999999403</v>
      </c>
      <c r="R151" s="461">
        <f t="shared" si="115"/>
        <v>0.90666666666666984</v>
      </c>
      <c r="S151" s="629"/>
      <c r="T151" s="288">
        <v>0.70833333333333337</v>
      </c>
      <c r="U151" s="198">
        <v>0.71250000000000002</v>
      </c>
      <c r="V151" s="459">
        <v>5</v>
      </c>
      <c r="W151" s="469">
        <f t="shared" si="119"/>
        <v>5.9999999999999787</v>
      </c>
      <c r="X151" s="253"/>
      <c r="Y151" s="253"/>
      <c r="Z151" s="254"/>
      <c r="AA151" s="254"/>
      <c r="AB151" s="616"/>
      <c r="AC151" s="616"/>
      <c r="AD151" s="258"/>
      <c r="AE151" s="258"/>
      <c r="AF151" s="78">
        <f t="shared" si="69"/>
        <v>-139.99999999999523</v>
      </c>
      <c r="AG151" s="160">
        <f t="shared" si="70"/>
        <v>0.90666666666666984</v>
      </c>
      <c r="AH151" s="617"/>
    </row>
    <row r="152" spans="1:37" s="255" customFormat="1" ht="19.2" customHeight="1">
      <c r="A152" s="627"/>
      <c r="B152" s="457" t="s">
        <v>165</v>
      </c>
      <c r="C152" s="258"/>
      <c r="D152" s="88" t="s">
        <v>153</v>
      </c>
      <c r="E152" s="90"/>
      <c r="F152" s="174">
        <v>28.57</v>
      </c>
      <c r="G152" s="85">
        <v>1873</v>
      </c>
      <c r="H152" s="116">
        <f t="shared" si="116"/>
        <v>53511.61</v>
      </c>
      <c r="I152" s="302"/>
      <c r="J152" s="129">
        <v>8</v>
      </c>
      <c r="K152" s="85">
        <v>1500</v>
      </c>
      <c r="L152" s="118">
        <v>187.5</v>
      </c>
      <c r="M152" s="129">
        <v>8</v>
      </c>
      <c r="N152" s="74">
        <f t="shared" si="117"/>
        <v>1539.4520547945194</v>
      </c>
      <c r="O152" s="77">
        <f t="shared" si="118"/>
        <v>192.43150684931493</v>
      </c>
      <c r="P152" s="78">
        <f t="shared" si="113"/>
        <v>0</v>
      </c>
      <c r="Q152" s="79">
        <f t="shared" si="114"/>
        <v>4.9315068493149283</v>
      </c>
      <c r="R152" s="461">
        <f t="shared" si="115"/>
        <v>1.026301369863013</v>
      </c>
      <c r="S152" s="629"/>
      <c r="T152" s="303">
        <v>0.71597222222222223</v>
      </c>
      <c r="U152" s="232">
        <v>0.76666666666666672</v>
      </c>
      <c r="V152" s="471">
        <v>5</v>
      </c>
      <c r="W152" s="469">
        <f t="shared" si="119"/>
        <v>73.000000000000057</v>
      </c>
      <c r="X152" s="256"/>
      <c r="Y152" s="256"/>
      <c r="Z152" s="254"/>
      <c r="AA152" s="254"/>
      <c r="AB152" s="616"/>
      <c r="AC152" s="616"/>
      <c r="AD152" s="258"/>
      <c r="AE152" s="258"/>
      <c r="AF152" s="78">
        <f t="shared" si="69"/>
        <v>39.452054794519427</v>
      </c>
      <c r="AG152" s="160">
        <f t="shared" si="70"/>
        <v>1.026301369863013</v>
      </c>
      <c r="AH152" s="617"/>
    </row>
    <row r="153" spans="1:37" s="255" customFormat="1" ht="19.2" customHeight="1">
      <c r="A153" s="627"/>
      <c r="B153" s="457" t="s">
        <v>166</v>
      </c>
      <c r="C153" s="258"/>
      <c r="D153" s="292" t="s">
        <v>154</v>
      </c>
      <c r="E153" s="90"/>
      <c r="F153" s="174">
        <v>54.5</v>
      </c>
      <c r="G153" s="85">
        <v>468</v>
      </c>
      <c r="H153" s="116">
        <f t="shared" si="116"/>
        <v>25506</v>
      </c>
      <c r="I153" s="302"/>
      <c r="J153" s="129">
        <v>21</v>
      </c>
      <c r="K153" s="85">
        <v>1440</v>
      </c>
      <c r="L153" s="118">
        <v>68.571428571428569</v>
      </c>
      <c r="M153" s="129">
        <v>21</v>
      </c>
      <c r="N153" s="74">
        <f t="shared" si="117"/>
        <v>968.27586206896353</v>
      </c>
      <c r="O153" s="77">
        <f t="shared" si="118"/>
        <v>46.108374384236356</v>
      </c>
      <c r="P153" s="78">
        <f t="shared" si="113"/>
        <v>0</v>
      </c>
      <c r="Q153" s="79">
        <f t="shared" si="114"/>
        <v>-22.463054187192213</v>
      </c>
      <c r="R153" s="461">
        <f t="shared" si="115"/>
        <v>0.67241379310344684</v>
      </c>
      <c r="S153" s="629"/>
      <c r="T153" s="303">
        <v>0.77152777777777781</v>
      </c>
      <c r="U153" s="232">
        <v>0.79166666666666674</v>
      </c>
      <c r="V153" s="471">
        <v>7</v>
      </c>
      <c r="W153" s="469">
        <f t="shared" si="119"/>
        <v>29.000000000000057</v>
      </c>
      <c r="X153" s="256"/>
      <c r="Y153" s="256"/>
      <c r="Z153" s="254"/>
      <c r="AA153" s="254"/>
      <c r="AB153" s="616"/>
      <c r="AC153" s="616"/>
      <c r="AD153" s="258"/>
      <c r="AE153" s="258"/>
      <c r="AF153" s="78">
        <f t="shared" si="69"/>
        <v>-471.72413793103647</v>
      </c>
      <c r="AG153" s="160">
        <f t="shared" si="70"/>
        <v>0.67241379310344684</v>
      </c>
      <c r="AH153" s="617"/>
    </row>
    <row r="154" spans="1:37" s="255" customFormat="1" ht="19.2" customHeight="1">
      <c r="A154" s="627"/>
      <c r="B154" s="457" t="s">
        <v>166</v>
      </c>
      <c r="C154" s="258"/>
      <c r="D154" s="292" t="s">
        <v>143</v>
      </c>
      <c r="E154" s="90"/>
      <c r="F154" s="174">
        <v>50.67</v>
      </c>
      <c r="G154" s="85">
        <v>1631</v>
      </c>
      <c r="H154" s="116">
        <f t="shared" si="116"/>
        <v>82642.77</v>
      </c>
      <c r="I154" s="302"/>
      <c r="J154" s="129">
        <v>18</v>
      </c>
      <c r="K154" s="85">
        <v>1500</v>
      </c>
      <c r="L154" s="118">
        <v>83.333333333333329</v>
      </c>
      <c r="M154" s="129">
        <v>18</v>
      </c>
      <c r="N154" s="74">
        <f t="shared" si="117"/>
        <v>1439.1176470588255</v>
      </c>
      <c r="O154" s="77">
        <f t="shared" si="118"/>
        <v>79.950980392156964</v>
      </c>
      <c r="P154" s="78">
        <f t="shared" si="113"/>
        <v>0</v>
      </c>
      <c r="Q154" s="79">
        <f t="shared" si="114"/>
        <v>-3.3823529411763644</v>
      </c>
      <c r="R154" s="461">
        <f t="shared" si="115"/>
        <v>0.95941176470588363</v>
      </c>
      <c r="S154" s="629"/>
      <c r="T154" s="303">
        <v>0.79652777777777783</v>
      </c>
      <c r="U154" s="232">
        <v>0.84375</v>
      </c>
      <c r="V154" s="471">
        <v>7</v>
      </c>
      <c r="W154" s="469">
        <f t="shared" si="119"/>
        <v>67.999999999999915</v>
      </c>
      <c r="X154" s="256"/>
      <c r="Y154" s="256"/>
      <c r="Z154" s="254"/>
      <c r="AA154" s="254"/>
      <c r="AB154" s="616"/>
      <c r="AC154" s="616"/>
      <c r="AD154" s="258">
        <v>1</v>
      </c>
      <c r="AE154" s="258"/>
      <c r="AF154" s="78">
        <f t="shared" si="69"/>
        <v>-60.882352941174531</v>
      </c>
      <c r="AG154" s="160">
        <f t="shared" si="70"/>
        <v>0.95941176470588363</v>
      </c>
      <c r="AH154" s="617"/>
    </row>
    <row r="155" spans="1:37" s="255" customFormat="1" ht="19.2" customHeight="1">
      <c r="A155" s="627"/>
      <c r="B155" s="457">
        <v>0</v>
      </c>
      <c r="C155" s="258"/>
      <c r="D155" s="292"/>
      <c r="E155" s="90"/>
      <c r="F155" s="174" t="s">
        <v>161</v>
      </c>
      <c r="G155" s="85"/>
      <c r="H155" s="116">
        <f t="shared" si="116"/>
        <v>0</v>
      </c>
      <c r="I155" s="302"/>
      <c r="J155" s="129"/>
      <c r="K155" s="85"/>
      <c r="L155" s="118"/>
      <c r="M155" s="129"/>
      <c r="N155" s="74"/>
      <c r="O155" s="77"/>
      <c r="P155" s="78"/>
      <c r="Q155" s="79"/>
      <c r="R155" s="461"/>
      <c r="S155" s="629"/>
      <c r="T155" s="303"/>
      <c r="U155" s="232"/>
      <c r="V155" s="471"/>
      <c r="W155" s="469">
        <f t="shared" si="119"/>
        <v>0</v>
      </c>
      <c r="X155" s="256"/>
      <c r="Y155" s="256"/>
      <c r="Z155" s="254"/>
      <c r="AA155" s="254"/>
      <c r="AB155" s="616"/>
      <c r="AC155" s="616"/>
      <c r="AD155" s="258"/>
      <c r="AE155" s="258"/>
      <c r="AF155" s="78">
        <f t="shared" si="69"/>
        <v>0</v>
      </c>
      <c r="AG155" s="160" t="e">
        <f t="shared" si="70"/>
        <v>#DIV/0!</v>
      </c>
      <c r="AH155" s="617"/>
    </row>
    <row r="156" spans="1:37" s="255" customFormat="1" ht="19.2" customHeight="1">
      <c r="A156" s="627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6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461"/>
      <c r="S156" s="629"/>
      <c r="T156" s="303"/>
      <c r="U156" s="232"/>
      <c r="V156" s="471"/>
      <c r="W156" s="304">
        <f t="shared" si="119"/>
        <v>0</v>
      </c>
      <c r="X156" s="256"/>
      <c r="Y156" s="256"/>
      <c r="Z156" s="254"/>
      <c r="AA156" s="254"/>
      <c r="AB156" s="616"/>
      <c r="AC156" s="616"/>
      <c r="AD156" s="258"/>
      <c r="AE156" s="258"/>
      <c r="AF156" s="305"/>
      <c r="AG156" s="169"/>
      <c r="AH156" s="617"/>
    </row>
    <row r="157" spans="1:37" s="255" customFormat="1" ht="19.2" customHeight="1">
      <c r="A157" s="627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6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629"/>
      <c r="T157" s="303"/>
      <c r="U157" s="232"/>
      <c r="V157" s="471"/>
      <c r="W157" s="304">
        <f t="shared" si="119"/>
        <v>0</v>
      </c>
      <c r="X157" s="256"/>
      <c r="Y157" s="256"/>
      <c r="Z157" s="254"/>
      <c r="AA157" s="254"/>
      <c r="AB157" s="616"/>
      <c r="AC157" s="616"/>
      <c r="AD157" s="258"/>
      <c r="AE157" s="258"/>
      <c r="AF157" s="305"/>
      <c r="AG157" s="169"/>
      <c r="AH157" s="617"/>
    </row>
    <row r="158" spans="1:37" s="255" customFormat="1" ht="19.2" customHeight="1">
      <c r="A158" s="627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6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629"/>
      <c r="T158" s="303"/>
      <c r="U158" s="232"/>
      <c r="V158" s="471"/>
      <c r="W158" s="304">
        <f t="shared" si="119"/>
        <v>0</v>
      </c>
      <c r="X158" s="256"/>
      <c r="Y158" s="256"/>
      <c r="Z158" s="254"/>
      <c r="AA158" s="254"/>
      <c r="AB158" s="616"/>
      <c r="AC158" s="616"/>
      <c r="AD158" s="258"/>
      <c r="AE158" s="258"/>
      <c r="AF158" s="305"/>
      <c r="AG158" s="169"/>
      <c r="AH158" s="617"/>
    </row>
    <row r="159" spans="1:37" s="255" customFormat="1" ht="19.2" customHeight="1">
      <c r="A159" s="627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6"/>
        <v>0</v>
      </c>
      <c r="I159" s="302"/>
      <c r="J159" s="306"/>
      <c r="K159" s="217"/>
      <c r="L159" s="308"/>
      <c r="M159" s="467"/>
      <c r="N159" s="217"/>
      <c r="O159" s="262"/>
      <c r="P159" s="307"/>
      <c r="Q159" s="105"/>
      <c r="R159" s="169"/>
      <c r="S159" s="629"/>
      <c r="T159" s="303"/>
      <c r="U159" s="232"/>
      <c r="V159" s="471"/>
      <c r="W159" s="309">
        <f t="shared" si="119"/>
        <v>0</v>
      </c>
      <c r="X159" s="256"/>
      <c r="Y159" s="256"/>
      <c r="Z159" s="254"/>
      <c r="AA159" s="254"/>
      <c r="AB159" s="616"/>
      <c r="AC159" s="616"/>
      <c r="AD159" s="258"/>
      <c r="AE159" s="258"/>
      <c r="AF159" s="305"/>
      <c r="AG159" s="169"/>
      <c r="AH159" s="617"/>
    </row>
    <row r="160" spans="1:37" ht="19.2" customHeight="1">
      <c r="A160" s="627"/>
      <c r="B160" s="310">
        <v>0</v>
      </c>
      <c r="C160" s="191" t="s">
        <v>487</v>
      </c>
      <c r="D160" s="625" t="s">
        <v>377</v>
      </c>
      <c r="E160" s="626"/>
      <c r="F160" s="98"/>
      <c r="G160" s="238"/>
      <c r="H160" s="237"/>
      <c r="I160" s="101"/>
      <c r="J160" s="311">
        <v>13</v>
      </c>
      <c r="K160" s="311">
        <v>1705.7142857142858</v>
      </c>
      <c r="L160" s="312">
        <v>146.70068027210885</v>
      </c>
      <c r="M160" s="311">
        <f t="shared" ref="M160:O160" si="120">AVERAGE(M148:M159)</f>
        <v>13</v>
      </c>
      <c r="N160" s="311">
        <f t="shared" si="120"/>
        <v>1411.1257835081774</v>
      </c>
      <c r="O160" s="312">
        <f t="shared" si="120"/>
        <v>124.20149119218374</v>
      </c>
      <c r="P160" s="104">
        <f t="shared" ref="P160:P166" si="121">M160-J160</f>
        <v>0</v>
      </c>
      <c r="Q160" s="105">
        <f t="shared" ref="Q160:Q166" si="122">O160-L160</f>
        <v>-22.499189079925117</v>
      </c>
      <c r="R160" s="313">
        <f>O160/L160</f>
        <v>0.84663200580806897</v>
      </c>
      <c r="S160" s="629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616"/>
      <c r="AC160" s="616"/>
      <c r="AD160" s="110">
        <f>SUM(AD148:AD159)</f>
        <v>1</v>
      </c>
      <c r="AE160" s="110">
        <f>SUM(AE148:AE159)</f>
        <v>0</v>
      </c>
      <c r="AF160" s="104">
        <f t="shared" si="69"/>
        <v>-294.58850220610839</v>
      </c>
      <c r="AG160" s="169">
        <f t="shared" si="70"/>
        <v>0.82729317291099169</v>
      </c>
      <c r="AH160" s="617"/>
    </row>
    <row r="161" spans="1:34" ht="19.2" customHeight="1">
      <c r="A161" s="614" t="s">
        <v>488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2706</v>
      </c>
      <c r="H161" s="116">
        <f t="shared" ref="H161:H170" si="123">F161*G161</f>
        <v>81531.78</v>
      </c>
      <c r="I161" s="457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6" si="124">G161/W161*60</f>
        <v>1119.7241379310344</v>
      </c>
      <c r="O161" s="118">
        <f t="shared" ref="O161:O166" si="125">N161/M161</f>
        <v>62.206896551724135</v>
      </c>
      <c r="P161" s="84">
        <f t="shared" si="121"/>
        <v>0</v>
      </c>
      <c r="Q161" s="119">
        <f t="shared" si="122"/>
        <v>-4.4597701149425362</v>
      </c>
      <c r="R161" s="458">
        <f t="shared" ref="R161:R166" si="126">O161/L161</f>
        <v>0.933103448275862</v>
      </c>
      <c r="S161" s="615">
        <f>R173</f>
        <v>0.92283431670253924</v>
      </c>
      <c r="T161" s="80">
        <v>0.16666666666666666</v>
      </c>
      <c r="U161" s="80">
        <v>0.2673611111111111</v>
      </c>
      <c r="V161" s="457">
        <v>5</v>
      </c>
      <c r="W161" s="120">
        <f t="shared" ref="W161:W172" si="127">(U161-T161)*24*60</f>
        <v>145.00000000000003</v>
      </c>
      <c r="X161" s="126"/>
      <c r="Y161" s="126"/>
      <c r="Z161" s="84"/>
      <c r="AA161" s="84"/>
      <c r="AB161" s="616"/>
      <c r="AC161" s="616"/>
      <c r="AD161" s="457"/>
      <c r="AE161" s="457"/>
      <c r="AF161" s="84">
        <f t="shared" si="69"/>
        <v>-80.27586206896558</v>
      </c>
      <c r="AG161" s="458">
        <f t="shared" si="70"/>
        <v>0.933103448275862</v>
      </c>
      <c r="AH161" s="615">
        <f>AG173</f>
        <v>0.92583847490885562</v>
      </c>
    </row>
    <row r="162" spans="1:34" ht="19.2" customHeight="1">
      <c r="A162" s="614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3389</v>
      </c>
      <c r="H162" s="116">
        <f t="shared" si="123"/>
        <v>116005.46999999999</v>
      </c>
      <c r="I162" s="457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4"/>
        <v>2186.4516129032259</v>
      </c>
      <c r="O162" s="118">
        <f t="shared" si="125"/>
        <v>168.18858560794044</v>
      </c>
      <c r="P162" s="84">
        <f t="shared" si="121"/>
        <v>0</v>
      </c>
      <c r="Q162" s="119">
        <f t="shared" si="122"/>
        <v>-4.8883374689826269</v>
      </c>
      <c r="R162" s="458">
        <f t="shared" si="126"/>
        <v>0.9717562724014337</v>
      </c>
      <c r="S162" s="615"/>
      <c r="T162" s="80">
        <v>0.28263888888888888</v>
      </c>
      <c r="U162" s="80">
        <v>0.34722222222222221</v>
      </c>
      <c r="V162" s="457">
        <v>22</v>
      </c>
      <c r="W162" s="120">
        <f t="shared" si="127"/>
        <v>92.999999999999986</v>
      </c>
      <c r="X162" s="126">
        <v>0.2722222222222222</v>
      </c>
      <c r="Y162" s="126">
        <v>0.28194444444444444</v>
      </c>
      <c r="Z162" s="84"/>
      <c r="AA162" s="84"/>
      <c r="AB162" s="616"/>
      <c r="AC162" s="616"/>
      <c r="AD162" s="457"/>
      <c r="AE162" s="457"/>
      <c r="AF162" s="84">
        <f t="shared" si="69"/>
        <v>-63.54838709677415</v>
      </c>
      <c r="AG162" s="458">
        <f t="shared" si="70"/>
        <v>0.9717562724014337</v>
      </c>
      <c r="AH162" s="615"/>
    </row>
    <row r="163" spans="1:34" ht="19.2" customHeight="1">
      <c r="A163" s="614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2661.1</v>
      </c>
      <c r="H163" s="116">
        <f t="shared" si="123"/>
        <v>91089.452999999994</v>
      </c>
      <c r="I163" s="457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4"/>
        <v>2157.6486486486497</v>
      </c>
      <c r="O163" s="118">
        <f t="shared" si="125"/>
        <v>196.14987714987726</v>
      </c>
      <c r="P163" s="84">
        <f t="shared" si="121"/>
        <v>0</v>
      </c>
      <c r="Q163" s="119">
        <f t="shared" si="122"/>
        <v>-8.395577395577277</v>
      </c>
      <c r="R163" s="458">
        <f t="shared" si="126"/>
        <v>0.95895495495495553</v>
      </c>
      <c r="S163" s="615"/>
      <c r="T163" s="80">
        <v>0.3520833333333333</v>
      </c>
      <c r="U163" s="80">
        <v>0.40347222222222218</v>
      </c>
      <c r="V163" s="457">
        <v>7</v>
      </c>
      <c r="W163" s="120">
        <f t="shared" si="127"/>
        <v>73.999999999999972</v>
      </c>
      <c r="X163" s="126"/>
      <c r="Y163" s="126"/>
      <c r="Z163" s="84"/>
      <c r="AA163" s="84"/>
      <c r="AB163" s="616"/>
      <c r="AC163" s="616"/>
      <c r="AD163" s="457"/>
      <c r="AE163" s="457"/>
      <c r="AF163" s="84">
        <f t="shared" si="69"/>
        <v>-92.351351351350331</v>
      </c>
      <c r="AG163" s="458">
        <f t="shared" si="70"/>
        <v>0.95895495495495542</v>
      </c>
      <c r="AH163" s="615"/>
    </row>
    <row r="164" spans="1:34" ht="19.2" customHeight="1">
      <c r="A164" s="614"/>
      <c r="B164" s="156" t="s">
        <v>189</v>
      </c>
      <c r="C164" s="156"/>
      <c r="D164" s="316" t="s">
        <v>169</v>
      </c>
      <c r="E164" s="316"/>
      <c r="F164" s="170">
        <v>25.64</v>
      </c>
      <c r="G164" s="85">
        <v>1213</v>
      </c>
      <c r="H164" s="116">
        <f t="shared" si="123"/>
        <v>31101.32</v>
      </c>
      <c r="I164" s="457"/>
      <c r="J164" s="129">
        <v>10</v>
      </c>
      <c r="K164" s="85">
        <v>1500</v>
      </c>
      <c r="L164" s="118">
        <v>150</v>
      </c>
      <c r="M164" s="129">
        <v>10</v>
      </c>
      <c r="N164" s="85">
        <f t="shared" si="124"/>
        <v>1455.6000000000006</v>
      </c>
      <c r="O164" s="118">
        <f t="shared" si="125"/>
        <v>145.56000000000006</v>
      </c>
      <c r="P164" s="84">
        <f t="shared" si="121"/>
        <v>0</v>
      </c>
      <c r="Q164" s="119">
        <f t="shared" si="122"/>
        <v>-4.4399999999999409</v>
      </c>
      <c r="R164" s="458">
        <f t="shared" si="126"/>
        <v>0.97040000000000037</v>
      </c>
      <c r="S164" s="615"/>
      <c r="T164" s="80">
        <v>0.4194444444444444</v>
      </c>
      <c r="U164" s="80">
        <v>0.45416666666666661</v>
      </c>
      <c r="V164" s="457">
        <v>23</v>
      </c>
      <c r="W164" s="120">
        <f t="shared" si="127"/>
        <v>49.999999999999986</v>
      </c>
      <c r="X164" s="126">
        <v>0.40902777777777777</v>
      </c>
      <c r="Y164" s="126">
        <v>0.41875000000000001</v>
      </c>
      <c r="Z164" s="84"/>
      <c r="AA164" s="84"/>
      <c r="AB164" s="616"/>
      <c r="AC164" s="616"/>
      <c r="AD164" s="457"/>
      <c r="AE164" s="457"/>
      <c r="AF164" s="84">
        <f>N164-K164</f>
        <v>-44.399999999999409</v>
      </c>
      <c r="AG164" s="458">
        <f>N164/K164</f>
        <v>0.97040000000000037</v>
      </c>
      <c r="AH164" s="615"/>
    </row>
    <row r="165" spans="1:34" ht="19.2" customHeight="1">
      <c r="A165" s="614"/>
      <c r="B165" s="156" t="s">
        <v>165</v>
      </c>
      <c r="C165" s="112"/>
      <c r="D165" s="113" t="s">
        <v>160</v>
      </c>
      <c r="E165" s="114"/>
      <c r="F165" s="130">
        <v>36.409999999999997</v>
      </c>
      <c r="G165" s="85">
        <v>1573.8000000000002</v>
      </c>
      <c r="H165" s="116">
        <f t="shared" si="123"/>
        <v>57302.058000000005</v>
      </c>
      <c r="I165" s="457"/>
      <c r="J165" s="129">
        <v>10</v>
      </c>
      <c r="K165" s="85">
        <v>2769</v>
      </c>
      <c r="L165" s="118">
        <v>276.89999999999998</v>
      </c>
      <c r="M165" s="129">
        <v>10</v>
      </c>
      <c r="N165" s="85">
        <f t="shared" si="124"/>
        <v>2421.2307692307681</v>
      </c>
      <c r="O165" s="118">
        <f t="shared" si="125"/>
        <v>242.12307692307681</v>
      </c>
      <c r="P165" s="84">
        <f t="shared" si="121"/>
        <v>0</v>
      </c>
      <c r="Q165" s="119">
        <f t="shared" si="122"/>
        <v>-34.776923076923168</v>
      </c>
      <c r="R165" s="458">
        <f t="shared" si="126"/>
        <v>0.87440620051670936</v>
      </c>
      <c r="S165" s="615"/>
      <c r="T165" s="80">
        <v>0.4590277777777777</v>
      </c>
      <c r="U165" s="80">
        <v>0.48611111111111105</v>
      </c>
      <c r="V165" s="457">
        <v>7</v>
      </c>
      <c r="W165" s="120">
        <f t="shared" si="127"/>
        <v>39.000000000000021</v>
      </c>
      <c r="X165" s="126"/>
      <c r="Y165" s="126"/>
      <c r="Z165" s="84"/>
      <c r="AA165" s="84"/>
      <c r="AB165" s="616"/>
      <c r="AC165" s="616"/>
      <c r="AD165" s="457"/>
      <c r="AE165" s="457"/>
      <c r="AF165" s="84">
        <f>N165-K165</f>
        <v>-347.76923076923185</v>
      </c>
      <c r="AG165" s="458">
        <f>N165/K165</f>
        <v>0.87440620051670936</v>
      </c>
      <c r="AH165" s="615"/>
    </row>
    <row r="166" spans="1:34" ht="19.2" customHeight="1">
      <c r="A166" s="614"/>
      <c r="B166" s="156" t="s">
        <v>165</v>
      </c>
      <c r="C166" s="156"/>
      <c r="D166" s="113" t="s">
        <v>160</v>
      </c>
      <c r="E166" s="114"/>
      <c r="F166" s="170">
        <v>36.409999999999997</v>
      </c>
      <c r="G166" s="85">
        <v>6295.2000000000007</v>
      </c>
      <c r="H166" s="116">
        <f t="shared" si="123"/>
        <v>229208.23200000002</v>
      </c>
      <c r="I166" s="457">
        <v>1</v>
      </c>
      <c r="J166" s="129">
        <v>10</v>
      </c>
      <c r="K166" s="85">
        <v>2769</v>
      </c>
      <c r="L166" s="118">
        <v>276.89999999999998</v>
      </c>
      <c r="M166" s="129">
        <v>10</v>
      </c>
      <c r="N166" s="85">
        <f t="shared" si="124"/>
        <v>2452.675324675326</v>
      </c>
      <c r="O166" s="118">
        <f t="shared" si="125"/>
        <v>245.26753246753259</v>
      </c>
      <c r="P166" s="84">
        <f t="shared" si="121"/>
        <v>0</v>
      </c>
      <c r="Q166" s="119">
        <f t="shared" si="122"/>
        <v>-31.632467532467388</v>
      </c>
      <c r="R166" s="458">
        <f t="shared" si="126"/>
        <v>0.88576212519874542</v>
      </c>
      <c r="S166" s="615"/>
      <c r="T166" s="80">
        <v>0.5263888888888888</v>
      </c>
      <c r="U166" s="80">
        <v>0.63333333333333319</v>
      </c>
      <c r="V166" s="457">
        <v>5</v>
      </c>
      <c r="W166" s="120">
        <f t="shared" si="127"/>
        <v>153.99999999999994</v>
      </c>
      <c r="X166" s="126"/>
      <c r="Y166" s="126"/>
      <c r="Z166" s="84"/>
      <c r="AA166" s="84"/>
      <c r="AB166" s="616"/>
      <c r="AC166" s="616"/>
      <c r="AD166" s="457"/>
      <c r="AE166" s="457"/>
      <c r="AF166" s="84">
        <f>N166-K166</f>
        <v>-316.32467532467399</v>
      </c>
      <c r="AG166" s="458">
        <f>N166/K166</f>
        <v>0.88576212519874542</v>
      </c>
      <c r="AH166" s="615"/>
    </row>
    <row r="167" spans="1:34" ht="19.2" customHeight="1">
      <c r="A167" s="614"/>
      <c r="B167" s="156">
        <v>0</v>
      </c>
      <c r="C167" s="156"/>
      <c r="D167" s="292"/>
      <c r="E167" s="90"/>
      <c r="F167" s="170" t="s">
        <v>161</v>
      </c>
      <c r="G167" s="85"/>
      <c r="H167" s="116">
        <f t="shared" si="123"/>
        <v>0</v>
      </c>
      <c r="I167" s="457"/>
      <c r="J167" s="129"/>
      <c r="K167" s="85"/>
      <c r="L167" s="118"/>
      <c r="M167" s="129"/>
      <c r="N167" s="85"/>
      <c r="O167" s="118"/>
      <c r="P167" s="84"/>
      <c r="Q167" s="119"/>
      <c r="R167" s="458"/>
      <c r="S167" s="615"/>
      <c r="T167" s="80"/>
      <c r="U167" s="80"/>
      <c r="V167" s="457"/>
      <c r="W167" s="120">
        <f t="shared" si="127"/>
        <v>0</v>
      </c>
      <c r="X167" s="126"/>
      <c r="Y167" s="126"/>
      <c r="Z167" s="84"/>
      <c r="AA167" s="84"/>
      <c r="AB167" s="616"/>
      <c r="AC167" s="616"/>
      <c r="AD167" s="457"/>
      <c r="AE167" s="457"/>
      <c r="AF167" s="84">
        <f t="shared" si="69"/>
        <v>0</v>
      </c>
      <c r="AG167" s="458" t="e">
        <f t="shared" si="70"/>
        <v>#DIV/0!</v>
      </c>
      <c r="AH167" s="615"/>
    </row>
    <row r="168" spans="1:34" ht="19.2" customHeight="1">
      <c r="A168" s="614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3"/>
        <v>0</v>
      </c>
      <c r="I168" s="457"/>
      <c r="J168" s="129"/>
      <c r="K168" s="85"/>
      <c r="L168" s="118"/>
      <c r="M168" s="129"/>
      <c r="N168" s="85"/>
      <c r="O168" s="118"/>
      <c r="P168" s="84"/>
      <c r="Q168" s="119"/>
      <c r="R168" s="458"/>
      <c r="S168" s="615"/>
      <c r="T168" s="80"/>
      <c r="U168" s="80"/>
      <c r="V168" s="457"/>
      <c r="W168" s="120">
        <f t="shared" si="127"/>
        <v>0</v>
      </c>
      <c r="X168" s="126"/>
      <c r="Y168" s="126"/>
      <c r="Z168" s="84"/>
      <c r="AA168" s="84"/>
      <c r="AB168" s="616"/>
      <c r="AC168" s="616"/>
      <c r="AD168" s="457"/>
      <c r="AE168" s="457"/>
      <c r="AF168" s="84">
        <f t="shared" si="69"/>
        <v>0</v>
      </c>
      <c r="AG168" s="458" t="e">
        <f t="shared" si="70"/>
        <v>#DIV/0!</v>
      </c>
      <c r="AH168" s="615"/>
    </row>
    <row r="169" spans="1:34" ht="19.2" customHeight="1">
      <c r="A169" s="614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3"/>
        <v>0</v>
      </c>
      <c r="I169" s="457"/>
      <c r="J169" s="129"/>
      <c r="K169" s="85"/>
      <c r="L169" s="118"/>
      <c r="M169" s="129"/>
      <c r="N169" s="85"/>
      <c r="O169" s="118"/>
      <c r="P169" s="84"/>
      <c r="Q169" s="119"/>
      <c r="R169" s="458"/>
      <c r="S169" s="615"/>
      <c r="T169" s="80"/>
      <c r="U169" s="80"/>
      <c r="V169" s="457"/>
      <c r="W169" s="120">
        <f t="shared" si="127"/>
        <v>0</v>
      </c>
      <c r="X169" s="126"/>
      <c r="Y169" s="126"/>
      <c r="Z169" s="84"/>
      <c r="AA169" s="84"/>
      <c r="AB169" s="616"/>
      <c r="AC169" s="616"/>
      <c r="AD169" s="457"/>
      <c r="AE169" s="457"/>
      <c r="AF169" s="84">
        <f t="shared" si="69"/>
        <v>0</v>
      </c>
      <c r="AG169" s="458" t="e">
        <f t="shared" si="70"/>
        <v>#DIV/0!</v>
      </c>
      <c r="AH169" s="615"/>
    </row>
    <row r="170" spans="1:34" ht="19.2" customHeight="1">
      <c r="A170" s="614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3"/>
        <v>0</v>
      </c>
      <c r="I170" s="457"/>
      <c r="J170" s="129"/>
      <c r="K170" s="85"/>
      <c r="L170" s="118"/>
      <c r="M170" s="129"/>
      <c r="N170" s="85"/>
      <c r="O170" s="118"/>
      <c r="P170" s="84"/>
      <c r="Q170" s="119"/>
      <c r="R170" s="458"/>
      <c r="S170" s="615"/>
      <c r="T170" s="80"/>
      <c r="U170" s="80"/>
      <c r="V170" s="457"/>
      <c r="W170" s="120">
        <f t="shared" si="127"/>
        <v>0</v>
      </c>
      <c r="X170" s="126"/>
      <c r="Y170" s="126"/>
      <c r="Z170" s="84"/>
      <c r="AA170" s="84"/>
      <c r="AB170" s="616"/>
      <c r="AC170" s="616"/>
      <c r="AD170" s="457"/>
      <c r="AE170" s="457"/>
      <c r="AF170" s="84">
        <f t="shared" si="69"/>
        <v>0</v>
      </c>
      <c r="AG170" s="458" t="e">
        <f t="shared" si="70"/>
        <v>#DIV/0!</v>
      </c>
      <c r="AH170" s="615"/>
    </row>
    <row r="171" spans="1:34" ht="19.2" customHeight="1">
      <c r="A171" s="614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6"/>
        <v>0</v>
      </c>
      <c r="I171" s="457"/>
      <c r="J171" s="129"/>
      <c r="K171" s="85"/>
      <c r="L171" s="118"/>
      <c r="M171" s="129"/>
      <c r="N171" s="85"/>
      <c r="O171" s="118"/>
      <c r="P171" s="84"/>
      <c r="Q171" s="119"/>
      <c r="R171" s="458"/>
      <c r="S171" s="615"/>
      <c r="T171" s="80"/>
      <c r="U171" s="80"/>
      <c r="V171" s="457"/>
      <c r="W171" s="120">
        <f t="shared" si="127"/>
        <v>0</v>
      </c>
      <c r="X171" s="126"/>
      <c r="Y171" s="126"/>
      <c r="Z171" s="84"/>
      <c r="AA171" s="84"/>
      <c r="AB171" s="616"/>
      <c r="AC171" s="616"/>
      <c r="AD171" s="457"/>
      <c r="AE171" s="457"/>
      <c r="AF171" s="84"/>
      <c r="AG171" s="458"/>
      <c r="AH171" s="615"/>
    </row>
    <row r="172" spans="1:34" ht="19.2" customHeight="1">
      <c r="A172" s="614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6"/>
        <v>0</v>
      </c>
      <c r="I172" s="457"/>
      <c r="J172" s="129"/>
      <c r="K172" s="85"/>
      <c r="L172" s="118"/>
      <c r="M172" s="129"/>
      <c r="N172" s="85"/>
      <c r="O172" s="118"/>
      <c r="P172" s="84"/>
      <c r="Q172" s="119"/>
      <c r="R172" s="458"/>
      <c r="S172" s="615"/>
      <c r="T172" s="80"/>
      <c r="U172" s="80"/>
      <c r="V172" s="457"/>
      <c r="W172" s="120">
        <f t="shared" si="127"/>
        <v>0</v>
      </c>
      <c r="X172" s="126"/>
      <c r="Y172" s="126"/>
      <c r="Z172" s="84"/>
      <c r="AA172" s="84"/>
      <c r="AB172" s="616"/>
      <c r="AC172" s="616"/>
      <c r="AD172" s="457"/>
      <c r="AE172" s="457"/>
      <c r="AF172" s="84"/>
      <c r="AG172" s="458"/>
      <c r="AH172" s="615"/>
    </row>
    <row r="173" spans="1:34" ht="19.2" customHeight="1">
      <c r="A173" s="614"/>
      <c r="B173" s="156">
        <v>0</v>
      </c>
      <c r="C173" s="132" t="s">
        <v>489</v>
      </c>
      <c r="D173" s="612" t="s">
        <v>377</v>
      </c>
      <c r="E173" s="612"/>
      <c r="F173" s="133"/>
      <c r="G173" s="103"/>
      <c r="H173" s="134"/>
      <c r="I173" s="135"/>
      <c r="J173" s="103">
        <v>12</v>
      </c>
      <c r="K173" s="103">
        <v>2123</v>
      </c>
      <c r="L173" s="136">
        <v>191.348174048174</v>
      </c>
      <c r="M173" s="103">
        <f t="shared" ref="M173:O173" si="128">AVERAGE(M161:M172)</f>
        <v>12</v>
      </c>
      <c r="N173" s="103">
        <f t="shared" si="128"/>
        <v>1965.5550822315006</v>
      </c>
      <c r="O173" s="136">
        <f t="shared" si="128"/>
        <v>176.5826614500252</v>
      </c>
      <c r="P173" s="84">
        <f>M173-J173</f>
        <v>0</v>
      </c>
      <c r="Q173" s="119">
        <f>O173-L173</f>
        <v>-14.765512598148803</v>
      </c>
      <c r="R173" s="137">
        <f>O173/L173</f>
        <v>0.92283431670253924</v>
      </c>
      <c r="S173" s="615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613"/>
      <c r="AC173" s="613"/>
      <c r="AD173" s="139">
        <f>SUM(AD161:AD172)</f>
        <v>0</v>
      </c>
      <c r="AE173" s="139">
        <f>SUM(AE161:AE172)</f>
        <v>0</v>
      </c>
      <c r="AF173" s="84">
        <f t="shared" si="69"/>
        <v>-157.44491776849941</v>
      </c>
      <c r="AG173" s="458">
        <f t="shared" si="70"/>
        <v>0.92583847490885562</v>
      </c>
      <c r="AH173" s="615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A2:B2"/>
    <mergeCell ref="A3:A4"/>
    <mergeCell ref="B3:B4"/>
    <mergeCell ref="C3:C4"/>
    <mergeCell ref="D3:E4"/>
    <mergeCell ref="F3:F4"/>
    <mergeCell ref="J1:L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M1:O2"/>
    <mergeCell ref="P1:S2"/>
    <mergeCell ref="T1:Y2"/>
    <mergeCell ref="AB1:AC2"/>
    <mergeCell ref="AF1:AH2"/>
    <mergeCell ref="G3:G4"/>
    <mergeCell ref="H3:H4"/>
    <mergeCell ref="I3:I4"/>
    <mergeCell ref="J3:J4"/>
    <mergeCell ref="K3:K4"/>
    <mergeCell ref="L3:L4"/>
  </mergeCells>
  <phoneticPr fontId="3" type="noConversion"/>
  <conditionalFormatting sqref="P5:P172">
    <cfRule type="cellIs" dxfId="25" priority="4" operator="greaterThan">
      <formula>0</formula>
    </cfRule>
  </conditionalFormatting>
  <conditionalFormatting sqref="Q5:Q173">
    <cfRule type="cellIs" dxfId="24" priority="7" operator="lessThan">
      <formula>0</formula>
    </cfRule>
  </conditionalFormatting>
  <conditionalFormatting sqref="R5:R173">
    <cfRule type="cellIs" dxfId="23" priority="5" operator="greaterThan">
      <formula>1</formula>
    </cfRule>
    <cfRule type="cellIs" dxfId="22" priority="6" operator="lessThan">
      <formula>0.8</formula>
    </cfRule>
  </conditionalFormatting>
  <conditionalFormatting sqref="S5:S11">
    <cfRule type="cellIs" dxfId="21" priority="20" operator="lessThan">
      <formula>0.8</formula>
    </cfRule>
  </conditionalFormatting>
  <conditionalFormatting sqref="S21:S29 AH21:AH29">
    <cfRule type="cellIs" dxfId="20" priority="13" operator="lessThan">
      <formula>0.8</formula>
    </cfRule>
  </conditionalFormatting>
  <conditionalFormatting sqref="S43:S72">
    <cfRule type="cellIs" dxfId="19" priority="10" operator="lessThan">
      <formula>0.8</formula>
    </cfRule>
  </conditionalFormatting>
  <conditionalFormatting sqref="S82:S91 AH82:AH91">
    <cfRule type="cellIs" dxfId="18" priority="12" operator="lessThan">
      <formula>0.8</formula>
    </cfRule>
  </conditionalFormatting>
  <conditionalFormatting sqref="S95:S104">
    <cfRule type="cellIs" dxfId="17" priority="8" operator="lessThan">
      <formula>0.8</formula>
    </cfRule>
  </conditionalFormatting>
  <conditionalFormatting sqref="S108:S109">
    <cfRule type="cellIs" dxfId="16" priority="9" operator="lessThan">
      <formula>0.8</formula>
    </cfRule>
  </conditionalFormatting>
  <conditionalFormatting sqref="S122:S135 AH135">
    <cfRule type="cellIs" dxfId="15" priority="21" operator="lessThan">
      <formula>0.8</formula>
    </cfRule>
  </conditionalFormatting>
  <conditionalFormatting sqref="S137 AH137">
    <cfRule type="cellIs" dxfId="14" priority="17" operator="lessThan">
      <formula>0.8</formula>
    </cfRule>
  </conditionalFormatting>
  <conditionalFormatting sqref="S139:S146 AH139:AH146">
    <cfRule type="cellIs" dxfId="13" priority="11" operator="lessThan">
      <formula>0.8</formula>
    </cfRule>
  </conditionalFormatting>
  <conditionalFormatting sqref="S148:S150">
    <cfRule type="cellIs" dxfId="12" priority="14" operator="lessThan">
      <formula>0.8</formula>
    </cfRule>
  </conditionalFormatting>
  <conditionalFormatting sqref="S161">
    <cfRule type="cellIs" dxfId="11" priority="25" operator="lessThan">
      <formula>0.8</formula>
    </cfRule>
  </conditionalFormatting>
  <conditionalFormatting sqref="AF5:AF173">
    <cfRule type="cellIs" dxfId="10" priority="3" operator="lessThan">
      <formula>0</formula>
    </cfRule>
  </conditionalFormatting>
  <conditionalFormatting sqref="AG5:AG173">
    <cfRule type="cellIs" dxfId="9" priority="1" operator="greaterThan">
      <formula>1</formula>
    </cfRule>
    <cfRule type="cellIs" dxfId="8" priority="2" operator="lessThan">
      <formula>0.8</formula>
    </cfRule>
  </conditionalFormatting>
  <conditionalFormatting sqref="AH5:AH9 S17:S18 AH17:AH18 AH57 AH95">
    <cfRule type="cellIs" dxfId="7" priority="26" operator="lessThan">
      <formula>0.8</formula>
    </cfRule>
  </conditionalFormatting>
  <conditionalFormatting sqref="AH31 S31:S32">
    <cfRule type="cellIs" dxfId="6" priority="22" operator="lessThan">
      <formula>0.8</formula>
    </cfRule>
  </conditionalFormatting>
  <conditionalFormatting sqref="AH70:AH72">
    <cfRule type="cellIs" dxfId="5" priority="19" operator="lessThan">
      <formula>0.8</formula>
    </cfRule>
  </conditionalFormatting>
  <conditionalFormatting sqref="AH97:AH98">
    <cfRule type="cellIs" dxfId="4" priority="18" operator="lessThan">
      <formula>0.8</formula>
    </cfRule>
  </conditionalFormatting>
  <conditionalFormatting sqref="AH100:AH107">
    <cfRule type="cellIs" dxfId="3" priority="16" operator="lessThan">
      <formula>0.8</formula>
    </cfRule>
  </conditionalFormatting>
  <conditionalFormatting sqref="AH109">
    <cfRule type="cellIs" dxfId="2" priority="24" operator="lessThan">
      <formula>0.8</formula>
    </cfRule>
  </conditionalFormatting>
  <conditionalFormatting sqref="AH148">
    <cfRule type="cellIs" dxfId="1" priority="23" operator="lessThan">
      <formula>0.8</formula>
    </cfRule>
  </conditionalFormatting>
  <conditionalFormatting sqref="AH150">
    <cfRule type="cellIs" dxfId="0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2F4077-52DE-402F-AFE1-8F20778BA5CB}"/>
</file>

<file path=customXml/itemProps2.xml><?xml version="1.0" encoding="utf-8"?>
<ds:datastoreItem xmlns:ds="http://schemas.openxmlformats.org/officeDocument/2006/customXml" ds:itemID="{ACD4E239-25AC-4A4C-8B2F-4A17A2160514}"/>
</file>

<file path=customXml/itemProps3.xml><?xml version="1.0" encoding="utf-8"?>
<ds:datastoreItem xmlns:ds="http://schemas.openxmlformats.org/officeDocument/2006/customXml" ds:itemID="{70209092-2C54-407F-BDD4-70ECD9B1CC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1001</vt:lpstr>
      <vt:lpstr>晉欣18度C1001</vt:lpstr>
      <vt:lpstr>晉欣4度C1001</vt:lpstr>
      <vt:lpstr>1002</vt:lpstr>
      <vt:lpstr>晉欣18度C1002</vt:lpstr>
      <vt:lpstr>晉欣4度C1002</vt:lpstr>
      <vt:lpstr>1003</vt:lpstr>
      <vt:lpstr>晉欣18度C1003</vt:lpstr>
      <vt:lpstr>晉欣4度C1003</vt:lpstr>
      <vt:lpstr>1004</vt:lpstr>
      <vt:lpstr>晉欣18度C1004</vt:lpstr>
      <vt:lpstr>晉欣4度C1004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洪佳微</dc:creator>
  <cp:lastModifiedBy>洪佳微</cp:lastModifiedBy>
  <dcterms:created xsi:type="dcterms:W3CDTF">2026-02-11T07:15:57Z</dcterms:created>
  <dcterms:modified xsi:type="dcterms:W3CDTF">2026-10-05T08:12:23Z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